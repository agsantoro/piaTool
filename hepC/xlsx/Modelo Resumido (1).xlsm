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santoro\Desktop\piaTool\hepC\xlsx\"/>
    </mc:Choice>
  </mc:AlternateContent>
  <bookViews>
    <workbookView xWindow="-120" yWindow="-120" windowWidth="29040" windowHeight="15840" tabRatio="488"/>
  </bookViews>
  <sheets>
    <sheet name="MODELO" sheetId="32" r:id="rId1"/>
    <sheet name="PROBABILIDADES" sheetId="33" r:id="rId2"/>
    <sheet name="Hoja1" sheetId="38" r:id="rId3"/>
    <sheet name="Hoja3" sheetId="39" r:id="rId4"/>
    <sheet name="Hoja2" sheetId="37" r:id="rId5"/>
    <sheet name="INPUTS_PAIS" sheetId="34" r:id="rId6"/>
    <sheet name="UTILIDADES" sheetId="35" r:id="rId7"/>
  </sheets>
  <functionGroups builtInGroupCount="18"/>
  <definedNames>
    <definedName name="_xlnm._FilterDatabase" localSheetId="0" hidden="1">MODELO!$A$1:$B$9</definedName>
    <definedName name="_pG1">#REF!</definedName>
    <definedName name="_pG2">#REF!</definedName>
    <definedName name="_pG3">#REF!</definedName>
    <definedName name="_pGO">#REF!</definedName>
    <definedName name="cohorte">#REF!</definedName>
    <definedName name="Costo_Diagnostico">#REF!</definedName>
    <definedName name="Costo_Evaluacion">#REF!</definedName>
    <definedName name="Costo_Tratamiento">#REF!</definedName>
    <definedName name="DISCONTINUACION_F0F3_G1">#REF!</definedName>
    <definedName name="DISCONTINUACION_F0F3_G2">#REF!</definedName>
    <definedName name="DISCONTINUACION_F0F3_G3">#REF!</definedName>
    <definedName name="DISCONTINUACION_F0F3_GO">#REF!</definedName>
    <definedName name="DISCONTINUACION_F4_G1">#REF!</definedName>
    <definedName name="DISCONTINUACION_F4_G2">#REF!</definedName>
    <definedName name="DISCONTINUACION_F4_G3">#REF!</definedName>
    <definedName name="DISCONTINUACION_F4_GO">#REF!</definedName>
    <definedName name="DURACION_F0F3_G1">#REF!</definedName>
    <definedName name="DURACION_F0F3_G2">#REF!</definedName>
    <definedName name="DURACION_F0F3_G3">#REF!</definedName>
    <definedName name="DURACION_F0F3_GO">#REF!</definedName>
    <definedName name="DURACION_F4_G1">#REF!</definedName>
    <definedName name="DURACION_F4_G2">#REF!</definedName>
    <definedName name="DURACION_F4_G3">#REF!</definedName>
    <definedName name="DURACION_F4_GO">#REF!</definedName>
    <definedName name="iCostoDC">#REF!</definedName>
    <definedName name="iCostoF0F2">#REF!</definedName>
    <definedName name="iCostoF3">#REF!</definedName>
    <definedName name="iCostoF4">#REF!</definedName>
    <definedName name="iCostoHCC">#REF!</definedName>
    <definedName name="iCostoSVRF0F2">#REF!</definedName>
    <definedName name="iCostoSVRF3">#REF!</definedName>
    <definedName name="iCostoSVRF4">#REF!</definedName>
    <definedName name="inputCiclosPorAño">#REF!</definedName>
    <definedName name="inputCohorte">#REF!</definedName>
    <definedName name="inputDescuento">#REF!</definedName>
    <definedName name="inputEdad">#REF!</definedName>
    <definedName name="inputPais">#REF!</definedName>
    <definedName name="iQalyDC" localSheetId="1">PROBABILIDADES!$F$23</definedName>
    <definedName name="iQalyDC">#REF!</definedName>
    <definedName name="iQalyF0" localSheetId="1">PROBABILIDADES!$F$17</definedName>
    <definedName name="iQalyF0">#REF!</definedName>
    <definedName name="iQalyF1" localSheetId="1">PROBABILIDADES!$F$18</definedName>
    <definedName name="iQalyF1">#REF!</definedName>
    <definedName name="iQalyF2" localSheetId="1">PROBABILIDADES!$F$19</definedName>
    <definedName name="iQalyF2">#REF!</definedName>
    <definedName name="iQalyF3" localSheetId="1">PROBABILIDADES!$F$20</definedName>
    <definedName name="iQalyF3">#REF!</definedName>
    <definedName name="iQalyF4" localSheetId="1">PROBABILIDADES!$F$21</definedName>
    <definedName name="iQalyF4">#REF!</definedName>
    <definedName name="iQalyHCC" localSheetId="1">PROBABILIDADES!$F$22</definedName>
    <definedName name="iQalyHCC">#REF!</definedName>
    <definedName name="iQalySVR" localSheetId="1">PROBABILIDADES!$F$25</definedName>
    <definedName name="iQalySVR">#REF!</definedName>
    <definedName name="iQalySVRF4" localSheetId="1">PROBABILIDADES!$F$26</definedName>
    <definedName name="iQalySVRF4">#REF!</definedName>
    <definedName name="p_DC_HCC" localSheetId="1">PROBABILIDADES!$D$9</definedName>
    <definedName name="p_DC_HCC">#REF!</definedName>
    <definedName name="p_DC_LDR" localSheetId="1">PROBABILIDADES!$D$10</definedName>
    <definedName name="p_DC_LDR">#REF!</definedName>
    <definedName name="p_DC1_HCC" localSheetId="1">PROBABILIDADES!$D$11</definedName>
    <definedName name="p_DC1_HCC">#REF!</definedName>
    <definedName name="p_DC1_LDR" localSheetId="1">PROBABILIDADES!$D$12</definedName>
    <definedName name="p_DC1_LDR">#REF!</definedName>
    <definedName name="p_F0_F1" localSheetId="1">PROBABILIDADES!$D$2</definedName>
    <definedName name="p_F0_F1">#REF!</definedName>
    <definedName name="p_F1_F2" localSheetId="1">PROBABILIDADES!$D$3</definedName>
    <definedName name="p_F1_F2">#REF!</definedName>
    <definedName name="p_F2_F3" localSheetId="1">PROBABILIDADES!$D$4</definedName>
    <definedName name="p_F2_F3">#REF!</definedName>
    <definedName name="p_F3_F4" localSheetId="1">PROBABILIDADES!$D$5</definedName>
    <definedName name="p_F3_F4">#REF!</definedName>
    <definedName name="p_F4_DC" localSheetId="1">PROBABILIDADES!$D$6</definedName>
    <definedName name="p_F4_DC">#REF!</definedName>
    <definedName name="p_F4_HCC" localSheetId="1">PROBABILIDADES!$D$7</definedName>
    <definedName name="p_F4_HCC">#REF!</definedName>
    <definedName name="p_HCC_LDR" localSheetId="1">PROBABILIDADES!$D$13</definedName>
    <definedName name="p_HCC_LDR">#REF!</definedName>
    <definedName name="p_SVRF4_DC" localSheetId="1">PROBABILIDADES!$D$15</definedName>
    <definedName name="p_SVRF4_DC">#REF!</definedName>
    <definedName name="p_SVRF4_HCC" localSheetId="1">PROBABILIDADES!$D$14</definedName>
    <definedName name="p_SVRF4_HCC">#REF!</definedName>
    <definedName name="prevCC">#REF!</definedName>
    <definedName name="prevF0">#REF!</definedName>
    <definedName name="prevF1">#REF!</definedName>
    <definedName name="prevF2">#REF!</definedName>
    <definedName name="prevF3">#REF!</definedName>
    <definedName name="pSVR_F0F3_G1">#REF!</definedName>
    <definedName name="pSVR_F0F3_G2">#REF!</definedName>
    <definedName name="pSVR_F0F3_G3">#REF!</definedName>
    <definedName name="pSVR_F0F3_GO">#REF!</definedName>
    <definedName name="pSVR_F4_G1">#REF!</definedName>
    <definedName name="pSVR_F4_G2">#REF!</definedName>
    <definedName name="pSVR_F4_G3">#REF!</definedName>
    <definedName name="pSVR_F4_GO">#REF!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3" i="39" l="1"/>
  <c r="D4" i="39"/>
  <c r="D5" i="39"/>
  <c r="D6" i="39"/>
  <c r="D7" i="39"/>
  <c r="D8" i="39"/>
  <c r="D9" i="39"/>
  <c r="D10" i="39"/>
  <c r="D11" i="39"/>
  <c r="D12" i="39"/>
  <c r="D13" i="39"/>
  <c r="D14" i="39"/>
  <c r="D15" i="39"/>
  <c r="D16" i="39"/>
  <c r="D17" i="39"/>
  <c r="D18" i="39"/>
  <c r="D19" i="39"/>
  <c r="D20" i="39"/>
  <c r="D21" i="39"/>
  <c r="D22" i="39"/>
  <c r="D23" i="39"/>
  <c r="D24" i="39"/>
  <c r="D25" i="39"/>
  <c r="D26" i="39"/>
  <c r="D27" i="39"/>
  <c r="D28" i="39"/>
  <c r="D29" i="39"/>
  <c r="D30" i="39"/>
  <c r="D31" i="39"/>
  <c r="D32" i="39"/>
  <c r="D33" i="39"/>
  <c r="D34" i="39"/>
  <c r="D35" i="39"/>
  <c r="D36" i="39"/>
  <c r="D37" i="39"/>
  <c r="D2" i="39"/>
  <c r="D1" i="39"/>
  <c r="C2" i="39"/>
  <c r="C3" i="39"/>
  <c r="C4" i="39"/>
  <c r="C5" i="39"/>
  <c r="C6" i="39"/>
  <c r="C7" i="39"/>
  <c r="C8" i="39"/>
  <c r="C9" i="39"/>
  <c r="C10" i="39"/>
  <c r="C11" i="39"/>
  <c r="C12" i="39"/>
  <c r="C13" i="39"/>
  <c r="C14" i="39"/>
  <c r="C15" i="39"/>
  <c r="C16" i="39"/>
  <c r="C17" i="39"/>
  <c r="C18" i="39"/>
  <c r="C19" i="39"/>
  <c r="C20" i="39"/>
  <c r="C21" i="39"/>
  <c r="C22" i="39"/>
  <c r="C23" i="39"/>
  <c r="C24" i="39"/>
  <c r="C25" i="39"/>
  <c r="C26" i="39"/>
  <c r="C27" i="39"/>
  <c r="C28" i="39"/>
  <c r="C29" i="39"/>
  <c r="C30" i="39"/>
  <c r="C31" i="39"/>
  <c r="C32" i="39"/>
  <c r="C33" i="39"/>
  <c r="C34" i="39"/>
  <c r="C35" i="39"/>
  <c r="C36" i="39"/>
  <c r="C37" i="39"/>
  <c r="C1" i="39"/>
  <c r="H34" i="32" l="1"/>
  <c r="H35" i="32" s="1"/>
  <c r="G34" i="32"/>
  <c r="G35" i="32" s="1"/>
  <c r="I14" i="32"/>
  <c r="I13" i="32"/>
</calcChain>
</file>

<file path=xl/sharedStrings.xml><?xml version="1.0" encoding="utf-8"?>
<sst xmlns="http://schemas.openxmlformats.org/spreadsheetml/2006/main" count="245" uniqueCount="123">
  <si>
    <t>Edad</t>
  </si>
  <si>
    <t>Pais</t>
  </si>
  <si>
    <t>F0</t>
  </si>
  <si>
    <t>F1</t>
  </si>
  <si>
    <t>F2</t>
  </si>
  <si>
    <t>F3</t>
  </si>
  <si>
    <t>CC</t>
  </si>
  <si>
    <t>Costos</t>
  </si>
  <si>
    <t>4WeekDAA</t>
  </si>
  <si>
    <t>DxHCV</t>
  </si>
  <si>
    <t>Assesment</t>
  </si>
  <si>
    <t>F0-f2</t>
  </si>
  <si>
    <t>f3</t>
  </si>
  <si>
    <t>DC</t>
  </si>
  <si>
    <t>LC</t>
  </si>
  <si>
    <t>G1</t>
  </si>
  <si>
    <t>G2</t>
  </si>
  <si>
    <t>G3</t>
  </si>
  <si>
    <t>O</t>
  </si>
  <si>
    <t>F4</t>
  </si>
  <si>
    <t>DC1</t>
  </si>
  <si>
    <t>HCC</t>
  </si>
  <si>
    <t>LDR</t>
  </si>
  <si>
    <t>Estado Inicial</t>
  </si>
  <si>
    <t>Estado Final</t>
  </si>
  <si>
    <t>Probabilidad</t>
  </si>
  <si>
    <t>Background Mortality</t>
  </si>
  <si>
    <t>Parametro</t>
  </si>
  <si>
    <t>Valor</t>
  </si>
  <si>
    <t>Epidemiologia</t>
  </si>
  <si>
    <t>Cohorte</t>
  </si>
  <si>
    <t>Descuento</t>
  </si>
  <si>
    <t>SVRF4</t>
  </si>
  <si>
    <t>F0-F2</t>
  </si>
  <si>
    <t>SVR</t>
  </si>
  <si>
    <t>Colombia</t>
  </si>
  <si>
    <t>UTILIDAD</t>
  </si>
  <si>
    <t>F0SVR</t>
  </si>
  <si>
    <t>F1SVR</t>
  </si>
  <si>
    <t>F2SVR</t>
  </si>
  <si>
    <t>F3SVR</t>
  </si>
  <si>
    <t>F4SVR</t>
  </si>
  <si>
    <t>Cirrosis Descompensadas:</t>
  </si>
  <si>
    <t>Hepatocarcinomas:</t>
  </si>
  <si>
    <t>Qalys vividos:</t>
  </si>
  <si>
    <t>Años de vida vividos:</t>
  </si>
  <si>
    <t>Muertes asociadas a Higado:</t>
  </si>
  <si>
    <t>Sin tratamiento</t>
  </si>
  <si>
    <t>Con tratamiento</t>
  </si>
  <si>
    <t>Brasil</t>
  </si>
  <si>
    <t>Tratamiento</t>
  </si>
  <si>
    <t>%Abandono</t>
  </si>
  <si>
    <t>Costo Mensual</t>
  </si>
  <si>
    <t>Duracion Meses</t>
  </si>
  <si>
    <t>SVR Logradas:</t>
  </si>
  <si>
    <t>Cirrosis Descompensadas Evitadas:</t>
  </si>
  <si>
    <t>Hepatocarcinomas Evitados:</t>
  </si>
  <si>
    <t>Cirrosis Evitadas:</t>
  </si>
  <si>
    <t>Años de vida salvados:</t>
  </si>
  <si>
    <t>Diferencia de Costos:</t>
  </si>
  <si>
    <t>Años de vida vividos Descontados:</t>
  </si>
  <si>
    <t>Qalys vividos Descontados:</t>
  </si>
  <si>
    <t>Cirrosis:</t>
  </si>
  <si>
    <t>ICER por SVR</t>
  </si>
  <si>
    <t>ICER por Cirrosis Evitada</t>
  </si>
  <si>
    <t>ICER por DC Evitada</t>
  </si>
  <si>
    <t>ICER por HCC Evitada</t>
  </si>
  <si>
    <t>ICER por QALY</t>
  </si>
  <si>
    <t>ROI</t>
  </si>
  <si>
    <t>Dalys por discapacidad Evitados:</t>
  </si>
  <si>
    <t>Costos total de la estrategia:</t>
  </si>
  <si>
    <t>Costos total de la estrategia descontado:</t>
  </si>
  <si>
    <t>Costos evitados descontados:</t>
  </si>
  <si>
    <t>RCEI por muerte evitada</t>
  </si>
  <si>
    <t>RCEI por año de vida salvado</t>
  </si>
  <si>
    <t>Sin descuento</t>
  </si>
  <si>
    <t>Con descuento</t>
  </si>
  <si>
    <t>Muertes evitadas:</t>
  </si>
  <si>
    <t>AGREGADO</t>
  </si>
  <si>
    <t>Años de vida ajustados por discapacidad evitados:</t>
  </si>
  <si>
    <t>RCEI por año de vida ajustado por discapacidad evitado:</t>
  </si>
  <si>
    <t>Costo total de la intervención:</t>
  </si>
  <si>
    <t>Costos evitados atribuibles a la intervención:</t>
  </si>
  <si>
    <t>Argentina</t>
  </si>
  <si>
    <t>Año</t>
  </si>
  <si>
    <t>bm_actual</t>
  </si>
  <si>
    <t>i</t>
  </si>
  <si>
    <t>ccAcumulados</t>
  </si>
  <si>
    <t>SVRF0F2</t>
  </si>
  <si>
    <t>SVRF3</t>
  </si>
  <si>
    <t>addDC</t>
  </si>
  <si>
    <t>dcAcumulados</t>
  </si>
  <si>
    <t>addDC1</t>
  </si>
  <si>
    <t>hccAcumulados</t>
  </si>
  <si>
    <t>BM</t>
  </si>
  <si>
    <t>utilidadAcumuladoDescontado</t>
  </si>
  <si>
    <t>añosVidaDescontados</t>
  </si>
  <si>
    <t>disutilidadAcumuladaDescontado</t>
  </si>
  <si>
    <t>utilidadAcumulado</t>
  </si>
  <si>
    <t>añosVida</t>
  </si>
  <si>
    <t>disutilidadAcumulada</t>
  </si>
  <si>
    <t>costoF0</t>
  </si>
  <si>
    <t>costoF1</t>
  </si>
  <si>
    <t>costoF2</t>
  </si>
  <si>
    <t>costoF3</t>
  </si>
  <si>
    <t>costoF4</t>
  </si>
  <si>
    <t>costoDC</t>
  </si>
  <si>
    <t>costoHCC</t>
  </si>
  <si>
    <t>costoCiclo</t>
  </si>
  <si>
    <t>CostoAcumulado</t>
  </si>
  <si>
    <t>dCostoAcumulado</t>
  </si>
  <si>
    <t>edadInicio</t>
  </si>
  <si>
    <t>CostoF0</t>
  </si>
  <si>
    <t>CostoF1</t>
  </si>
  <si>
    <t>CostoF2</t>
  </si>
  <si>
    <t>CostoF3</t>
  </si>
  <si>
    <t>CostoF4</t>
  </si>
  <si>
    <t>costoAcumulado</t>
  </si>
  <si>
    <t>CostoCiclo</t>
  </si>
  <si>
    <t>utilidadCiclo</t>
  </si>
  <si>
    <t>disutilidadCiclo</t>
  </si>
  <si>
    <t>CostoDC</t>
  </si>
  <si>
    <t>CostoHCC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</si>
</sst>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164" formatCode="&quot;$&quot;#,##0.00_);[Red]\(&quot;$&quot;#,##0.00\)"/>
    <numFmt numFmtId="165" formatCode="#,##0.0000"/>
    <numFmt numFmtId="166" formatCode="0.000"/>
    <numFmt numFmtId="167" formatCode="#,##0.0000000000"/>
    <numFmt numFmtId="168" formatCode="&quot;$&quot;#,##0.00"/>
    <numFmt numFmtId="169" formatCode="0.00000000"/>
  </numFmts>
  <fonts count="11" x14ac:knownFonts="1">
    <font>
      <sz val="10"/>
      <color rgb="FF000000"/>
      <name val="Arial"/>
      <scheme val="minor"/>
    </font>
    <font>
      <sz val="10"/>
      <color theme="1"/>
      <name val="Arial"/>
      <family val="2"/>
      <scheme val="minor"/>
    </font>
    <font>
      <sz val="10"/>
      <color theme="1"/>
      <name val="Arial"/>
      <family val="2"/>
    </font>
    <font>
      <sz val="11"/>
      <color rgb="FF000000"/>
      <name val="Calibri"/>
      <family val="2"/>
    </font>
    <font>
      <sz val="12"/>
      <color rgb="FF212121"/>
      <name val="Arial"/>
      <family val="2"/>
    </font>
    <font>
      <sz val="10"/>
      <color rgb="FF000000"/>
      <name val="Arial"/>
      <family val="2"/>
      <scheme val="minor"/>
    </font>
    <font>
      <u/>
      <sz val="10"/>
      <color theme="1"/>
      <name val="Arial"/>
      <family val="2"/>
      <scheme val="minor"/>
    </font>
    <font>
      <b/>
      <sz val="10"/>
      <color rgb="FF000000"/>
      <name val="Arial"/>
      <family val="2"/>
      <scheme val="minor"/>
    </font>
    <font>
      <u/>
      <sz val="10"/>
      <color rgb="FF000000"/>
      <name val="Arial"/>
      <family val="2"/>
      <scheme val="minor"/>
    </font>
    <font>
      <sz val="11"/>
      <color rgb="FF006100"/>
      <name val="Arial"/>
      <family val="2"/>
      <scheme val="minor"/>
    </font>
    <font>
      <sz val="11"/>
      <color rgb="FF9C0006"/>
      <name val="Arial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2" tint="-0.149998474074526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</fills>
  <borders count="3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</borders>
  <cellStyleXfs count="3">
    <xf numFmtId="0" fontId="0" fillId="0" borderId="0"/>
    <xf numFmtId="0" fontId="9" fillId="12" borderId="0" applyNumberFormat="0" applyBorder="0" applyAlignment="0" applyProtection="0"/>
    <xf numFmtId="0" fontId="10" fillId="13" borderId="0" applyNumberFormat="0" applyBorder="0" applyAlignment="0" applyProtection="0"/>
  </cellStyleXfs>
  <cellXfs count="116">
    <xf numFmtId="0" fontId="0" fillId="0" borderId="0" xfId="0" applyFont="1" applyAlignment="1"/>
    <xf numFmtId="0" fontId="1" fillId="0" borderId="0" xfId="0" applyFont="1" applyAlignment="1"/>
    <xf numFmtId="165" fontId="1" fillId="0" borderId="0" xfId="0" applyNumberFormat="1" applyFont="1"/>
    <xf numFmtId="165" fontId="1" fillId="0" borderId="0" xfId="0" applyNumberFormat="1" applyFont="1" applyAlignment="1"/>
    <xf numFmtId="165" fontId="2" fillId="0" borderId="0" xfId="0" applyNumberFormat="1" applyFont="1" applyAlignment="1">
      <alignment horizontal="right"/>
    </xf>
    <xf numFmtId="165" fontId="2" fillId="0" borderId="0" xfId="0" applyNumberFormat="1" applyFont="1" applyAlignment="1"/>
    <xf numFmtId="0" fontId="2" fillId="0" borderId="0" xfId="0" applyFont="1" applyAlignment="1"/>
    <xf numFmtId="3" fontId="1" fillId="0" borderId="0" xfId="0" applyNumberFormat="1" applyFont="1" applyAlignment="1"/>
    <xf numFmtId="0" fontId="4" fillId="2" borderId="0" xfId="0" applyFont="1" applyFill="1" applyAlignment="1"/>
    <xf numFmtId="0" fontId="5" fillId="0" borderId="0" xfId="0" applyFont="1" applyAlignment="1"/>
    <xf numFmtId="0" fontId="5" fillId="0" borderId="1" xfId="0" applyFont="1" applyBorder="1" applyAlignment="1"/>
    <xf numFmtId="0" fontId="1" fillId="0" borderId="1" xfId="0" applyFont="1" applyBorder="1" applyAlignment="1"/>
    <xf numFmtId="0" fontId="1" fillId="0" borderId="0" xfId="0" applyFont="1" applyBorder="1" applyAlignment="1"/>
    <xf numFmtId="0" fontId="0" fillId="0" borderId="0" xfId="0" applyFont="1" applyBorder="1" applyAlignment="1"/>
    <xf numFmtId="0" fontId="5" fillId="0" borderId="0" xfId="0" applyFont="1" applyBorder="1" applyAlignment="1"/>
    <xf numFmtId="166" fontId="0" fillId="0" borderId="0" xfId="0" applyNumberFormat="1" applyFont="1" applyBorder="1" applyAlignment="1"/>
    <xf numFmtId="166" fontId="1" fillId="0" borderId="0" xfId="0" applyNumberFormat="1" applyFont="1" applyBorder="1" applyAlignment="1"/>
    <xf numFmtId="0" fontId="5" fillId="0" borderId="0" xfId="0" applyFont="1" applyFill="1" applyBorder="1" applyAlignment="1"/>
    <xf numFmtId="0" fontId="1" fillId="4" borderId="1" xfId="0" applyFont="1" applyFill="1" applyBorder="1" applyAlignment="1"/>
    <xf numFmtId="0" fontId="0" fillId="0" borderId="1" xfId="0" applyFont="1" applyBorder="1" applyAlignment="1"/>
    <xf numFmtId="0" fontId="1" fillId="4" borderId="4" xfId="0" applyFont="1" applyFill="1" applyBorder="1" applyAlignment="1"/>
    <xf numFmtId="0" fontId="1" fillId="4" borderId="7" xfId="0" applyFont="1" applyFill="1" applyBorder="1" applyAlignment="1"/>
    <xf numFmtId="0" fontId="5" fillId="5" borderId="12" xfId="0" applyFont="1" applyFill="1" applyBorder="1" applyAlignment="1"/>
    <xf numFmtId="0" fontId="5" fillId="5" borderId="3" xfId="0" applyFont="1" applyFill="1" applyBorder="1" applyAlignment="1"/>
    <xf numFmtId="0" fontId="0" fillId="4" borderId="4" xfId="0" applyFont="1" applyFill="1" applyBorder="1" applyAlignment="1"/>
    <xf numFmtId="0" fontId="0" fillId="0" borderId="5" xfId="0" applyFont="1" applyBorder="1" applyAlignment="1"/>
    <xf numFmtId="0" fontId="0" fillId="0" borderId="9" xfId="0" applyFont="1" applyBorder="1" applyAlignment="1"/>
    <xf numFmtId="167" fontId="1" fillId="0" borderId="1" xfId="0" applyNumberFormat="1" applyFont="1" applyBorder="1" applyAlignment="1"/>
    <xf numFmtId="0" fontId="0" fillId="0" borderId="0" xfId="0" applyFont="1" applyFill="1" applyBorder="1" applyAlignment="1"/>
    <xf numFmtId="0" fontId="5" fillId="0" borderId="1" xfId="0" applyFont="1" applyFill="1" applyBorder="1" applyAlignment="1"/>
    <xf numFmtId="0" fontId="1" fillId="0" borderId="1" xfId="0" applyFont="1" applyFill="1" applyBorder="1" applyAlignment="1"/>
    <xf numFmtId="0" fontId="0" fillId="7" borderId="0" xfId="0" applyFont="1" applyFill="1" applyAlignment="1"/>
    <xf numFmtId="0" fontId="5" fillId="0" borderId="4" xfId="0" applyFont="1" applyBorder="1" applyAlignment="1"/>
    <xf numFmtId="166" fontId="0" fillId="0" borderId="5" xfId="0" applyNumberFormat="1" applyFont="1" applyBorder="1" applyAlignment="1"/>
    <xf numFmtId="0" fontId="1" fillId="0" borderId="4" xfId="0" applyFont="1" applyBorder="1" applyAlignment="1"/>
    <xf numFmtId="166" fontId="1" fillId="0" borderId="5" xfId="0" applyNumberFormat="1" applyFont="1" applyBorder="1" applyAlignment="1"/>
    <xf numFmtId="0" fontId="5" fillId="0" borderId="4" xfId="0" applyFont="1" applyFill="1" applyBorder="1" applyAlignment="1"/>
    <xf numFmtId="0" fontId="5" fillId="0" borderId="7" xfId="0" applyFont="1" applyFill="1" applyBorder="1" applyAlignment="1"/>
    <xf numFmtId="0" fontId="5" fillId="0" borderId="8" xfId="0" applyFont="1" applyFill="1" applyBorder="1" applyAlignment="1"/>
    <xf numFmtId="0" fontId="5" fillId="0" borderId="6" xfId="0" applyFont="1" applyBorder="1" applyAlignment="1"/>
    <xf numFmtId="0" fontId="5" fillId="0" borderId="2" xfId="0" applyFont="1" applyBorder="1" applyAlignment="1"/>
    <xf numFmtId="166" fontId="0" fillId="0" borderId="18" xfId="0" applyNumberFormat="1" applyFont="1" applyBorder="1" applyAlignment="1"/>
    <xf numFmtId="0" fontId="5" fillId="3" borderId="15" xfId="0" applyFont="1" applyFill="1" applyBorder="1" applyAlignment="1"/>
    <xf numFmtId="0" fontId="5" fillId="3" borderId="17" xfId="0" applyFont="1" applyFill="1" applyBorder="1" applyAlignment="1"/>
    <xf numFmtId="0" fontId="5" fillId="3" borderId="16" xfId="0" applyFont="1" applyFill="1" applyBorder="1" applyAlignment="1"/>
    <xf numFmtId="0" fontId="0" fillId="0" borderId="0" xfId="0" applyFont="1" applyAlignment="1"/>
    <xf numFmtId="0" fontId="5" fillId="6" borderId="1" xfId="0" applyFont="1" applyFill="1" applyBorder="1" applyAlignment="1">
      <alignment horizontal="center"/>
    </xf>
    <xf numFmtId="0" fontId="5" fillId="4" borderId="1" xfId="0" applyFont="1" applyFill="1" applyBorder="1" applyAlignment="1"/>
    <xf numFmtId="0" fontId="0" fillId="4" borderId="1" xfId="0" applyFont="1" applyFill="1" applyBorder="1" applyAlignment="1"/>
    <xf numFmtId="166" fontId="0" fillId="0" borderId="19" xfId="0" applyNumberFormat="1" applyFont="1" applyBorder="1" applyAlignment="1"/>
    <xf numFmtId="166" fontId="0" fillId="0" borderId="0" xfId="0" applyNumberFormat="1" applyFont="1" applyFill="1" applyBorder="1" applyAlignment="1"/>
    <xf numFmtId="166" fontId="1" fillId="0" borderId="0" xfId="0" applyNumberFormat="1" applyFont="1" applyFill="1" applyBorder="1" applyAlignment="1"/>
    <xf numFmtId="165" fontId="1" fillId="0" borderId="0" xfId="0" applyNumberFormat="1" applyFont="1" applyBorder="1" applyAlignment="1"/>
    <xf numFmtId="0" fontId="3" fillId="0" borderId="0" xfId="0" applyFont="1" applyBorder="1" applyAlignment="1"/>
    <xf numFmtId="165" fontId="2" fillId="0" borderId="0" xfId="0" applyNumberFormat="1" applyFont="1" applyBorder="1" applyAlignment="1">
      <alignment horizontal="right"/>
    </xf>
    <xf numFmtId="165" fontId="6" fillId="0" borderId="0" xfId="0" applyNumberFormat="1" applyFont="1" applyBorder="1" applyAlignment="1"/>
    <xf numFmtId="165" fontId="1" fillId="0" borderId="0" xfId="0" applyNumberFormat="1" applyFont="1" applyFill="1" applyBorder="1" applyAlignment="1"/>
    <xf numFmtId="0" fontId="5" fillId="6" borderId="0" xfId="0" applyFont="1" applyFill="1" applyBorder="1" applyAlignment="1">
      <alignment horizontal="center"/>
    </xf>
    <xf numFmtId="0" fontId="5" fillId="0" borderId="0" xfId="0" applyFont="1" applyFill="1" applyAlignment="1"/>
    <xf numFmtId="0" fontId="5" fillId="0" borderId="10" xfId="0" applyFont="1" applyBorder="1" applyAlignment="1"/>
    <xf numFmtId="0" fontId="5" fillId="0" borderId="11" xfId="0" applyFont="1" applyBorder="1" applyAlignment="1"/>
    <xf numFmtId="0" fontId="5" fillId="0" borderId="7" xfId="0" applyFont="1" applyBorder="1" applyAlignment="1"/>
    <xf numFmtId="0" fontId="0" fillId="4" borderId="1" xfId="0" applyFont="1" applyFill="1" applyBorder="1" applyAlignment="1">
      <alignment horizontal="center"/>
    </xf>
    <xf numFmtId="0" fontId="1" fillId="8" borderId="1" xfId="0" applyFont="1" applyFill="1" applyBorder="1" applyAlignment="1"/>
    <xf numFmtId="0" fontId="0" fillId="8" borderId="1" xfId="0" applyFont="1" applyFill="1" applyBorder="1" applyAlignment="1"/>
    <xf numFmtId="0" fontId="5" fillId="4" borderId="19" xfId="0" applyFont="1" applyFill="1" applyBorder="1" applyAlignment="1">
      <alignment horizontal="center"/>
    </xf>
    <xf numFmtId="0" fontId="5" fillId="4" borderId="20" xfId="0" applyFont="1" applyFill="1" applyBorder="1" applyAlignment="1">
      <alignment horizontal="center"/>
    </xf>
    <xf numFmtId="0" fontId="5" fillId="4" borderId="19" xfId="0" applyFont="1" applyFill="1" applyBorder="1" applyAlignment="1">
      <alignment horizontal="left"/>
    </xf>
    <xf numFmtId="0" fontId="5" fillId="4" borderId="20" xfId="0" applyFont="1" applyFill="1" applyBorder="1" applyAlignment="1">
      <alignment horizontal="left"/>
    </xf>
    <xf numFmtId="0" fontId="5" fillId="7" borderId="0" xfId="0" applyFont="1" applyFill="1" applyBorder="1" applyAlignment="1"/>
    <xf numFmtId="168" fontId="5" fillId="0" borderId="1" xfId="0" applyNumberFormat="1" applyFont="1" applyBorder="1" applyAlignment="1"/>
    <xf numFmtId="0" fontId="7" fillId="10" borderId="19" xfId="0" applyFont="1" applyFill="1" applyBorder="1" applyAlignment="1">
      <alignment horizontal="left"/>
    </xf>
    <xf numFmtId="0" fontId="7" fillId="10" borderId="20" xfId="0" applyFont="1" applyFill="1" applyBorder="1" applyAlignment="1">
      <alignment horizontal="left"/>
    </xf>
    <xf numFmtId="0" fontId="7" fillId="10" borderId="1" xfId="0" applyFont="1" applyFill="1" applyBorder="1" applyAlignment="1"/>
    <xf numFmtId="0" fontId="5" fillId="10" borderId="20" xfId="0" applyFont="1" applyFill="1" applyBorder="1" applyAlignment="1">
      <alignment horizontal="left"/>
    </xf>
    <xf numFmtId="4" fontId="0" fillId="0" borderId="1" xfId="0" applyNumberFormat="1" applyFont="1" applyBorder="1" applyAlignment="1"/>
    <xf numFmtId="0" fontId="5" fillId="9" borderId="1" xfId="0" applyFont="1" applyFill="1" applyBorder="1" applyAlignment="1"/>
    <xf numFmtId="0" fontId="7" fillId="10" borderId="19" xfId="0" applyFont="1" applyFill="1" applyBorder="1" applyAlignment="1">
      <alignment horizontal="center"/>
    </xf>
    <xf numFmtId="0" fontId="7" fillId="10" borderId="20" xfId="0" applyFont="1" applyFill="1" applyBorder="1" applyAlignment="1">
      <alignment horizontal="center"/>
    </xf>
    <xf numFmtId="168" fontId="7" fillId="10" borderId="19" xfId="0" applyNumberFormat="1" applyFont="1" applyFill="1" applyBorder="1" applyAlignment="1"/>
    <xf numFmtId="168" fontId="7" fillId="0" borderId="19" xfId="0" applyNumberFormat="1" applyFont="1" applyBorder="1" applyAlignment="1"/>
    <xf numFmtId="0" fontId="7" fillId="10" borderId="4" xfId="0" applyFont="1" applyFill="1" applyBorder="1" applyAlignment="1"/>
    <xf numFmtId="168" fontId="7" fillId="10" borderId="23" xfId="0" applyNumberFormat="1" applyFont="1" applyFill="1" applyBorder="1" applyAlignment="1"/>
    <xf numFmtId="0" fontId="7" fillId="10" borderId="7" xfId="0" applyFont="1" applyFill="1" applyBorder="1" applyAlignment="1"/>
    <xf numFmtId="168" fontId="7" fillId="10" borderId="24" xfId="0" applyNumberFormat="1" applyFont="1" applyFill="1" applyBorder="1" applyAlignment="1"/>
    <xf numFmtId="0" fontId="7" fillId="10" borderId="25" xfId="0" applyFont="1" applyFill="1" applyBorder="1" applyAlignment="1">
      <alignment horizontal="left"/>
    </xf>
    <xf numFmtId="0" fontId="7" fillId="10" borderId="26" xfId="0" applyFont="1" applyFill="1" applyBorder="1" applyAlignment="1">
      <alignment horizontal="left"/>
    </xf>
    <xf numFmtId="0" fontId="7" fillId="10" borderId="30" xfId="0" applyFont="1" applyFill="1" applyBorder="1" applyAlignment="1">
      <alignment horizontal="left"/>
    </xf>
    <xf numFmtId="0" fontId="7" fillId="10" borderId="31" xfId="0" applyFont="1" applyFill="1" applyBorder="1" applyAlignment="1">
      <alignment horizontal="left"/>
    </xf>
    <xf numFmtId="0" fontId="5" fillId="10" borderId="32" xfId="0" applyFont="1" applyFill="1" applyBorder="1" applyAlignment="1">
      <alignment horizontal="left"/>
    </xf>
    <xf numFmtId="0" fontId="7" fillId="3" borderId="19" xfId="0" applyFont="1" applyFill="1" applyBorder="1" applyAlignment="1">
      <alignment horizontal="center"/>
    </xf>
    <xf numFmtId="0" fontId="7" fillId="3" borderId="20" xfId="0" applyFont="1" applyFill="1" applyBorder="1" applyAlignment="1">
      <alignment horizontal="center"/>
    </xf>
    <xf numFmtId="0" fontId="0" fillId="11" borderId="0" xfId="0" applyFont="1" applyFill="1" applyAlignment="1"/>
    <xf numFmtId="164" fontId="0" fillId="0" borderId="0" xfId="0" applyNumberFormat="1" applyFont="1" applyAlignment="1"/>
    <xf numFmtId="0" fontId="5" fillId="0" borderId="33" xfId="0" applyFont="1" applyBorder="1" applyAlignment="1">
      <alignment horizontal="right" wrapText="1"/>
    </xf>
    <xf numFmtId="0" fontId="8" fillId="0" borderId="0" xfId="0" applyFont="1" applyAlignment="1"/>
    <xf numFmtId="169" fontId="5" fillId="0" borderId="33" xfId="0" applyNumberFormat="1" applyFont="1" applyBorder="1" applyAlignment="1">
      <alignment horizontal="right" wrapText="1"/>
    </xf>
    <xf numFmtId="0" fontId="7" fillId="0" borderId="0" xfId="0" applyFont="1" applyAlignment="1"/>
    <xf numFmtId="169" fontId="7" fillId="0" borderId="0" xfId="0" applyNumberFormat="1" applyFont="1" applyAlignment="1"/>
    <xf numFmtId="2" fontId="7" fillId="0" borderId="0" xfId="0" applyNumberFormat="1" applyFont="1" applyAlignment="1"/>
    <xf numFmtId="0" fontId="9" fillId="12" borderId="1" xfId="1" applyBorder="1" applyAlignment="1"/>
    <xf numFmtId="0" fontId="9" fillId="12" borderId="21" xfId="1" applyBorder="1" applyAlignment="1"/>
    <xf numFmtId="168" fontId="9" fillId="12" borderId="1" xfId="1" applyNumberFormat="1" applyBorder="1" applyAlignment="1"/>
    <xf numFmtId="0" fontId="5" fillId="6" borderId="13" xfId="0" applyFont="1" applyFill="1" applyBorder="1" applyAlignment="1">
      <alignment horizontal="center"/>
    </xf>
    <xf numFmtId="0" fontId="0" fillId="6" borderId="14" xfId="0" applyFont="1" applyFill="1" applyBorder="1" applyAlignment="1">
      <alignment horizontal="center"/>
    </xf>
    <xf numFmtId="0" fontId="5" fillId="11" borderId="22" xfId="0" applyFont="1" applyFill="1" applyBorder="1" applyAlignment="1">
      <alignment horizontal="center"/>
    </xf>
    <xf numFmtId="0" fontId="0" fillId="11" borderId="3" xfId="0" applyFont="1" applyFill="1" applyBorder="1" applyAlignment="1">
      <alignment horizontal="center"/>
    </xf>
    <xf numFmtId="0" fontId="5" fillId="11" borderId="27" xfId="0" applyFont="1" applyFill="1" applyBorder="1" applyAlignment="1">
      <alignment horizontal="center"/>
    </xf>
    <xf numFmtId="0" fontId="5" fillId="11" borderId="28" xfId="0" applyFont="1" applyFill="1" applyBorder="1" applyAlignment="1">
      <alignment horizontal="center"/>
    </xf>
    <xf numFmtId="0" fontId="5" fillId="11" borderId="29" xfId="0" applyFont="1" applyFill="1" applyBorder="1" applyAlignment="1">
      <alignment horizontal="center"/>
    </xf>
    <xf numFmtId="0" fontId="5" fillId="6" borderId="1" xfId="0" applyFont="1" applyFill="1" applyBorder="1" applyAlignment="1">
      <alignment horizontal="center"/>
    </xf>
    <xf numFmtId="10" fontId="9" fillId="12" borderId="21" xfId="1" applyNumberFormat="1" applyBorder="1" applyAlignment="1"/>
    <xf numFmtId="168" fontId="9" fillId="12" borderId="8" xfId="1" applyNumberFormat="1" applyBorder="1" applyAlignment="1"/>
    <xf numFmtId="168" fontId="9" fillId="12" borderId="9" xfId="1" applyNumberFormat="1" applyBorder="1" applyAlignment="1"/>
    <xf numFmtId="2" fontId="10" fillId="13" borderId="1" xfId="2" applyNumberFormat="1" applyBorder="1" applyAlignment="1"/>
    <xf numFmtId="2" fontId="10" fillId="13" borderId="5" xfId="2" applyNumberFormat="1" applyBorder="1" applyAlignment="1"/>
  </cellXfs>
  <cellStyles count="3">
    <cellStyle name="Bueno" xfId="1" builtinId="26"/>
    <cellStyle name="Incorrecto" xfId="2" builtinId="27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28</xdr:row>
          <xdr:rowOff>0</xdr:rowOff>
        </xdr:from>
        <xdr:to>
          <xdr:col>2</xdr:col>
          <xdr:colOff>434340</xdr:colOff>
          <xdr:row>30</xdr:row>
          <xdr:rowOff>144780</xdr:rowOff>
        </xdr:to>
        <xdr:sp macro="" textlink="">
          <xdr:nvSpPr>
            <xdr:cNvPr id="41985" name="CommandButton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0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"/>
  <dimension ref="A1:I35"/>
  <sheetViews>
    <sheetView tabSelected="1" topLeftCell="A7" workbookViewId="0">
      <selection activeCell="G20" sqref="G20"/>
    </sheetView>
  </sheetViews>
  <sheetFormatPr baseColWidth="10" defaultRowHeight="13.2" x14ac:dyDescent="0.25"/>
  <cols>
    <col min="1" max="1" width="14" customWidth="1"/>
    <col min="2" max="2" width="12.44140625" customWidth="1"/>
    <col min="5" max="5" width="45.44140625" customWidth="1"/>
    <col min="6" max="6" width="15.5546875" customWidth="1"/>
    <col min="7" max="7" width="20.44140625" customWidth="1"/>
    <col min="8" max="8" width="51" customWidth="1"/>
    <col min="9" max="9" width="14.6640625" bestFit="1" customWidth="1"/>
  </cols>
  <sheetData>
    <row r="1" spans="1:9" x14ac:dyDescent="0.25">
      <c r="A1" s="47" t="s">
        <v>30</v>
      </c>
      <c r="B1" s="64">
        <v>10000</v>
      </c>
    </row>
    <row r="2" spans="1:9" x14ac:dyDescent="0.25">
      <c r="A2" s="18" t="s">
        <v>31</v>
      </c>
      <c r="B2" s="19">
        <v>0.05</v>
      </c>
    </row>
    <row r="3" spans="1:9" x14ac:dyDescent="0.25">
      <c r="A3" s="48"/>
      <c r="B3" s="19"/>
      <c r="E3" s="31"/>
      <c r="F3" s="62" t="s">
        <v>47</v>
      </c>
      <c r="G3" s="62" t="s">
        <v>48</v>
      </c>
    </row>
    <row r="4" spans="1:9" x14ac:dyDescent="0.25">
      <c r="A4" s="18" t="s">
        <v>1</v>
      </c>
      <c r="B4" s="11" t="s">
        <v>83</v>
      </c>
      <c r="E4" s="47" t="s">
        <v>62</v>
      </c>
      <c r="F4" s="75">
        <v>8606.5195018278991</v>
      </c>
      <c r="G4" s="75">
        <v>5012.9637380863815</v>
      </c>
    </row>
    <row r="5" spans="1:9" x14ac:dyDescent="0.25">
      <c r="A5" s="18" t="s">
        <v>2</v>
      </c>
      <c r="B5" s="63">
        <v>13.15</v>
      </c>
      <c r="E5" s="48" t="s">
        <v>42</v>
      </c>
      <c r="F5" s="75">
        <v>4459.4499926001636</v>
      </c>
      <c r="G5" s="75">
        <v>1077.0132306813698</v>
      </c>
    </row>
    <row r="6" spans="1:9" x14ac:dyDescent="0.25">
      <c r="A6" s="18" t="s">
        <v>3</v>
      </c>
      <c r="B6" s="63">
        <v>13.65</v>
      </c>
      <c r="E6" s="48" t="s">
        <v>43</v>
      </c>
      <c r="F6" s="75">
        <v>2917.5481363219997</v>
      </c>
      <c r="G6" s="75">
        <v>966.63477866497783</v>
      </c>
    </row>
    <row r="7" spans="1:9" x14ac:dyDescent="0.25">
      <c r="A7" s="18" t="s">
        <v>4</v>
      </c>
      <c r="B7" s="63">
        <v>9.1</v>
      </c>
      <c r="E7" s="48" t="s">
        <v>46</v>
      </c>
      <c r="F7" s="75">
        <v>5358.4272535510136</v>
      </c>
      <c r="G7" s="75">
        <v>1532.760705148745</v>
      </c>
    </row>
    <row r="8" spans="1:9" x14ac:dyDescent="0.25">
      <c r="A8" s="18" t="s">
        <v>5</v>
      </c>
      <c r="B8" s="63">
        <v>14.7</v>
      </c>
      <c r="E8" s="47" t="s">
        <v>44</v>
      </c>
      <c r="F8" s="75">
        <v>214219.64701454042</v>
      </c>
      <c r="G8" s="75">
        <v>284343.4116922635</v>
      </c>
    </row>
    <row r="9" spans="1:9" x14ac:dyDescent="0.25">
      <c r="A9" s="18" t="s">
        <v>6</v>
      </c>
      <c r="B9" s="63">
        <v>49.4</v>
      </c>
      <c r="E9" s="47" t="s">
        <v>61</v>
      </c>
      <c r="F9" s="75">
        <v>123014.13319521528</v>
      </c>
      <c r="G9" s="75">
        <v>147858.0675306902</v>
      </c>
    </row>
    <row r="10" spans="1:9" ht="13.8" thickBot="1" x14ac:dyDescent="0.3">
      <c r="E10" s="48" t="s">
        <v>45</v>
      </c>
      <c r="F10" s="75">
        <v>219090.92752207711</v>
      </c>
      <c r="G10" s="75">
        <v>285640.81018056255</v>
      </c>
    </row>
    <row r="11" spans="1:9" ht="13.8" thickBot="1" x14ac:dyDescent="0.3">
      <c r="A11" s="103" t="s">
        <v>7</v>
      </c>
      <c r="B11" s="104"/>
      <c r="E11" s="47" t="s">
        <v>60</v>
      </c>
      <c r="F11" s="75">
        <v>125413.46481596625</v>
      </c>
      <c r="G11" s="75">
        <v>148484.74871578309</v>
      </c>
    </row>
    <row r="12" spans="1:9" x14ac:dyDescent="0.25">
      <c r="A12" s="22" t="s">
        <v>27</v>
      </c>
      <c r="B12" s="23" t="s">
        <v>28</v>
      </c>
      <c r="E12" s="73" t="s">
        <v>81</v>
      </c>
      <c r="F12" s="70">
        <v>0</v>
      </c>
      <c r="G12" s="79">
        <v>54907776.000000007</v>
      </c>
      <c r="H12" s="105" t="s">
        <v>78</v>
      </c>
      <c r="I12" s="106"/>
    </row>
    <row r="13" spans="1:9" x14ac:dyDescent="0.25">
      <c r="A13" s="20" t="s">
        <v>52</v>
      </c>
      <c r="B13" s="63">
        <v>1744.88</v>
      </c>
      <c r="C13" s="58"/>
      <c r="E13" s="47" t="s">
        <v>70</v>
      </c>
      <c r="F13" s="70">
        <v>94674980.701901436</v>
      </c>
      <c r="G13" s="80">
        <v>71930048.461862788</v>
      </c>
      <c r="H13" s="81" t="s">
        <v>82</v>
      </c>
      <c r="I13" s="82">
        <f>(F13-F$12)-(G13-G$12)</f>
        <v>77652708.240038663</v>
      </c>
    </row>
    <row r="14" spans="1:9" ht="13.8" thickBot="1" x14ac:dyDescent="0.3">
      <c r="A14" s="20"/>
      <c r="B14" s="11"/>
      <c r="E14" s="47" t="s">
        <v>71</v>
      </c>
      <c r="F14" s="70">
        <v>46083581.671109922</v>
      </c>
      <c r="G14" s="80">
        <v>62620532.972866833</v>
      </c>
      <c r="H14" s="83" t="s">
        <v>72</v>
      </c>
      <c r="I14" s="84">
        <f>(F14-F$12)-(G14-G$12)</f>
        <v>38370824.698243096</v>
      </c>
    </row>
    <row r="15" spans="1:9" x14ac:dyDescent="0.25">
      <c r="A15" s="20" t="s">
        <v>10</v>
      </c>
      <c r="B15" s="63">
        <v>311.60000000000002</v>
      </c>
      <c r="E15" s="69"/>
      <c r="F15" s="31"/>
      <c r="G15" s="31"/>
      <c r="H15" s="45"/>
    </row>
    <row r="16" spans="1:9" ht="13.8" x14ac:dyDescent="0.25">
      <c r="A16" s="24"/>
      <c r="B16" s="11"/>
      <c r="E16" s="90" t="s">
        <v>54</v>
      </c>
      <c r="F16" s="91"/>
      <c r="G16" s="100">
        <v>9801</v>
      </c>
      <c r="H16" s="45"/>
    </row>
    <row r="17" spans="1:8" ht="13.8" x14ac:dyDescent="0.25">
      <c r="A17" s="20" t="s">
        <v>33</v>
      </c>
      <c r="B17" s="63">
        <v>65.36</v>
      </c>
      <c r="E17" s="77" t="s">
        <v>57</v>
      </c>
      <c r="F17" s="78"/>
      <c r="G17" s="100">
        <v>3593.5557637415177</v>
      </c>
      <c r="H17" s="45"/>
    </row>
    <row r="18" spans="1:8" ht="13.8" x14ac:dyDescent="0.25">
      <c r="A18" s="20" t="s">
        <v>5</v>
      </c>
      <c r="B18" s="63">
        <v>61.07</v>
      </c>
      <c r="E18" s="90" t="s">
        <v>55</v>
      </c>
      <c r="F18" s="91"/>
      <c r="G18" s="100">
        <v>3382.4367619187938</v>
      </c>
      <c r="H18" s="45"/>
    </row>
    <row r="19" spans="1:8" ht="13.8" x14ac:dyDescent="0.25">
      <c r="A19" s="20" t="s">
        <v>19</v>
      </c>
      <c r="B19" s="63">
        <v>194.52</v>
      </c>
      <c r="E19" s="77" t="s">
        <v>56</v>
      </c>
      <c r="F19" s="78"/>
      <c r="G19" s="100">
        <v>1950.9133576570218</v>
      </c>
      <c r="H19" s="45"/>
    </row>
    <row r="20" spans="1:8" ht="13.8" x14ac:dyDescent="0.25">
      <c r="A20" s="20" t="s">
        <v>13</v>
      </c>
      <c r="B20" s="63">
        <v>3276.52</v>
      </c>
      <c r="E20" s="77" t="s">
        <v>77</v>
      </c>
      <c r="F20" s="78"/>
      <c r="G20" s="101">
        <v>3825.6665484022687</v>
      </c>
      <c r="H20" s="45"/>
    </row>
    <row r="21" spans="1:8" ht="13.8" thickBot="1" x14ac:dyDescent="0.3">
      <c r="A21" s="21" t="s">
        <v>21</v>
      </c>
      <c r="B21" s="63">
        <v>955.14</v>
      </c>
      <c r="E21" s="65"/>
      <c r="F21" s="66"/>
      <c r="G21" s="76" t="s">
        <v>75</v>
      </c>
      <c r="H21" s="76" t="s">
        <v>76</v>
      </c>
    </row>
    <row r="22" spans="1:8" ht="14.4" thickBot="1" x14ac:dyDescent="0.3">
      <c r="E22" s="67" t="s">
        <v>69</v>
      </c>
      <c r="F22" s="68"/>
      <c r="G22" s="100">
        <v>3573.8820192374524</v>
      </c>
      <c r="H22" s="100">
        <v>1772.6504356581022</v>
      </c>
    </row>
    <row r="23" spans="1:8" ht="14.4" thickBot="1" x14ac:dyDescent="0.3">
      <c r="A23" s="103" t="s">
        <v>50</v>
      </c>
      <c r="B23" s="104"/>
      <c r="E23" s="71" t="s">
        <v>58</v>
      </c>
      <c r="F23" s="72"/>
      <c r="G23" s="100">
        <v>66549.88265848544</v>
      </c>
      <c r="H23" s="100">
        <v>23071.283899816844</v>
      </c>
    </row>
    <row r="24" spans="1:8" ht="13.8" x14ac:dyDescent="0.25">
      <c r="A24" s="22" t="s">
        <v>27</v>
      </c>
      <c r="B24" s="23" t="s">
        <v>28</v>
      </c>
      <c r="E24" s="71" t="s">
        <v>59</v>
      </c>
      <c r="F24" s="72"/>
      <c r="G24" s="102">
        <v>-22744932.240038648</v>
      </c>
      <c r="H24" s="102">
        <v>16536951.301756911</v>
      </c>
    </row>
    <row r="25" spans="1:8" ht="13.8" x14ac:dyDescent="0.25">
      <c r="A25" s="47" t="s">
        <v>34</v>
      </c>
      <c r="B25" s="64">
        <v>0.99</v>
      </c>
      <c r="E25" s="67" t="s">
        <v>63</v>
      </c>
      <c r="F25" s="68"/>
      <c r="G25" s="102">
        <v>-2320.6746495295019</v>
      </c>
      <c r="H25" s="102">
        <v>1687.2718397874617</v>
      </c>
    </row>
    <row r="26" spans="1:8" ht="13.8" x14ac:dyDescent="0.25">
      <c r="A26" s="47" t="s">
        <v>51</v>
      </c>
      <c r="B26" s="64">
        <v>0.01</v>
      </c>
      <c r="E26" s="71" t="s">
        <v>64</v>
      </c>
      <c r="F26" s="72"/>
      <c r="G26" s="102">
        <v>-6329.3667151437803</v>
      </c>
      <c r="H26" s="102">
        <v>4601.8351707833426</v>
      </c>
    </row>
    <row r="27" spans="1:8" ht="13.8" x14ac:dyDescent="0.25">
      <c r="A27" s="47" t="s">
        <v>53</v>
      </c>
      <c r="B27" s="64">
        <v>3</v>
      </c>
      <c r="E27" s="67" t="s">
        <v>65</v>
      </c>
      <c r="F27" s="68"/>
      <c r="G27" s="102">
        <v>-6724.4220190936749</v>
      </c>
      <c r="H27" s="102">
        <v>4889.06444251623</v>
      </c>
    </row>
    <row r="28" spans="1:8" ht="13.8" x14ac:dyDescent="0.25">
      <c r="E28" s="67" t="s">
        <v>66</v>
      </c>
      <c r="F28" s="68"/>
      <c r="G28" s="102">
        <v>-11658.607057442321</v>
      </c>
      <c r="H28" s="102">
        <v>8476.5175433609238</v>
      </c>
    </row>
    <row r="29" spans="1:8" ht="13.8" x14ac:dyDescent="0.25">
      <c r="E29" s="71" t="s">
        <v>73</v>
      </c>
      <c r="F29" s="72"/>
      <c r="G29" s="102">
        <v>-5945.3514707228533</v>
      </c>
      <c r="H29" s="102">
        <v>4322.6326948602764</v>
      </c>
    </row>
    <row r="30" spans="1:8" ht="13.8" x14ac:dyDescent="0.25">
      <c r="E30" s="67" t="s">
        <v>67</v>
      </c>
      <c r="F30" s="68"/>
      <c r="G30" s="102">
        <v>-324.35412366364665</v>
      </c>
      <c r="H30" s="102">
        <v>665.63335252998252</v>
      </c>
    </row>
    <row r="31" spans="1:8" ht="13.8" x14ac:dyDescent="0.25">
      <c r="E31" s="71" t="s">
        <v>74</v>
      </c>
      <c r="F31" s="72"/>
      <c r="G31" s="102">
        <v>-341.77268736534063</v>
      </c>
      <c r="H31" s="102">
        <v>716.77637766349847</v>
      </c>
    </row>
    <row r="32" spans="1:8" ht="14.4" thickBot="1" x14ac:dyDescent="0.3">
      <c r="E32" s="85" t="s">
        <v>68</v>
      </c>
      <c r="F32" s="86"/>
      <c r="G32" s="111">
        <v>0.4142388181965091</v>
      </c>
      <c r="H32" s="111">
        <v>-0.30117685520092652</v>
      </c>
    </row>
    <row r="33" spans="5:8" x14ac:dyDescent="0.25">
      <c r="E33" s="107" t="s">
        <v>78</v>
      </c>
      <c r="F33" s="108"/>
      <c r="G33" s="108"/>
      <c r="H33" s="109"/>
    </row>
    <row r="34" spans="5:8" ht="13.8" x14ac:dyDescent="0.25">
      <c r="E34" s="87" t="s">
        <v>79</v>
      </c>
      <c r="F34" s="74"/>
      <c r="G34" s="114">
        <f>G22+G23</f>
        <v>70123.764677722895</v>
      </c>
      <c r="H34" s="115">
        <f>H22+H23</f>
        <v>24843.934335474947</v>
      </c>
    </row>
    <row r="35" spans="5:8" ht="14.4" thickBot="1" x14ac:dyDescent="0.3">
      <c r="E35" s="88" t="s">
        <v>80</v>
      </c>
      <c r="F35" s="89"/>
      <c r="G35" s="112">
        <f>G24/G34</f>
        <v>-324.3541236636475</v>
      </c>
      <c r="H35" s="113">
        <f>H24/H34</f>
        <v>665.63335252998161</v>
      </c>
    </row>
  </sheetData>
  <mergeCells count="4">
    <mergeCell ref="A11:B11"/>
    <mergeCell ref="A23:B23"/>
    <mergeCell ref="H12:I12"/>
    <mergeCell ref="E33:H33"/>
  </mergeCells>
  <dataValidations count="1">
    <dataValidation type="list" allowBlank="1" showErrorMessage="1" sqref="B4">
      <formula1>"Brasil,Colombia,Argentina"</formula1>
    </dataValidation>
  </dataValidations>
  <pageMargins left="0.7" right="0.7" top="0.75" bottom="0.75" header="0.3" footer="0.3"/>
  <pageSetup paperSize="0" orientation="portrait" horizontalDpi="0" verticalDpi="0" copies="0"/>
  <drawing r:id="rId1"/>
  <legacyDrawing r:id="rId2"/>
  <controls>
    <mc:AlternateContent xmlns:mc="http://schemas.openxmlformats.org/markup-compatibility/2006">
      <mc:Choice Requires="x14">
        <control shapeId="41985" r:id="rId3" name="CommandButton1">
          <controlPr defaultSize="0" autoLine="0" r:id="rId4">
            <anchor moveWithCells="1">
              <from>
                <xdr:col>0</xdr:col>
                <xdr:colOff>38100</xdr:colOff>
                <xdr:row>28</xdr:row>
                <xdr:rowOff>0</xdr:rowOff>
              </from>
              <to>
                <xdr:col>2</xdr:col>
                <xdr:colOff>434340</xdr:colOff>
                <xdr:row>30</xdr:row>
                <xdr:rowOff>144780</xdr:rowOff>
              </to>
            </anchor>
          </controlPr>
        </control>
      </mc:Choice>
      <mc:Fallback>
        <control shapeId="41985" r:id="rId3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7">
    <outlinePr summaryBelow="0" summaryRight="0"/>
  </sheetPr>
  <dimension ref="A1:AD102"/>
  <sheetViews>
    <sheetView workbookViewId="0">
      <pane xSplit="1" topLeftCell="B1" activePane="topRight" state="frozen"/>
      <selection pane="topRight" activeCell="L2" sqref="L2"/>
    </sheetView>
  </sheetViews>
  <sheetFormatPr baseColWidth="10" defaultColWidth="12.5546875" defaultRowHeight="15.75" customHeight="1" x14ac:dyDescent="0.25"/>
  <cols>
    <col min="1" max="2" width="13" style="45" customWidth="1"/>
    <col min="3" max="5" width="12.5546875" style="45"/>
    <col min="6" max="6" width="7.44140625" style="45" customWidth="1"/>
    <col min="7" max="7" width="18.88671875" style="45" customWidth="1"/>
    <col min="8" max="16384" width="12.5546875" style="45"/>
  </cols>
  <sheetData>
    <row r="1" spans="1:30" ht="13.8" thickBot="1" x14ac:dyDescent="0.3">
      <c r="A1" s="42" t="s">
        <v>23</v>
      </c>
      <c r="B1" s="43" t="s">
        <v>24</v>
      </c>
      <c r="C1" s="44" t="s">
        <v>25</v>
      </c>
      <c r="D1" s="17"/>
      <c r="E1" s="1"/>
      <c r="F1" s="18" t="s">
        <v>0</v>
      </c>
      <c r="G1" s="18" t="s">
        <v>26</v>
      </c>
      <c r="H1" s="1"/>
      <c r="I1" s="1"/>
      <c r="J1" s="1" t="s">
        <v>49</v>
      </c>
      <c r="K1" s="1" t="s">
        <v>35</v>
      </c>
      <c r="L1" s="1" t="s">
        <v>83</v>
      </c>
      <c r="M1" s="1"/>
      <c r="N1" s="1"/>
    </row>
    <row r="2" spans="1:30" ht="13.8" thickBot="1" x14ac:dyDescent="0.3">
      <c r="A2" s="39" t="s">
        <v>2</v>
      </c>
      <c r="B2" s="40" t="s">
        <v>3</v>
      </c>
      <c r="C2" s="41">
        <v>0.11700000000000001</v>
      </c>
      <c r="D2" s="50"/>
      <c r="E2" s="3"/>
      <c r="F2" s="18">
        <v>0</v>
      </c>
      <c r="G2" s="27">
        <v>8.8299999999999993E-3</v>
      </c>
      <c r="H2" s="3"/>
      <c r="I2" s="56"/>
      <c r="J2" s="56">
        <v>1.2E-2</v>
      </c>
      <c r="K2" s="52">
        <v>1.08017617365153E-2</v>
      </c>
      <c r="L2" s="94">
        <v>8.8299999999999993E-3</v>
      </c>
      <c r="M2" s="3"/>
      <c r="N2" s="2"/>
      <c r="O2" s="2"/>
    </row>
    <row r="3" spans="1:30" ht="13.8" thickBot="1" x14ac:dyDescent="0.3">
      <c r="A3" s="32" t="s">
        <v>3</v>
      </c>
      <c r="B3" s="10" t="s">
        <v>4</v>
      </c>
      <c r="C3" s="33">
        <v>8.5000000000000006E-2</v>
      </c>
      <c r="D3" s="50"/>
      <c r="E3" s="3"/>
      <c r="F3" s="18">
        <v>1</v>
      </c>
      <c r="G3" s="27">
        <v>5.5000000000000003E-4</v>
      </c>
      <c r="H3" s="3"/>
      <c r="I3" s="56"/>
      <c r="J3" s="56">
        <v>4.0000000000000002E-4</v>
      </c>
      <c r="K3" s="52">
        <v>5.9058156488391001E-4</v>
      </c>
      <c r="L3" s="94">
        <v>5.5000000000000003E-4</v>
      </c>
      <c r="M3" s="3"/>
      <c r="N3" s="2"/>
      <c r="O3" s="2"/>
    </row>
    <row r="4" spans="1:30" ht="13.8" thickBot="1" x14ac:dyDescent="0.3">
      <c r="A4" s="32" t="s">
        <v>4</v>
      </c>
      <c r="B4" s="10" t="s">
        <v>5</v>
      </c>
      <c r="C4" s="49">
        <v>0.12</v>
      </c>
      <c r="D4" s="50"/>
      <c r="E4" s="3"/>
      <c r="F4" s="18">
        <v>2</v>
      </c>
      <c r="G4" s="27">
        <v>4.0000000000000002E-4</v>
      </c>
      <c r="H4" s="3"/>
      <c r="I4" s="56"/>
      <c r="J4" s="56">
        <v>4.0000000000000002E-4</v>
      </c>
      <c r="K4" s="52">
        <v>5.9058156488391001E-4</v>
      </c>
      <c r="L4" s="94">
        <v>4.0000000000000002E-4</v>
      </c>
      <c r="M4" s="3"/>
      <c r="N4" s="2"/>
      <c r="O4" s="2"/>
    </row>
    <row r="5" spans="1:30" ht="13.8" thickBot="1" x14ac:dyDescent="0.3">
      <c r="A5" s="32" t="s">
        <v>5</v>
      </c>
      <c r="B5" s="10" t="s">
        <v>19</v>
      </c>
      <c r="C5" s="33">
        <v>0.11600000000000001</v>
      </c>
      <c r="D5" s="50"/>
      <c r="E5" s="3"/>
      <c r="F5" s="18">
        <v>3</v>
      </c>
      <c r="G5" s="27">
        <v>2.9E-4</v>
      </c>
      <c r="H5" s="3"/>
      <c r="I5" s="56"/>
      <c r="J5" s="56">
        <v>4.0000000000000002E-4</v>
      </c>
      <c r="K5" s="52">
        <v>5.9058156488391001E-4</v>
      </c>
      <c r="L5" s="94">
        <v>2.9E-4</v>
      </c>
      <c r="M5" s="3"/>
      <c r="N5" s="2"/>
      <c r="O5" s="2"/>
    </row>
    <row r="6" spans="1:30" ht="13.8" thickBot="1" x14ac:dyDescent="0.3">
      <c r="A6" s="32" t="s">
        <v>19</v>
      </c>
      <c r="B6" s="10" t="s">
        <v>13</v>
      </c>
      <c r="C6" s="33">
        <v>3.9E-2</v>
      </c>
      <c r="D6" s="50"/>
      <c r="E6" s="3"/>
      <c r="F6" s="18">
        <v>4</v>
      </c>
      <c r="G6" s="27">
        <v>2.2000000000000001E-4</v>
      </c>
      <c r="H6" s="3"/>
      <c r="I6" s="56"/>
      <c r="J6" s="56">
        <v>4.0000000000000002E-4</v>
      </c>
      <c r="K6" s="52">
        <v>5.9058156488391001E-4</v>
      </c>
      <c r="L6" s="94">
        <v>2.2000000000000001E-4</v>
      </c>
      <c r="M6" s="3"/>
      <c r="N6" s="2"/>
      <c r="O6" s="2"/>
    </row>
    <row r="7" spans="1:30" ht="15" thickBot="1" x14ac:dyDescent="0.35">
      <c r="A7" s="32" t="s">
        <v>19</v>
      </c>
      <c r="B7" s="10" t="s">
        <v>21</v>
      </c>
      <c r="C7" s="33">
        <v>1.4E-2</v>
      </c>
      <c r="D7" s="50"/>
      <c r="E7" s="4"/>
      <c r="F7" s="18">
        <v>5</v>
      </c>
      <c r="G7" s="27">
        <v>1.7000000000000001E-4</v>
      </c>
      <c r="H7" s="4"/>
      <c r="I7" s="53"/>
      <c r="J7" s="13">
        <v>2.0000000000000001E-4</v>
      </c>
      <c r="K7" s="54">
        <v>2.9358657848538701E-4</v>
      </c>
      <c r="L7" s="94">
        <v>1.7000000000000001E-4</v>
      </c>
      <c r="M7" s="4"/>
      <c r="N7" s="4"/>
      <c r="O7" s="5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</row>
    <row r="8" spans="1:30" ht="15" thickBot="1" x14ac:dyDescent="0.35">
      <c r="A8" s="32"/>
      <c r="B8" s="10"/>
      <c r="C8" s="33"/>
      <c r="D8" s="50"/>
      <c r="E8" s="4"/>
      <c r="F8" s="18">
        <v>6</v>
      </c>
      <c r="G8" s="27">
        <v>1.3999999999999999E-4</v>
      </c>
      <c r="H8" s="4"/>
      <c r="I8" s="53"/>
      <c r="J8" s="13">
        <v>2.0000000000000001E-4</v>
      </c>
      <c r="K8" s="54">
        <v>2.9358657848538701E-4</v>
      </c>
      <c r="L8" s="94">
        <v>1.3999999999999999E-4</v>
      </c>
      <c r="M8" s="4"/>
      <c r="N8" s="4"/>
      <c r="O8" s="5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</row>
    <row r="9" spans="1:30" ht="15" thickBot="1" x14ac:dyDescent="0.35">
      <c r="A9" s="32" t="s">
        <v>13</v>
      </c>
      <c r="B9" s="10" t="s">
        <v>21</v>
      </c>
      <c r="C9" s="33">
        <v>6.8000000000000005E-2</v>
      </c>
      <c r="D9" s="50"/>
      <c r="E9" s="3"/>
      <c r="F9" s="18">
        <v>7</v>
      </c>
      <c r="G9" s="27">
        <v>1.2999999999999999E-4</v>
      </c>
      <c r="H9" s="3"/>
      <c r="I9" s="53"/>
      <c r="J9" s="13">
        <v>2.0000000000000001E-4</v>
      </c>
      <c r="K9" s="55">
        <v>2.9358657848538701E-4</v>
      </c>
      <c r="L9" s="94">
        <v>1.2999999999999999E-4</v>
      </c>
      <c r="M9" s="3"/>
      <c r="N9" s="2"/>
      <c r="O9" s="2"/>
    </row>
    <row r="10" spans="1:30" ht="15" thickBot="1" x14ac:dyDescent="0.35">
      <c r="A10" s="32" t="s">
        <v>13</v>
      </c>
      <c r="B10" s="10" t="s">
        <v>22</v>
      </c>
      <c r="C10" s="33">
        <v>0.182</v>
      </c>
      <c r="D10" s="50"/>
      <c r="E10" s="3"/>
      <c r="F10" s="18">
        <v>8</v>
      </c>
      <c r="G10" s="27">
        <v>1.2E-4</v>
      </c>
      <c r="H10" s="3"/>
      <c r="I10" s="53"/>
      <c r="J10" s="13">
        <v>2.0000000000000001E-4</v>
      </c>
      <c r="K10" s="52">
        <v>2.9358657848538701E-4</v>
      </c>
      <c r="L10" s="94">
        <v>1.2E-4</v>
      </c>
      <c r="M10" s="3"/>
      <c r="N10" s="2"/>
      <c r="O10" s="2"/>
    </row>
    <row r="11" spans="1:30" ht="15" thickBot="1" x14ac:dyDescent="0.35">
      <c r="A11" s="32" t="s">
        <v>20</v>
      </c>
      <c r="B11" s="10" t="s">
        <v>21</v>
      </c>
      <c r="C11" s="33">
        <v>6.8000000000000005E-2</v>
      </c>
      <c r="D11" s="50"/>
      <c r="E11" s="3"/>
      <c r="F11" s="18">
        <v>9</v>
      </c>
      <c r="G11" s="27">
        <v>1.2999999999999999E-4</v>
      </c>
      <c r="H11" s="3"/>
      <c r="I11" s="53"/>
      <c r="J11" s="13">
        <v>2.0000000000000001E-4</v>
      </c>
      <c r="K11" s="52">
        <v>2.9358657848538701E-4</v>
      </c>
      <c r="L11" s="94">
        <v>1.2999999999999999E-4</v>
      </c>
      <c r="M11" s="3"/>
      <c r="N11" s="2"/>
      <c r="O11" s="2"/>
    </row>
    <row r="12" spans="1:30" ht="15" thickBot="1" x14ac:dyDescent="0.35">
      <c r="A12" s="32" t="s">
        <v>20</v>
      </c>
      <c r="B12" s="10" t="s">
        <v>22</v>
      </c>
      <c r="C12" s="33">
        <v>0.112</v>
      </c>
      <c r="D12" s="50"/>
      <c r="E12" s="1"/>
      <c r="F12" s="18">
        <v>10</v>
      </c>
      <c r="G12" s="27">
        <v>1.3999999999999999E-4</v>
      </c>
      <c r="H12" s="7"/>
      <c r="I12" s="53"/>
      <c r="J12" s="13">
        <v>2.0000000000000001E-4</v>
      </c>
      <c r="K12" s="12">
        <v>2.9644342643395501E-4</v>
      </c>
      <c r="L12" s="94">
        <v>1.3999999999999999E-4</v>
      </c>
      <c r="M12" s="1"/>
      <c r="N12" s="2"/>
    </row>
    <row r="13" spans="1:30" ht="15" thickBot="1" x14ac:dyDescent="0.35">
      <c r="A13" s="34" t="s">
        <v>21</v>
      </c>
      <c r="B13" s="11" t="s">
        <v>22</v>
      </c>
      <c r="C13" s="35">
        <v>0.42699999999999999</v>
      </c>
      <c r="D13" s="51"/>
      <c r="E13" s="1"/>
      <c r="F13" s="18">
        <v>11</v>
      </c>
      <c r="G13" s="27">
        <v>1.6000000000000001E-4</v>
      </c>
      <c r="H13" s="12"/>
      <c r="I13" s="53"/>
      <c r="J13" s="13">
        <v>2.0000000000000001E-4</v>
      </c>
      <c r="K13" s="12">
        <v>2.9644342643395501E-4</v>
      </c>
      <c r="L13" s="94">
        <v>1.6000000000000001E-4</v>
      </c>
      <c r="M13" s="1"/>
      <c r="N13" s="2"/>
    </row>
    <row r="14" spans="1:30" ht="15.75" customHeight="1" thickBot="1" x14ac:dyDescent="0.35">
      <c r="A14" s="36" t="s">
        <v>32</v>
      </c>
      <c r="B14" s="29" t="s">
        <v>21</v>
      </c>
      <c r="C14" s="25">
        <v>5.0000000000000001E-3</v>
      </c>
      <c r="D14" s="28"/>
      <c r="F14" s="18">
        <v>12</v>
      </c>
      <c r="G14" s="27">
        <v>1.9000000000000001E-4</v>
      </c>
      <c r="H14" s="13"/>
      <c r="I14" s="53"/>
      <c r="J14" s="13">
        <v>2.0000000000000001E-4</v>
      </c>
      <c r="K14" s="13">
        <v>2.9644342643395501E-4</v>
      </c>
      <c r="L14" s="94">
        <v>1.9000000000000001E-4</v>
      </c>
    </row>
    <row r="15" spans="1:30" ht="15.75" customHeight="1" thickBot="1" x14ac:dyDescent="0.35">
      <c r="A15" s="37" t="s">
        <v>32</v>
      </c>
      <c r="B15" s="38" t="s">
        <v>13</v>
      </c>
      <c r="C15" s="26">
        <v>8.0000000000000002E-3</v>
      </c>
      <c r="D15" s="28"/>
      <c r="F15" s="18">
        <v>13</v>
      </c>
      <c r="G15" s="27">
        <v>2.3000000000000001E-4</v>
      </c>
      <c r="H15" s="17"/>
      <c r="I15" s="53"/>
      <c r="J15" s="13">
        <v>2.0000000000000001E-4</v>
      </c>
      <c r="K15" s="13">
        <v>2.9644342643395501E-4</v>
      </c>
      <c r="L15" s="94">
        <v>2.3000000000000001E-4</v>
      </c>
    </row>
    <row r="16" spans="1:30" ht="15" thickBot="1" x14ac:dyDescent="0.35">
      <c r="A16" s="1"/>
      <c r="F16" s="18">
        <v>14</v>
      </c>
      <c r="G16" s="27">
        <v>2.9E-4</v>
      </c>
      <c r="H16" s="14"/>
      <c r="I16" s="53"/>
      <c r="J16" s="13">
        <v>2.0000000000000001E-4</v>
      </c>
      <c r="K16" s="13">
        <v>2.9644342643395501E-4</v>
      </c>
      <c r="L16" s="94">
        <v>2.9E-4</v>
      </c>
    </row>
    <row r="17" spans="1:12" ht="15" thickBot="1" x14ac:dyDescent="0.35">
      <c r="A17" s="1"/>
      <c r="B17" s="1"/>
      <c r="F17" s="18">
        <v>15</v>
      </c>
      <c r="G17" s="27">
        <v>3.6000000000000002E-4</v>
      </c>
      <c r="H17" s="14"/>
      <c r="I17" s="53"/>
      <c r="J17" s="13">
        <v>1.2000000000000001E-3</v>
      </c>
      <c r="K17" s="13">
        <v>8.5941874873376903E-4</v>
      </c>
      <c r="L17" s="94">
        <v>3.6000000000000002E-4</v>
      </c>
    </row>
    <row r="18" spans="1:12" ht="15" thickBot="1" x14ac:dyDescent="0.35">
      <c r="A18" s="1"/>
      <c r="B18" s="1"/>
      <c r="F18" s="18">
        <v>16</v>
      </c>
      <c r="G18" s="27">
        <v>4.4999999999999999E-4</v>
      </c>
      <c r="H18" s="14"/>
      <c r="I18" s="53"/>
      <c r="J18" s="13">
        <v>1.2000000000000001E-3</v>
      </c>
      <c r="K18" s="13">
        <v>8.5941874873376903E-4</v>
      </c>
      <c r="L18" s="94">
        <v>4.4999999999999999E-4</v>
      </c>
    </row>
    <row r="19" spans="1:12" ht="15" thickBot="1" x14ac:dyDescent="0.35">
      <c r="A19" s="1"/>
      <c r="B19" s="1"/>
      <c r="F19" s="18">
        <v>17</v>
      </c>
      <c r="G19" s="27">
        <v>5.5000000000000003E-4</v>
      </c>
      <c r="H19" s="14"/>
      <c r="I19" s="53"/>
      <c r="J19" s="13">
        <v>1.2000000000000001E-3</v>
      </c>
      <c r="K19" s="13">
        <v>8.5941874873376903E-4</v>
      </c>
      <c r="L19" s="94">
        <v>5.5000000000000003E-4</v>
      </c>
    </row>
    <row r="20" spans="1:12" ht="15" thickBot="1" x14ac:dyDescent="0.35">
      <c r="A20" s="1"/>
      <c r="B20" s="1"/>
      <c r="F20" s="18">
        <v>18</v>
      </c>
      <c r="G20" s="27">
        <v>6.4999999999999997E-4</v>
      </c>
      <c r="H20" s="14"/>
      <c r="I20" s="53"/>
      <c r="J20" s="13">
        <v>1.2000000000000001E-3</v>
      </c>
      <c r="K20" s="13">
        <v>8.5941874873376903E-4</v>
      </c>
      <c r="L20" s="94">
        <v>6.4999999999999997E-4</v>
      </c>
    </row>
    <row r="21" spans="1:12" ht="15" thickBot="1" x14ac:dyDescent="0.35">
      <c r="A21" s="1"/>
      <c r="B21" s="1"/>
      <c r="F21" s="18">
        <v>19</v>
      </c>
      <c r="G21" s="27">
        <v>7.3999999999999999E-4</v>
      </c>
      <c r="H21" s="14"/>
      <c r="I21" s="53"/>
      <c r="J21" s="13">
        <v>1.2000000000000001E-3</v>
      </c>
      <c r="K21" s="13">
        <v>8.5941874873376903E-4</v>
      </c>
      <c r="L21" s="94">
        <v>7.3999999999999999E-4</v>
      </c>
    </row>
    <row r="22" spans="1:12" ht="15" thickBot="1" x14ac:dyDescent="0.35">
      <c r="A22" s="1"/>
      <c r="B22" s="1"/>
      <c r="C22" s="1"/>
      <c r="D22" s="1"/>
      <c r="F22" s="18">
        <v>20</v>
      </c>
      <c r="G22" s="27">
        <v>8.0999999999999996E-4</v>
      </c>
      <c r="H22" s="14"/>
      <c r="I22" s="53"/>
      <c r="J22" s="13">
        <v>1.6000000000000001E-3</v>
      </c>
      <c r="K22" s="13">
        <v>1.51677235571833E-3</v>
      </c>
      <c r="L22" s="94">
        <v>8.0999999999999996E-4</v>
      </c>
    </row>
    <row r="23" spans="1:12" ht="15" thickBot="1" x14ac:dyDescent="0.35">
      <c r="A23" s="1"/>
      <c r="B23" s="1"/>
      <c r="C23" s="1"/>
      <c r="D23" s="1"/>
      <c r="F23" s="18">
        <v>21</v>
      </c>
      <c r="G23" s="27">
        <v>8.5999999999999998E-4</v>
      </c>
      <c r="H23" s="14"/>
      <c r="I23" s="53"/>
      <c r="J23" s="13">
        <v>1.6000000000000001E-3</v>
      </c>
      <c r="K23" s="13">
        <v>1.51677235571833E-3</v>
      </c>
      <c r="L23" s="94">
        <v>8.5999999999999998E-4</v>
      </c>
    </row>
    <row r="24" spans="1:12" ht="15" thickBot="1" x14ac:dyDescent="0.35">
      <c r="A24" s="1"/>
      <c r="F24" s="18">
        <v>22</v>
      </c>
      <c r="G24" s="27">
        <v>8.8999999999999995E-4</v>
      </c>
      <c r="H24" s="14"/>
      <c r="I24" s="53"/>
      <c r="J24" s="13">
        <v>1.6000000000000001E-3</v>
      </c>
      <c r="K24" s="13">
        <v>1.51677235571833E-3</v>
      </c>
      <c r="L24" s="94">
        <v>8.8999999999999995E-4</v>
      </c>
    </row>
    <row r="25" spans="1:12" ht="15" thickBot="1" x14ac:dyDescent="0.35">
      <c r="A25" s="1"/>
      <c r="F25" s="18">
        <v>23</v>
      </c>
      <c r="G25" s="27">
        <v>8.9999999999999998E-4</v>
      </c>
      <c r="H25" s="14"/>
      <c r="I25" s="53"/>
      <c r="J25" s="13">
        <v>1.6000000000000001E-3</v>
      </c>
      <c r="K25" s="13">
        <v>1.51677235571833E-3</v>
      </c>
      <c r="L25" s="94">
        <v>8.9999999999999998E-4</v>
      </c>
    </row>
    <row r="26" spans="1:12" ht="13.8" thickBot="1" x14ac:dyDescent="0.3">
      <c r="A26" s="1"/>
      <c r="F26" s="18">
        <v>24</v>
      </c>
      <c r="G26" s="27">
        <v>9.1E-4</v>
      </c>
      <c r="H26" s="14"/>
      <c r="I26" s="14"/>
      <c r="J26" s="15">
        <v>1.6000000000000001E-3</v>
      </c>
      <c r="K26" s="13">
        <v>1.51677235571833E-3</v>
      </c>
      <c r="L26" s="94">
        <v>9.1E-4</v>
      </c>
    </row>
    <row r="27" spans="1:12" ht="13.8" thickBot="1" x14ac:dyDescent="0.3">
      <c r="B27" s="1"/>
      <c r="C27" s="1"/>
      <c r="D27" s="1"/>
      <c r="E27" s="1"/>
      <c r="F27" s="18">
        <v>25</v>
      </c>
      <c r="G27" s="27">
        <v>9.1E-4</v>
      </c>
      <c r="H27" s="12"/>
      <c r="I27" s="12"/>
      <c r="J27" s="16">
        <v>1.6000000000000001E-3</v>
      </c>
      <c r="K27" s="12">
        <v>1.6797752517865999E-3</v>
      </c>
      <c r="L27" s="94">
        <v>9.1E-4</v>
      </c>
    </row>
    <row r="28" spans="1:12" ht="15.6" thickBot="1" x14ac:dyDescent="0.3">
      <c r="A28" s="8"/>
      <c r="B28" s="1"/>
      <c r="C28" s="1"/>
      <c r="D28" s="1"/>
      <c r="F28" s="18">
        <v>26</v>
      </c>
      <c r="G28" s="27">
        <v>9.2000000000000003E-4</v>
      </c>
      <c r="H28" s="13"/>
      <c r="I28" s="13"/>
      <c r="J28" s="13">
        <v>1.6000000000000001E-3</v>
      </c>
      <c r="K28" s="12">
        <v>1.6797752517865999E-3</v>
      </c>
      <c r="L28" s="94">
        <v>9.2000000000000003E-4</v>
      </c>
    </row>
    <row r="29" spans="1:12" ht="15.6" thickBot="1" x14ac:dyDescent="0.3">
      <c r="A29" s="8"/>
      <c r="B29" s="1"/>
      <c r="C29" s="1"/>
      <c r="D29" s="1"/>
      <c r="F29" s="18">
        <v>27</v>
      </c>
      <c r="G29" s="27">
        <v>9.3000000000000005E-4</v>
      </c>
      <c r="H29" s="13"/>
      <c r="I29" s="13"/>
      <c r="J29" s="13">
        <v>1.6000000000000001E-3</v>
      </c>
      <c r="K29" s="13">
        <v>1.6797752517865999E-3</v>
      </c>
      <c r="L29" s="94">
        <v>9.3000000000000005E-4</v>
      </c>
    </row>
    <row r="30" spans="1:12" ht="15.6" thickBot="1" x14ac:dyDescent="0.3">
      <c r="A30" s="8"/>
      <c r="B30" s="1"/>
      <c r="C30" s="1"/>
      <c r="D30" s="1"/>
      <c r="F30" s="18">
        <v>28</v>
      </c>
      <c r="G30" s="27">
        <v>9.5E-4</v>
      </c>
      <c r="J30" s="45">
        <v>1.6000000000000001E-3</v>
      </c>
      <c r="K30" s="45">
        <v>1.6797752517865999E-3</v>
      </c>
      <c r="L30" s="94">
        <v>9.5E-4</v>
      </c>
    </row>
    <row r="31" spans="1:12" ht="15.6" thickBot="1" x14ac:dyDescent="0.3">
      <c r="A31" s="8"/>
      <c r="B31" s="1"/>
      <c r="C31" s="1"/>
      <c r="D31" s="1"/>
      <c r="F31" s="18">
        <v>29</v>
      </c>
      <c r="G31" s="27">
        <v>9.7000000000000005E-4</v>
      </c>
      <c r="J31" s="45">
        <v>1.6000000000000001E-3</v>
      </c>
      <c r="K31" s="45">
        <v>1.6797752517865999E-3</v>
      </c>
      <c r="L31" s="94">
        <v>9.7000000000000005E-4</v>
      </c>
    </row>
    <row r="32" spans="1:12" ht="13.8" thickBot="1" x14ac:dyDescent="0.3">
      <c r="A32" s="1"/>
      <c r="B32" s="1"/>
      <c r="F32" s="18">
        <v>30</v>
      </c>
      <c r="G32" s="27">
        <v>1E-3</v>
      </c>
      <c r="H32" s="1"/>
      <c r="I32" s="1"/>
      <c r="J32" s="1">
        <v>1.6000000000000001E-3</v>
      </c>
      <c r="K32" s="45">
        <v>1.66647272582987E-3</v>
      </c>
      <c r="L32" s="94">
        <v>1E-3</v>
      </c>
    </row>
    <row r="33" spans="2:12" ht="15.75" customHeight="1" thickBot="1" x14ac:dyDescent="0.3">
      <c r="F33" s="18">
        <v>31</v>
      </c>
      <c r="G33" s="27">
        <v>1.0399999999999999E-3</v>
      </c>
      <c r="J33" s="45">
        <v>1.6000000000000001E-3</v>
      </c>
      <c r="K33" s="45">
        <v>1.66647272582987E-3</v>
      </c>
      <c r="L33" s="94">
        <v>1.0399999999999999E-3</v>
      </c>
    </row>
    <row r="34" spans="2:12" ht="15.75" customHeight="1" thickBot="1" x14ac:dyDescent="0.3">
      <c r="F34" s="18">
        <v>32</v>
      </c>
      <c r="G34" s="27">
        <v>1.09E-3</v>
      </c>
      <c r="J34" s="45">
        <v>1.6000000000000001E-3</v>
      </c>
      <c r="K34" s="45">
        <v>1.66647272582987E-3</v>
      </c>
      <c r="L34" s="94">
        <v>1.09E-3</v>
      </c>
    </row>
    <row r="35" spans="2:12" ht="13.8" thickBot="1" x14ac:dyDescent="0.3">
      <c r="F35" s="18">
        <v>33</v>
      </c>
      <c r="G35" s="27">
        <v>1.15E-3</v>
      </c>
      <c r="H35" s="1"/>
      <c r="I35" s="1"/>
      <c r="J35" s="1">
        <v>1.6000000000000001E-3</v>
      </c>
      <c r="K35" s="1">
        <v>1.66647272582987E-3</v>
      </c>
      <c r="L35" s="94">
        <v>1.15E-3</v>
      </c>
    </row>
    <row r="36" spans="2:12" ht="13.8" thickBot="1" x14ac:dyDescent="0.3">
      <c r="E36" s="1"/>
      <c r="F36" s="18">
        <v>34</v>
      </c>
      <c r="G36" s="27">
        <v>1.2199999999999999E-3</v>
      </c>
      <c r="H36" s="1"/>
      <c r="I36" s="1"/>
      <c r="J36" s="1">
        <v>1.6000000000000001E-3</v>
      </c>
      <c r="K36" s="1">
        <v>1.66647272582987E-3</v>
      </c>
      <c r="L36" s="94">
        <v>1.2199999999999999E-3</v>
      </c>
    </row>
    <row r="37" spans="2:12" ht="13.8" thickBot="1" x14ac:dyDescent="0.3">
      <c r="F37" s="18">
        <v>35</v>
      </c>
      <c r="G37" s="27">
        <v>1.2999999999999999E-3</v>
      </c>
      <c r="H37" s="1"/>
      <c r="I37" s="1"/>
      <c r="J37" s="1">
        <v>2E-3</v>
      </c>
      <c r="K37" s="1">
        <v>1.72574433303653E-3</v>
      </c>
      <c r="L37" s="94">
        <v>1.2999999999999999E-3</v>
      </c>
    </row>
    <row r="38" spans="2:12" ht="13.8" thickBot="1" x14ac:dyDescent="0.3">
      <c r="F38" s="18">
        <v>36</v>
      </c>
      <c r="G38" s="27">
        <v>1.39E-3</v>
      </c>
      <c r="H38" s="1"/>
      <c r="I38" s="1"/>
      <c r="J38" s="1">
        <v>2E-3</v>
      </c>
      <c r="K38" s="1">
        <v>1.72574433303653E-3</v>
      </c>
      <c r="L38" s="94">
        <v>1.39E-3</v>
      </c>
    </row>
    <row r="39" spans="2:12" ht="13.8" thickBot="1" x14ac:dyDescent="0.3">
      <c r="F39" s="18">
        <v>37</v>
      </c>
      <c r="G39" s="27">
        <v>1.48E-3</v>
      </c>
      <c r="H39" s="1"/>
      <c r="I39" s="1"/>
      <c r="J39" s="1">
        <v>2E-3</v>
      </c>
      <c r="K39" s="1">
        <v>1.72574433303653E-3</v>
      </c>
      <c r="L39" s="94">
        <v>1.48E-3</v>
      </c>
    </row>
    <row r="40" spans="2:12" ht="13.8" thickBot="1" x14ac:dyDescent="0.3">
      <c r="F40" s="18">
        <v>38</v>
      </c>
      <c r="G40" s="27">
        <v>1.58E-3</v>
      </c>
      <c r="H40" s="1"/>
      <c r="I40" s="1"/>
      <c r="J40" s="1">
        <v>2E-3</v>
      </c>
      <c r="K40" s="1">
        <v>1.72574433303653E-3</v>
      </c>
      <c r="L40" s="94">
        <v>1.58E-3</v>
      </c>
    </row>
    <row r="41" spans="2:12" ht="15.75" customHeight="1" thickBot="1" x14ac:dyDescent="0.3">
      <c r="F41" s="18">
        <v>39</v>
      </c>
      <c r="G41" s="27">
        <v>1.6900000000000001E-3</v>
      </c>
      <c r="J41" s="45">
        <v>2E-3</v>
      </c>
      <c r="K41" s="45">
        <v>1.72574433303653E-3</v>
      </c>
      <c r="L41" s="94">
        <v>1.6900000000000001E-3</v>
      </c>
    </row>
    <row r="42" spans="2:12" ht="13.8" thickBot="1" x14ac:dyDescent="0.3">
      <c r="E42" s="1"/>
      <c r="F42" s="18">
        <v>40</v>
      </c>
      <c r="G42" s="27">
        <v>1.8E-3</v>
      </c>
      <c r="J42" s="45">
        <v>2.5999999999999999E-3</v>
      </c>
      <c r="K42" s="45">
        <v>1.8498027406281599E-3</v>
      </c>
      <c r="L42" s="94">
        <v>1.8E-3</v>
      </c>
    </row>
    <row r="43" spans="2:12" ht="15.75" customHeight="1" thickBot="1" x14ac:dyDescent="0.3">
      <c r="F43" s="18">
        <v>41</v>
      </c>
      <c r="G43" s="27">
        <v>1.9400000000000001E-3</v>
      </c>
      <c r="J43" s="45">
        <v>2.5999999999999999E-3</v>
      </c>
      <c r="K43" s="45">
        <v>1.8498027406281599E-3</v>
      </c>
      <c r="L43" s="94">
        <v>1.9400000000000001E-3</v>
      </c>
    </row>
    <row r="44" spans="2:12" ht="15.75" customHeight="1" thickBot="1" x14ac:dyDescent="0.3">
      <c r="F44" s="18">
        <v>42</v>
      </c>
      <c r="G44" s="27">
        <v>2.0999999999999999E-3</v>
      </c>
      <c r="J44" s="45">
        <v>2.5999999999999999E-3</v>
      </c>
      <c r="K44" s="45">
        <v>1.8498027406281599E-3</v>
      </c>
      <c r="L44" s="94">
        <v>2.0999999999999999E-3</v>
      </c>
    </row>
    <row r="45" spans="2:12" ht="15.75" customHeight="1" thickBot="1" x14ac:dyDescent="0.3">
      <c r="F45" s="18">
        <v>43</v>
      </c>
      <c r="G45" s="27">
        <v>2.2799999999999999E-3</v>
      </c>
      <c r="J45" s="45">
        <v>2.5999999999999999E-3</v>
      </c>
      <c r="K45" s="45">
        <v>1.8498027406281599E-3</v>
      </c>
      <c r="L45" s="94">
        <v>2.2799999999999999E-3</v>
      </c>
    </row>
    <row r="46" spans="2:12" ht="13.8" thickBot="1" x14ac:dyDescent="0.3">
      <c r="B46" s="1"/>
      <c r="F46" s="18">
        <v>44</v>
      </c>
      <c r="G46" s="27">
        <v>2.49E-3</v>
      </c>
      <c r="J46" s="45">
        <v>2.5999999999999999E-3</v>
      </c>
      <c r="K46" s="45">
        <v>1.8498027406281599E-3</v>
      </c>
      <c r="L46" s="96">
        <v>2.49E-3</v>
      </c>
    </row>
    <row r="47" spans="2:12" ht="13.8" thickBot="1" x14ac:dyDescent="0.3">
      <c r="B47" s="1"/>
      <c r="C47" s="1"/>
      <c r="F47" s="18">
        <v>45</v>
      </c>
      <c r="G47" s="27">
        <v>2.7399999999999998E-3</v>
      </c>
      <c r="J47" s="45">
        <v>3.5999999999999999E-3</v>
      </c>
      <c r="K47" s="45">
        <v>2.28949226423036E-3</v>
      </c>
      <c r="L47" s="96">
        <v>2.7399999999999998E-3</v>
      </c>
    </row>
    <row r="48" spans="2:12" ht="13.8" thickBot="1" x14ac:dyDescent="0.3">
      <c r="B48" s="1"/>
      <c r="C48" s="1"/>
      <c r="F48" s="18">
        <v>46</v>
      </c>
      <c r="G48" s="27">
        <v>3.0100000000000001E-3</v>
      </c>
      <c r="J48" s="45">
        <v>3.5999999999999999E-3</v>
      </c>
      <c r="K48" s="45">
        <v>2.28949226423036E-3</v>
      </c>
      <c r="L48" s="94">
        <v>3.0100000000000001E-3</v>
      </c>
    </row>
    <row r="49" spans="2:12" ht="13.8" thickBot="1" x14ac:dyDescent="0.3">
      <c r="B49" s="1"/>
      <c r="C49" s="1"/>
      <c r="F49" s="18">
        <v>47</v>
      </c>
      <c r="G49" s="27">
        <v>3.3E-3</v>
      </c>
      <c r="J49" s="45">
        <v>3.5999999999999999E-3</v>
      </c>
      <c r="K49" s="45">
        <v>2.28949226423036E-3</v>
      </c>
      <c r="L49" s="94">
        <v>3.3E-3</v>
      </c>
    </row>
    <row r="50" spans="2:12" ht="13.8" thickBot="1" x14ac:dyDescent="0.3">
      <c r="B50" s="1"/>
      <c r="C50" s="1"/>
      <c r="F50" s="18">
        <v>48</v>
      </c>
      <c r="G50" s="27">
        <v>3.6099999999999999E-3</v>
      </c>
      <c r="J50" s="45">
        <v>3.5999999999999999E-3</v>
      </c>
      <c r="K50" s="45">
        <v>2.28949226423036E-3</v>
      </c>
      <c r="L50" s="94">
        <v>3.6099999999999999E-3</v>
      </c>
    </row>
    <row r="51" spans="2:12" ht="13.8" thickBot="1" x14ac:dyDescent="0.3">
      <c r="B51" s="1"/>
      <c r="C51" s="1"/>
      <c r="F51" s="18">
        <v>49</v>
      </c>
      <c r="G51" s="27">
        <v>3.9500000000000004E-3</v>
      </c>
      <c r="J51" s="45">
        <v>3.5999999999999999E-3</v>
      </c>
      <c r="K51" s="45">
        <v>2.28949226423036E-3</v>
      </c>
      <c r="L51" s="94">
        <v>3.9500000000000004E-3</v>
      </c>
    </row>
    <row r="52" spans="2:12" ht="15.75" customHeight="1" thickBot="1" x14ac:dyDescent="0.3">
      <c r="F52" s="18">
        <v>50</v>
      </c>
      <c r="G52" s="27">
        <v>4.3099999999999996E-3</v>
      </c>
      <c r="J52" s="45">
        <v>5.1999999999999998E-3</v>
      </c>
      <c r="K52" s="45">
        <v>3.2386506864446802E-3</v>
      </c>
      <c r="L52" s="94">
        <v>4.3099999999999996E-3</v>
      </c>
    </row>
    <row r="53" spans="2:12" ht="15.75" customHeight="1" thickBot="1" x14ac:dyDescent="0.3">
      <c r="F53" s="18">
        <v>51</v>
      </c>
      <c r="G53" s="27">
        <v>4.7099999999999998E-3</v>
      </c>
      <c r="J53" s="45">
        <v>5.1999999999999998E-3</v>
      </c>
      <c r="K53" s="45">
        <v>3.2386506864446802E-3</v>
      </c>
      <c r="L53" s="94">
        <v>4.7099999999999998E-3</v>
      </c>
    </row>
    <row r="54" spans="2:12" ht="15.75" customHeight="1" thickBot="1" x14ac:dyDescent="0.3">
      <c r="F54" s="18">
        <v>52</v>
      </c>
      <c r="G54" s="27">
        <v>5.1500000000000001E-3</v>
      </c>
      <c r="J54" s="45">
        <v>5.1999999999999998E-3</v>
      </c>
      <c r="K54" s="45">
        <v>3.2386506864446802E-3</v>
      </c>
      <c r="L54" s="94">
        <v>5.1500000000000001E-3</v>
      </c>
    </row>
    <row r="55" spans="2:12" ht="15.75" customHeight="1" thickBot="1" x14ac:dyDescent="0.3">
      <c r="F55" s="18">
        <v>53</v>
      </c>
      <c r="G55" s="27">
        <v>5.6600000000000001E-3</v>
      </c>
      <c r="J55" s="45">
        <v>5.1999999999999998E-3</v>
      </c>
      <c r="K55" s="45">
        <v>3.2386506864446802E-3</v>
      </c>
      <c r="L55" s="94">
        <v>5.6600000000000001E-3</v>
      </c>
    </row>
    <row r="56" spans="2:12" ht="15.75" customHeight="1" thickBot="1" x14ac:dyDescent="0.3">
      <c r="F56" s="18">
        <v>54</v>
      </c>
      <c r="G56" s="27">
        <v>6.2300000000000003E-3</v>
      </c>
      <c r="J56" s="45">
        <v>5.1999999999999998E-3</v>
      </c>
      <c r="K56" s="45">
        <v>3.2386506864446802E-3</v>
      </c>
      <c r="L56" s="94">
        <v>6.2300000000000003E-3</v>
      </c>
    </row>
    <row r="57" spans="2:12" ht="15.75" customHeight="1" thickBot="1" x14ac:dyDescent="0.3">
      <c r="F57" s="18">
        <v>55</v>
      </c>
      <c r="G57" s="27">
        <v>6.8900000000000003E-3</v>
      </c>
      <c r="J57" s="45">
        <v>7.7999999999999996E-3</v>
      </c>
      <c r="K57" s="45">
        <v>4.8071743737607298E-3</v>
      </c>
      <c r="L57" s="94">
        <v>6.8900000000000003E-3</v>
      </c>
    </row>
    <row r="58" spans="2:12" ht="15.75" customHeight="1" thickBot="1" x14ac:dyDescent="0.3">
      <c r="F58" s="18">
        <v>56</v>
      </c>
      <c r="G58" s="27">
        <v>7.6299999999999996E-3</v>
      </c>
      <c r="J58" s="45">
        <v>7.7999999999999996E-3</v>
      </c>
      <c r="K58" s="45">
        <v>4.8071743737607298E-3</v>
      </c>
      <c r="L58" s="94">
        <v>7.6299999999999996E-3</v>
      </c>
    </row>
    <row r="59" spans="2:12" ht="15.75" customHeight="1" thickBot="1" x14ac:dyDescent="0.3">
      <c r="F59" s="18">
        <v>57</v>
      </c>
      <c r="G59" s="27">
        <v>8.4499999999999992E-3</v>
      </c>
      <c r="J59" s="45">
        <v>7.7999999999999996E-3</v>
      </c>
      <c r="K59" s="45">
        <v>4.8071743737607298E-3</v>
      </c>
      <c r="L59" s="94">
        <v>8.4499999999999992E-3</v>
      </c>
    </row>
    <row r="60" spans="2:12" ht="15.75" customHeight="1" thickBot="1" x14ac:dyDescent="0.3">
      <c r="F60" s="18">
        <v>58</v>
      </c>
      <c r="G60" s="27">
        <v>9.3600000000000003E-3</v>
      </c>
      <c r="J60" s="45">
        <v>7.7999999999999996E-3</v>
      </c>
      <c r="K60" s="45">
        <v>4.8071743737607298E-3</v>
      </c>
      <c r="L60" s="94">
        <v>9.3600000000000003E-3</v>
      </c>
    </row>
    <row r="61" spans="2:12" ht="15.75" customHeight="1" thickBot="1" x14ac:dyDescent="0.3">
      <c r="F61" s="18">
        <v>59</v>
      </c>
      <c r="G61" s="27">
        <v>1.035E-2</v>
      </c>
      <c r="J61" s="45">
        <v>7.7999999999999996E-3</v>
      </c>
      <c r="K61" s="45">
        <v>4.8071743737607298E-3</v>
      </c>
      <c r="L61" s="94">
        <v>1.035E-2</v>
      </c>
    </row>
    <row r="62" spans="2:12" ht="15.75" customHeight="1" thickBot="1" x14ac:dyDescent="0.3">
      <c r="F62" s="18">
        <v>60</v>
      </c>
      <c r="G62" s="27">
        <v>1.1440000000000001E-2</v>
      </c>
      <c r="J62" s="45">
        <v>1.1600000000000001E-2</v>
      </c>
      <c r="K62" s="45">
        <v>7.9044460184792692E-3</v>
      </c>
      <c r="L62" s="94">
        <v>1.1440000000000001E-2</v>
      </c>
    </row>
    <row r="63" spans="2:12" ht="15.75" customHeight="1" thickBot="1" x14ac:dyDescent="0.3">
      <c r="F63" s="18">
        <v>61</v>
      </c>
      <c r="G63" s="27">
        <v>1.2619999999999999E-2</v>
      </c>
      <c r="J63" s="45">
        <v>1.1600000000000001E-2</v>
      </c>
      <c r="K63" s="45">
        <v>7.9044460184792692E-3</v>
      </c>
      <c r="L63" s="94">
        <v>1.2619999999999999E-2</v>
      </c>
    </row>
    <row r="64" spans="2:12" ht="15.75" customHeight="1" thickBot="1" x14ac:dyDescent="0.3">
      <c r="F64" s="18">
        <v>62</v>
      </c>
      <c r="G64" s="27">
        <v>1.388E-2</v>
      </c>
      <c r="J64" s="45">
        <v>1.1600000000000001E-2</v>
      </c>
      <c r="K64" s="45">
        <v>7.9044460184792692E-3</v>
      </c>
      <c r="L64" s="94">
        <v>1.388E-2</v>
      </c>
    </row>
    <row r="65" spans="6:12" ht="15.75" customHeight="1" thickBot="1" x14ac:dyDescent="0.3">
      <c r="F65" s="18">
        <v>63</v>
      </c>
      <c r="G65" s="27">
        <v>1.5259999999999999E-2</v>
      </c>
      <c r="J65" s="45">
        <v>1.1600000000000001E-2</v>
      </c>
      <c r="K65" s="45">
        <v>7.9044460184792692E-3</v>
      </c>
      <c r="L65" s="94">
        <v>1.5259999999999999E-2</v>
      </c>
    </row>
    <row r="66" spans="6:12" ht="15.75" customHeight="1" thickBot="1" x14ac:dyDescent="0.3">
      <c r="F66" s="18">
        <v>64</v>
      </c>
      <c r="G66" s="27">
        <v>1.677E-2</v>
      </c>
      <c r="J66" s="45">
        <v>1.1600000000000001E-2</v>
      </c>
      <c r="K66" s="45">
        <v>7.9044460184792692E-3</v>
      </c>
      <c r="L66" s="94">
        <v>1.677E-2</v>
      </c>
    </row>
    <row r="67" spans="6:12" ht="15.75" customHeight="1" thickBot="1" x14ac:dyDescent="0.3">
      <c r="F67" s="18">
        <v>65</v>
      </c>
      <c r="G67" s="27">
        <v>1.8419999999999999E-2</v>
      </c>
      <c r="J67" s="45">
        <v>1.7000000000000001E-2</v>
      </c>
      <c r="K67" s="45">
        <v>1.21836504392135E-2</v>
      </c>
      <c r="L67" s="94">
        <v>1.8419999999999999E-2</v>
      </c>
    </row>
    <row r="68" spans="6:12" ht="15.75" customHeight="1" thickBot="1" x14ac:dyDescent="0.3">
      <c r="F68" s="18">
        <v>66</v>
      </c>
      <c r="G68" s="27">
        <v>2.0199999999999999E-2</v>
      </c>
      <c r="J68" s="45">
        <v>1.7000000000000001E-2</v>
      </c>
      <c r="K68" s="45">
        <v>1.21836504392135E-2</v>
      </c>
      <c r="L68" s="94">
        <v>2.0199999999999999E-2</v>
      </c>
    </row>
    <row r="69" spans="6:12" ht="15.75" customHeight="1" thickBot="1" x14ac:dyDescent="0.3">
      <c r="F69" s="18">
        <v>67</v>
      </c>
      <c r="G69" s="27">
        <v>2.2120000000000001E-2</v>
      </c>
      <c r="J69" s="45">
        <v>1.7000000000000001E-2</v>
      </c>
      <c r="K69" s="45">
        <v>1.21836504392135E-2</v>
      </c>
      <c r="L69" s="94">
        <v>2.2120000000000001E-2</v>
      </c>
    </row>
    <row r="70" spans="6:12" ht="15.75" customHeight="1" thickBot="1" x14ac:dyDescent="0.3">
      <c r="F70" s="18">
        <v>68</v>
      </c>
      <c r="G70" s="27">
        <v>2.4219999999999998E-2</v>
      </c>
      <c r="J70" s="45">
        <v>1.7000000000000001E-2</v>
      </c>
      <c r="K70" s="45">
        <v>1.21836504392135E-2</v>
      </c>
      <c r="L70" s="94">
        <v>2.4219999999999998E-2</v>
      </c>
    </row>
    <row r="71" spans="6:12" ht="15.75" customHeight="1" thickBot="1" x14ac:dyDescent="0.3">
      <c r="F71" s="18">
        <v>69</v>
      </c>
      <c r="G71" s="27">
        <v>2.6530000000000001E-2</v>
      </c>
      <c r="J71" s="45">
        <v>1.7000000000000001E-2</v>
      </c>
      <c r="K71" s="45">
        <v>1.21836504392135E-2</v>
      </c>
      <c r="L71" s="94">
        <v>2.6530000000000001E-2</v>
      </c>
    </row>
    <row r="72" spans="6:12" ht="15.75" customHeight="1" thickBot="1" x14ac:dyDescent="0.3">
      <c r="F72" s="18">
        <v>70</v>
      </c>
      <c r="G72" s="27">
        <v>2.9049999999999999E-2</v>
      </c>
      <c r="J72" s="45">
        <v>2.6000000000000002E-2</v>
      </c>
      <c r="K72" s="45">
        <v>1.9901272383305E-2</v>
      </c>
      <c r="L72" s="94">
        <v>2.9049999999999999E-2</v>
      </c>
    </row>
    <row r="73" spans="6:12" ht="15.75" customHeight="1" thickBot="1" x14ac:dyDescent="0.3">
      <c r="F73" s="18">
        <v>71</v>
      </c>
      <c r="G73" s="27">
        <v>3.177E-2</v>
      </c>
      <c r="J73" s="45">
        <v>2.6000000000000002E-2</v>
      </c>
      <c r="K73" s="45">
        <v>1.9901272383305E-2</v>
      </c>
      <c r="L73" s="94">
        <v>3.177E-2</v>
      </c>
    </row>
    <row r="74" spans="6:12" ht="15.75" customHeight="1" thickBot="1" x14ac:dyDescent="0.3">
      <c r="F74" s="18">
        <v>72</v>
      </c>
      <c r="G74" s="27">
        <v>3.4689999999999999E-2</v>
      </c>
      <c r="J74" s="45">
        <v>2.6000000000000002E-2</v>
      </c>
      <c r="K74" s="45">
        <v>1.9901272383305E-2</v>
      </c>
      <c r="L74" s="94">
        <v>3.4689999999999999E-2</v>
      </c>
    </row>
    <row r="75" spans="6:12" ht="15.75" customHeight="1" thickBot="1" x14ac:dyDescent="0.3">
      <c r="F75" s="18">
        <v>73</v>
      </c>
      <c r="G75" s="27">
        <v>3.7769999999999998E-2</v>
      </c>
      <c r="J75" s="45">
        <v>2.6000000000000002E-2</v>
      </c>
      <c r="K75" s="45">
        <v>1.9901272383305E-2</v>
      </c>
      <c r="L75" s="94">
        <v>3.7769999999999998E-2</v>
      </c>
    </row>
    <row r="76" spans="6:12" ht="15.75" customHeight="1" thickBot="1" x14ac:dyDescent="0.3">
      <c r="F76" s="18">
        <v>74</v>
      </c>
      <c r="G76" s="27">
        <v>4.0989999999999999E-2</v>
      </c>
      <c r="J76" s="45">
        <v>2.6000000000000002E-2</v>
      </c>
      <c r="K76" s="45">
        <v>1.9901272383305E-2</v>
      </c>
      <c r="L76" s="94">
        <v>4.0989999999999999E-2</v>
      </c>
    </row>
    <row r="77" spans="6:12" ht="15.75" customHeight="1" thickBot="1" x14ac:dyDescent="0.3">
      <c r="F77" s="18">
        <v>75</v>
      </c>
      <c r="G77" s="27">
        <v>4.4389999999999999E-2</v>
      </c>
      <c r="J77" s="45">
        <v>3.7999999999999999E-2</v>
      </c>
      <c r="K77" s="45">
        <v>3.2169855966094701E-2</v>
      </c>
      <c r="L77" s="94">
        <v>4.4389999999999999E-2</v>
      </c>
    </row>
    <row r="78" spans="6:12" ht="15.75" customHeight="1" thickBot="1" x14ac:dyDescent="0.3">
      <c r="F78" s="18">
        <v>76</v>
      </c>
      <c r="G78" s="27">
        <v>4.8059999999999999E-2</v>
      </c>
      <c r="J78" s="45">
        <v>3.7999999999999999E-2</v>
      </c>
      <c r="K78" s="45">
        <v>3.2169855966094701E-2</v>
      </c>
      <c r="L78" s="94">
        <v>4.8059999999999999E-2</v>
      </c>
    </row>
    <row r="79" spans="6:12" ht="15.75" customHeight="1" thickBot="1" x14ac:dyDescent="0.3">
      <c r="F79" s="18">
        <v>77</v>
      </c>
      <c r="G79" s="27">
        <v>5.2019999999999997E-2</v>
      </c>
      <c r="J79" s="45">
        <v>3.7999999999999999E-2</v>
      </c>
      <c r="K79" s="45">
        <v>3.2169855966094701E-2</v>
      </c>
      <c r="L79" s="94">
        <v>5.2019999999999997E-2</v>
      </c>
    </row>
    <row r="80" spans="6:12" ht="15.75" customHeight="1" thickBot="1" x14ac:dyDescent="0.3">
      <c r="F80" s="18">
        <v>78</v>
      </c>
      <c r="G80" s="27">
        <v>5.6320000000000002E-2</v>
      </c>
      <c r="J80" s="45">
        <v>3.7999999999999999E-2</v>
      </c>
      <c r="K80" s="45">
        <v>3.2169855966094701E-2</v>
      </c>
      <c r="L80" s="94">
        <v>5.6320000000000002E-2</v>
      </c>
    </row>
    <row r="81" spans="6:12" ht="15.75" customHeight="1" thickBot="1" x14ac:dyDescent="0.3">
      <c r="F81" s="18">
        <v>79</v>
      </c>
      <c r="G81" s="27">
        <v>6.0970000000000003E-2</v>
      </c>
      <c r="J81" s="45">
        <v>3.7999999999999999E-2</v>
      </c>
      <c r="K81" s="45">
        <v>3.2169855966094701E-2</v>
      </c>
      <c r="L81" s="94">
        <v>6.0970000000000003E-2</v>
      </c>
    </row>
    <row r="82" spans="6:12" ht="15.75" customHeight="1" thickBot="1" x14ac:dyDescent="0.3">
      <c r="F82" s="18">
        <v>80</v>
      </c>
      <c r="G82" s="27">
        <v>6.6009999999999999E-2</v>
      </c>
      <c r="J82" s="45">
        <v>5.6000000000000008E-2</v>
      </c>
      <c r="K82" s="45">
        <v>5.1255278340479299E-2</v>
      </c>
      <c r="L82" s="94">
        <v>6.6009999999999999E-2</v>
      </c>
    </row>
    <row r="83" spans="6:12" ht="15.75" customHeight="1" thickBot="1" x14ac:dyDescent="0.3">
      <c r="F83" s="18">
        <v>81</v>
      </c>
      <c r="G83" s="27">
        <v>7.1480000000000002E-2</v>
      </c>
      <c r="J83" s="45">
        <v>5.6000000000000008E-2</v>
      </c>
      <c r="K83" s="45">
        <v>5.1255278340479299E-2</v>
      </c>
      <c r="L83" s="94">
        <v>7.1480000000000002E-2</v>
      </c>
    </row>
    <row r="84" spans="6:12" ht="15.75" customHeight="1" thickBot="1" x14ac:dyDescent="0.3">
      <c r="F84" s="18">
        <v>82</v>
      </c>
      <c r="G84" s="27">
        <v>7.7399999999999997E-2</v>
      </c>
      <c r="J84" s="45">
        <v>5.6000000000000008E-2</v>
      </c>
      <c r="K84" s="45">
        <v>5.1255278340479299E-2</v>
      </c>
      <c r="L84" s="94">
        <v>7.7399999999999997E-2</v>
      </c>
    </row>
    <row r="85" spans="6:12" ht="15.75" customHeight="1" thickBot="1" x14ac:dyDescent="0.3">
      <c r="F85" s="18">
        <v>83</v>
      </c>
      <c r="G85" s="27">
        <v>8.4140000000000006E-2</v>
      </c>
      <c r="J85" s="45">
        <v>5.6000000000000008E-2</v>
      </c>
      <c r="K85" s="45">
        <v>5.1255278340479299E-2</v>
      </c>
      <c r="L85" s="94">
        <v>8.4140000000000006E-2</v>
      </c>
    </row>
    <row r="86" spans="6:12" ht="15.75" customHeight="1" thickBot="1" x14ac:dyDescent="0.3">
      <c r="F86" s="18">
        <v>84</v>
      </c>
      <c r="G86" s="27">
        <v>9.1759999999999994E-2</v>
      </c>
      <c r="J86" s="45">
        <v>5.6000000000000008E-2</v>
      </c>
      <c r="K86" s="45">
        <v>5.1255278340479299E-2</v>
      </c>
      <c r="L86" s="94">
        <v>9.1759999999999994E-2</v>
      </c>
    </row>
    <row r="87" spans="6:12" ht="15.75" customHeight="1" thickBot="1" x14ac:dyDescent="0.3">
      <c r="F87" s="18">
        <v>85</v>
      </c>
      <c r="G87" s="27">
        <v>9.9830000000000002E-2</v>
      </c>
      <c r="J87" s="45">
        <v>1</v>
      </c>
      <c r="K87" s="45">
        <v>0.10387284992507401</v>
      </c>
      <c r="L87" s="94">
        <v>9.9830000000000002E-2</v>
      </c>
    </row>
    <row r="88" spans="6:12" ht="15.75" customHeight="1" thickBot="1" x14ac:dyDescent="0.3">
      <c r="F88" s="18">
        <v>86</v>
      </c>
      <c r="G88" s="27">
        <v>0.10795</v>
      </c>
      <c r="J88" s="45">
        <v>1</v>
      </c>
      <c r="K88" s="45">
        <v>0.10387284992507401</v>
      </c>
      <c r="L88" s="94">
        <v>0.10795</v>
      </c>
    </row>
    <row r="89" spans="6:12" ht="15.75" customHeight="1" thickBot="1" x14ac:dyDescent="0.3">
      <c r="F89" s="18">
        <v>87</v>
      </c>
      <c r="G89" s="27">
        <v>0.11572</v>
      </c>
      <c r="J89" s="45">
        <v>1</v>
      </c>
      <c r="K89" s="45">
        <v>0.10387284992507401</v>
      </c>
      <c r="L89" s="94">
        <v>0.11572</v>
      </c>
    </row>
    <row r="90" spans="6:12" ht="15.75" customHeight="1" thickBot="1" x14ac:dyDescent="0.3">
      <c r="F90" s="18">
        <v>88</v>
      </c>
      <c r="G90" s="27">
        <v>0.12349</v>
      </c>
      <c r="J90" s="45">
        <v>1</v>
      </c>
      <c r="K90" s="45">
        <v>0.10387284992507401</v>
      </c>
      <c r="L90" s="94">
        <v>0.12349</v>
      </c>
    </row>
    <row r="91" spans="6:12" ht="15.75" customHeight="1" thickBot="1" x14ac:dyDescent="0.3">
      <c r="F91" s="18">
        <v>89</v>
      </c>
      <c r="G91" s="27">
        <v>0.13178999999999999</v>
      </c>
      <c r="J91" s="45">
        <v>1</v>
      </c>
      <c r="K91" s="45">
        <v>0.10387284992507401</v>
      </c>
      <c r="L91" s="94">
        <v>0.13178999999999999</v>
      </c>
    </row>
    <row r="92" spans="6:12" ht="15.75" customHeight="1" thickBot="1" x14ac:dyDescent="0.3">
      <c r="F92" s="18">
        <v>90</v>
      </c>
      <c r="G92" s="27">
        <v>0.14066999999999999</v>
      </c>
      <c r="J92" s="45">
        <v>1</v>
      </c>
      <c r="K92" s="45">
        <v>0.10387284992507401</v>
      </c>
      <c r="L92" s="94">
        <v>0.14066999999999999</v>
      </c>
    </row>
    <row r="93" spans="6:12" ht="15.75" customHeight="1" thickBot="1" x14ac:dyDescent="0.3">
      <c r="F93" s="18">
        <v>91</v>
      </c>
      <c r="G93" s="27">
        <v>0.15024000000000001</v>
      </c>
      <c r="J93" s="45">
        <v>1</v>
      </c>
      <c r="K93" s="45">
        <v>0.10387284992507401</v>
      </c>
      <c r="L93" s="94">
        <v>0.15024000000000001</v>
      </c>
    </row>
    <row r="94" spans="6:12" ht="15.75" customHeight="1" thickBot="1" x14ac:dyDescent="0.3">
      <c r="F94" s="18">
        <v>92</v>
      </c>
      <c r="G94" s="27">
        <v>0.16059999999999999</v>
      </c>
      <c r="J94" s="45">
        <v>1</v>
      </c>
      <c r="K94" s="45">
        <v>0.10387284992507401</v>
      </c>
      <c r="L94" s="94">
        <v>0.16059999999999999</v>
      </c>
    </row>
    <row r="95" spans="6:12" ht="15.75" customHeight="1" thickBot="1" x14ac:dyDescent="0.3">
      <c r="F95" s="18">
        <v>93</v>
      </c>
      <c r="G95" s="27">
        <v>0.17186999999999999</v>
      </c>
      <c r="J95" s="45">
        <v>1</v>
      </c>
      <c r="K95" s="45">
        <v>0.10387284992507401</v>
      </c>
      <c r="L95" s="94">
        <v>0.17186999999999999</v>
      </c>
    </row>
    <row r="96" spans="6:12" ht="15.75" customHeight="1" thickBot="1" x14ac:dyDescent="0.3">
      <c r="F96" s="18">
        <v>94</v>
      </c>
      <c r="G96" s="27">
        <v>0.1842</v>
      </c>
      <c r="J96" s="45">
        <v>1</v>
      </c>
      <c r="K96" s="45">
        <v>0.10387284992507401</v>
      </c>
      <c r="L96" s="94">
        <v>0.1842</v>
      </c>
    </row>
    <row r="97" spans="6:12" ht="15.75" customHeight="1" thickBot="1" x14ac:dyDescent="0.3">
      <c r="F97" s="18">
        <v>95</v>
      </c>
      <c r="G97" s="27">
        <v>0.19792000000000001</v>
      </c>
      <c r="J97" s="45">
        <v>1</v>
      </c>
      <c r="K97" s="45">
        <v>0.10387284992507401</v>
      </c>
      <c r="L97" s="94">
        <v>0.19792000000000001</v>
      </c>
    </row>
    <row r="98" spans="6:12" ht="15.75" customHeight="1" thickBot="1" x14ac:dyDescent="0.3">
      <c r="F98" s="18">
        <v>96</v>
      </c>
      <c r="G98" s="27">
        <v>0.21293999999999999</v>
      </c>
      <c r="J98" s="45">
        <v>1</v>
      </c>
      <c r="K98" s="45">
        <v>0.10387284992507401</v>
      </c>
      <c r="L98" s="94">
        <v>0.21293999999999999</v>
      </c>
    </row>
    <row r="99" spans="6:12" ht="15.75" customHeight="1" thickBot="1" x14ac:dyDescent="0.3">
      <c r="F99" s="18">
        <v>97</v>
      </c>
      <c r="G99" s="27">
        <v>0.22921</v>
      </c>
      <c r="J99" s="45">
        <v>1</v>
      </c>
      <c r="K99" s="45">
        <v>0.10387284992507401</v>
      </c>
      <c r="L99" s="94">
        <v>0.22921</v>
      </c>
    </row>
    <row r="100" spans="6:12" ht="15.75" customHeight="1" thickBot="1" x14ac:dyDescent="0.3">
      <c r="F100" s="18">
        <v>98</v>
      </c>
      <c r="G100" s="27">
        <v>0.24684</v>
      </c>
      <c r="J100" s="45">
        <v>1</v>
      </c>
      <c r="K100" s="45">
        <v>0.10387284992507401</v>
      </c>
      <c r="L100" s="94">
        <v>0.24684</v>
      </c>
    </row>
    <row r="101" spans="6:12" ht="15.75" customHeight="1" thickBot="1" x14ac:dyDescent="0.3">
      <c r="F101" s="18">
        <v>99</v>
      </c>
      <c r="G101" s="27">
        <v>0.26595999999999997</v>
      </c>
      <c r="J101" s="45">
        <v>1</v>
      </c>
      <c r="K101" s="45">
        <v>0.10387284992507401</v>
      </c>
      <c r="L101" s="94">
        <v>0.26595999999999997</v>
      </c>
    </row>
    <row r="102" spans="6:12" ht="15.75" customHeight="1" thickBot="1" x14ac:dyDescent="0.3">
      <c r="F102" s="18">
        <v>100</v>
      </c>
      <c r="G102" s="27">
        <v>1</v>
      </c>
      <c r="J102" s="45">
        <v>1</v>
      </c>
      <c r="K102" s="45">
        <v>0.10387284992507401</v>
      </c>
      <c r="L102" s="94">
        <v>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AM483"/>
  <sheetViews>
    <sheetView topLeftCell="Y1" zoomScale="85" zoomScaleNormal="85" workbookViewId="0">
      <selection activeCell="AD455" sqref="AD455"/>
    </sheetView>
  </sheetViews>
  <sheetFormatPr baseColWidth="10" defaultRowHeight="13.2" x14ac:dyDescent="0.25"/>
  <cols>
    <col min="1" max="18" width="11.5546875" style="97"/>
    <col min="19" max="20" width="12.44140625" style="97" bestFit="1" customWidth="1"/>
    <col min="21" max="21" width="11.5546875" style="45"/>
    <col min="24" max="24" width="11.5546875" style="97"/>
    <col min="25" max="25" width="11.77734375" style="97" bestFit="1" customWidth="1"/>
    <col min="26" max="36" width="11.5546875" style="97"/>
    <col min="37" max="37" width="20.33203125" style="97" bestFit="1" customWidth="1"/>
    <col min="38" max="39" width="11.5546875" style="97"/>
  </cols>
  <sheetData>
    <row r="1" spans="1:39" x14ac:dyDescent="0.25">
      <c r="A1" s="97" t="s">
        <v>86</v>
      </c>
      <c r="B1" s="97" t="s">
        <v>85</v>
      </c>
      <c r="C1" s="97" t="s">
        <v>2</v>
      </c>
      <c r="D1" s="97" t="s">
        <v>3</v>
      </c>
      <c r="E1" s="97" t="s">
        <v>4</v>
      </c>
      <c r="F1" s="97" t="s">
        <v>5</v>
      </c>
      <c r="G1" s="97" t="s">
        <v>19</v>
      </c>
      <c r="H1" s="97" t="s">
        <v>87</v>
      </c>
      <c r="I1" s="97" t="s">
        <v>84</v>
      </c>
      <c r="J1" s="97" t="s">
        <v>111</v>
      </c>
      <c r="K1" s="97" t="s">
        <v>112</v>
      </c>
      <c r="L1" s="97" t="s">
        <v>113</v>
      </c>
      <c r="M1" s="97" t="s">
        <v>114</v>
      </c>
      <c r="N1" s="97" t="s">
        <v>115</v>
      </c>
      <c r="O1" s="97" t="s">
        <v>116</v>
      </c>
      <c r="P1" s="97" t="s">
        <v>121</v>
      </c>
      <c r="Q1" s="97" t="s">
        <v>122</v>
      </c>
      <c r="R1" s="97" t="s">
        <v>118</v>
      </c>
      <c r="S1" s="97" t="s">
        <v>117</v>
      </c>
      <c r="T1" s="97" t="s">
        <v>110</v>
      </c>
      <c r="U1" s="45" t="s">
        <v>119</v>
      </c>
      <c r="V1" t="s">
        <v>120</v>
      </c>
      <c r="W1" t="s">
        <v>85</v>
      </c>
      <c r="X1" s="97" t="s">
        <v>87</v>
      </c>
      <c r="Y1" s="97" t="s">
        <v>90</v>
      </c>
      <c r="Z1" s="97" t="s">
        <v>91</v>
      </c>
      <c r="AA1" s="97" t="s">
        <v>13</v>
      </c>
      <c r="AB1" s="97" t="s">
        <v>92</v>
      </c>
      <c r="AC1" s="97" t="s">
        <v>20</v>
      </c>
      <c r="AD1" s="97" t="s">
        <v>21</v>
      </c>
      <c r="AE1" s="97" t="s">
        <v>93</v>
      </c>
      <c r="AF1" s="97" t="s">
        <v>22</v>
      </c>
      <c r="AG1" s="97" t="s">
        <v>94</v>
      </c>
      <c r="AH1" s="97" t="s">
        <v>95</v>
      </c>
      <c r="AI1" s="97" t="s">
        <v>97</v>
      </c>
      <c r="AJ1" s="97" t="s">
        <v>98</v>
      </c>
      <c r="AK1" s="97" t="s">
        <v>99</v>
      </c>
      <c r="AL1" s="97" t="s">
        <v>100</v>
      </c>
      <c r="AM1" s="97" t="s">
        <v>96</v>
      </c>
    </row>
    <row r="2" spans="1:39" x14ac:dyDescent="0.25">
      <c r="A2" s="97">
        <v>0</v>
      </c>
      <c r="B2" s="97">
        <v>7.6466666666666662E-3</v>
      </c>
      <c r="C2" s="97">
        <v>1315</v>
      </c>
      <c r="D2" s="97">
        <v>1365</v>
      </c>
      <c r="E2" s="97">
        <v>910</v>
      </c>
      <c r="F2" s="97">
        <v>1470</v>
      </c>
      <c r="G2" s="97">
        <v>4940</v>
      </c>
      <c r="H2" s="97">
        <v>4940</v>
      </c>
      <c r="I2" s="97">
        <v>45</v>
      </c>
      <c r="J2" s="97">
        <v>45</v>
      </c>
      <c r="K2" s="97">
        <v>7162.3666666666659</v>
      </c>
      <c r="L2" s="97">
        <v>7434.7</v>
      </c>
      <c r="M2" s="97">
        <v>4956.4666666666662</v>
      </c>
      <c r="N2" s="97">
        <v>7481.0749999999998</v>
      </c>
      <c r="O2" s="97">
        <v>80077.400000000009</v>
      </c>
      <c r="P2" s="97">
        <v>0</v>
      </c>
      <c r="Q2" s="97">
        <v>0</v>
      </c>
      <c r="R2" s="97">
        <v>107112.00833333335</v>
      </c>
      <c r="S2" s="97">
        <v>107112.00833333335</v>
      </c>
      <c r="T2" s="97">
        <v>107112.00833333335</v>
      </c>
      <c r="U2" s="45">
        <v>833.33333333333326</v>
      </c>
      <c r="V2">
        <v>0</v>
      </c>
      <c r="W2">
        <v>7.6466666666666662E-3</v>
      </c>
      <c r="X2" s="97">
        <v>4940</v>
      </c>
      <c r="Y2" s="97">
        <v>0</v>
      </c>
      <c r="Z2" s="97">
        <v>0</v>
      </c>
      <c r="AA2" s="97">
        <v>0</v>
      </c>
      <c r="AB2" s="97">
        <v>0</v>
      </c>
      <c r="AC2" s="97">
        <v>0</v>
      </c>
      <c r="AD2" s="97">
        <v>0</v>
      </c>
      <c r="AE2" s="97">
        <v>0</v>
      </c>
      <c r="AF2" s="97">
        <v>0</v>
      </c>
      <c r="AG2" s="97">
        <v>0</v>
      </c>
      <c r="AH2" s="97">
        <v>0</v>
      </c>
      <c r="AI2" s="97">
        <v>0</v>
      </c>
      <c r="AJ2" s="97">
        <v>0</v>
      </c>
      <c r="AK2" s="98">
        <v>0</v>
      </c>
      <c r="AL2" s="97">
        <v>0</v>
      </c>
      <c r="AM2" s="97">
        <v>0</v>
      </c>
    </row>
    <row r="3" spans="1:39" x14ac:dyDescent="0.25">
      <c r="A3" s="97">
        <v>1</v>
      </c>
      <c r="B3" s="97">
        <v>2.2833333333333332E-4</v>
      </c>
      <c r="C3" s="97">
        <v>1301.1347294337099</v>
      </c>
      <c r="D3" s="97">
        <v>1368.1860945374119</v>
      </c>
      <c r="E3" s="97">
        <v>910.21688002007113</v>
      </c>
      <c r="F3" s="97">
        <v>1464.2802285986265</v>
      </c>
      <c r="G3" s="97">
        <v>4931.7487416100976</v>
      </c>
      <c r="H3" s="97">
        <v>4955.0267007435141</v>
      </c>
      <c r="I3" s="97">
        <v>45</v>
      </c>
      <c r="J3" s="97">
        <v>45</v>
      </c>
      <c r="K3" s="97">
        <v>7086.8471596489399</v>
      </c>
      <c r="L3" s="97">
        <v>7452.0535949137702</v>
      </c>
      <c r="M3" s="97">
        <v>4957.6479398426536</v>
      </c>
      <c r="N3" s="97">
        <v>7451.9661300431762</v>
      </c>
      <c r="O3" s="97">
        <v>79943.647101499679</v>
      </c>
      <c r="P3" s="97">
        <v>4464.0792613581016</v>
      </c>
      <c r="Q3" s="97">
        <v>461.70265033795243</v>
      </c>
      <c r="R3" s="97">
        <v>111817.94383764427</v>
      </c>
      <c r="S3" s="97">
        <v>218929.9521709776</v>
      </c>
      <c r="T3" s="97">
        <v>218465.97730028199</v>
      </c>
      <c r="U3" s="45">
        <v>0</v>
      </c>
      <c r="V3">
        <v>0</v>
      </c>
      <c r="W3">
        <v>2.2833333333333332E-4</v>
      </c>
      <c r="X3" s="97">
        <v>4955.0267007435141</v>
      </c>
      <c r="Y3" s="97">
        <v>16.349343552396206</v>
      </c>
      <c r="Z3" s="97">
        <v>16.349343552396206</v>
      </c>
      <c r="AA3" s="97">
        <v>16.349343552396206</v>
      </c>
      <c r="AB3" s="97">
        <v>0</v>
      </c>
      <c r="AC3" s="97">
        <v>0</v>
      </c>
      <c r="AD3" s="97">
        <v>5.8006489143533191</v>
      </c>
      <c r="AE3" s="97">
        <v>5.8006489143533191</v>
      </c>
      <c r="AF3" s="97">
        <v>0</v>
      </c>
      <c r="AG3" s="97">
        <v>2.2833333333333332</v>
      </c>
      <c r="AH3" s="97">
        <v>0</v>
      </c>
      <c r="AI3" s="97">
        <v>0</v>
      </c>
      <c r="AJ3" s="97">
        <v>0</v>
      </c>
      <c r="AK3" s="97">
        <v>0</v>
      </c>
      <c r="AL3" s="97">
        <v>0</v>
      </c>
      <c r="AM3" s="97">
        <v>0</v>
      </c>
    </row>
    <row r="4" spans="1:39" x14ac:dyDescent="0.25">
      <c r="A4" s="97">
        <v>2</v>
      </c>
      <c r="B4" s="97">
        <v>2.2833333333333332E-4</v>
      </c>
      <c r="C4" s="97">
        <v>1287.4156533372879</v>
      </c>
      <c r="D4" s="97">
        <v>1371.2049347113514</v>
      </c>
      <c r="E4" s="97">
        <v>910.45491071170045</v>
      </c>
      <c r="F4" s="97">
        <v>1458.6225302316097</v>
      </c>
      <c r="G4" s="97">
        <v>4923.4778953771638</v>
      </c>
      <c r="H4" s="97">
        <v>4969.9949325801099</v>
      </c>
      <c r="I4" s="97">
        <v>45</v>
      </c>
      <c r="J4" s="97">
        <v>45</v>
      </c>
      <c r="K4" s="97">
        <v>7012.1239251770949</v>
      </c>
      <c r="L4" s="97">
        <v>7468.4962110611596</v>
      </c>
      <c r="M4" s="97">
        <v>4958.944413676395</v>
      </c>
      <c r="N4" s="97">
        <v>7423.1731601037</v>
      </c>
      <c r="O4" s="97">
        <v>79809.576684063824</v>
      </c>
      <c r="P4" s="97">
        <v>8819.450575158864</v>
      </c>
      <c r="Q4" s="97">
        <v>909.20707275551899</v>
      </c>
      <c r="R4" s="97">
        <v>116400.97204199656</v>
      </c>
      <c r="S4" s="97">
        <v>335330.92421297415</v>
      </c>
      <c r="T4" s="97">
        <v>333902.97028626711</v>
      </c>
      <c r="U4" s="45">
        <v>0</v>
      </c>
      <c r="V4">
        <v>0</v>
      </c>
      <c r="W4">
        <v>2.2833333333333332E-4</v>
      </c>
      <c r="X4" s="97">
        <v>4969.9949325801099</v>
      </c>
      <c r="Y4" s="97">
        <v>16.322035322000232</v>
      </c>
      <c r="Z4" s="97">
        <v>32.671378874396439</v>
      </c>
      <c r="AA4" s="97">
        <v>32.300552690631022</v>
      </c>
      <c r="AB4" s="97">
        <v>0</v>
      </c>
      <c r="AC4" s="97">
        <v>0</v>
      </c>
      <c r="AD4" s="97">
        <v>11.422916926383806</v>
      </c>
      <c r="AE4" s="97">
        <v>11.687274804064957</v>
      </c>
      <c r="AF4" s="97">
        <v>0.53446070831682058</v>
      </c>
      <c r="AG4" s="97">
        <v>4.5661453055555548</v>
      </c>
      <c r="AH4" s="97">
        <v>0</v>
      </c>
      <c r="AI4" s="97">
        <v>0</v>
      </c>
      <c r="AJ4" s="97">
        <v>0</v>
      </c>
      <c r="AK4" s="97">
        <v>0</v>
      </c>
      <c r="AL4" s="97">
        <v>0</v>
      </c>
      <c r="AM4" s="97">
        <v>0</v>
      </c>
    </row>
    <row r="5" spans="1:39" x14ac:dyDescent="0.25">
      <c r="A5" s="97">
        <v>3</v>
      </c>
      <c r="B5" s="97">
        <v>2.2833333333333332E-4</v>
      </c>
      <c r="C5" s="97">
        <v>1273.8412302461863</v>
      </c>
      <c r="D5" s="97">
        <v>1374.0593003410261</v>
      </c>
      <c r="E5" s="97">
        <v>910.71262958188618</v>
      </c>
      <c r="F5" s="97">
        <v>1453.0264803174305</v>
      </c>
      <c r="G5" s="97">
        <v>4915.1881881275976</v>
      </c>
      <c r="H5" s="97">
        <v>4984.9053300355772</v>
      </c>
      <c r="I5" s="97">
        <v>45</v>
      </c>
      <c r="J5" s="97">
        <v>45</v>
      </c>
      <c r="K5" s="97">
        <v>6938.1885674075611</v>
      </c>
      <c r="L5" s="97">
        <v>7484.0429891907879</v>
      </c>
      <c r="M5" s="97">
        <v>4960.3481224560064</v>
      </c>
      <c r="N5" s="97">
        <v>7394.6939294154563</v>
      </c>
      <c r="O5" s="97">
        <v>79675.200529548369</v>
      </c>
      <c r="P5" s="97">
        <v>13068.561890314517</v>
      </c>
      <c r="Q5" s="97">
        <v>1342.973077894027</v>
      </c>
      <c r="R5" s="97">
        <v>120864.00910622673</v>
      </c>
      <c r="S5" s="97">
        <v>456194.93331920088</v>
      </c>
      <c r="T5" s="97">
        <v>453268.68239232351</v>
      </c>
      <c r="U5" s="45">
        <v>0</v>
      </c>
      <c r="V5">
        <v>0</v>
      </c>
      <c r="W5">
        <v>2.2833333333333332E-4</v>
      </c>
      <c r="X5" s="97">
        <v>4984.9053300355772</v>
      </c>
      <c r="Y5" s="97">
        <v>16.294662263997949</v>
      </c>
      <c r="Z5" s="97">
        <v>48.966041138394388</v>
      </c>
      <c r="AA5" s="97">
        <v>47.862592837453818</v>
      </c>
      <c r="AB5" s="97">
        <v>0</v>
      </c>
      <c r="AC5" s="97">
        <v>0</v>
      </c>
      <c r="AD5" s="97">
        <v>16.872580914555275</v>
      </c>
      <c r="AE5" s="97">
        <v>17.657525043908166</v>
      </c>
      <c r="AF5" s="97">
        <v>1.5886836333494698</v>
      </c>
      <c r="AG5" s="97">
        <v>6.8483140005157201</v>
      </c>
      <c r="AH5" s="97">
        <v>0</v>
      </c>
      <c r="AI5" s="97">
        <v>0</v>
      </c>
      <c r="AJ5" s="97">
        <v>0</v>
      </c>
      <c r="AK5" s="97">
        <v>0</v>
      </c>
      <c r="AL5" s="97">
        <v>0</v>
      </c>
      <c r="AM5" s="97">
        <v>0</v>
      </c>
    </row>
    <row r="6" spans="1:39" x14ac:dyDescent="0.25">
      <c r="A6" s="97">
        <v>4</v>
      </c>
      <c r="B6" s="97">
        <v>2.2833333333333332E-4</v>
      </c>
      <c r="C6" s="97">
        <v>1260.409934948955</v>
      </c>
      <c r="D6" s="97">
        <v>1376.7519342078733</v>
      </c>
      <c r="E6" s="97">
        <v>910.98861047040612</v>
      </c>
      <c r="F6" s="97">
        <v>1447.4916432147638</v>
      </c>
      <c r="G6" s="97">
        <v>4906.880338922716</v>
      </c>
      <c r="H6" s="97">
        <v>4999.7585232955307</v>
      </c>
      <c r="I6" s="97">
        <v>45</v>
      </c>
      <c r="J6" s="97">
        <v>45</v>
      </c>
      <c r="K6" s="97">
        <v>6865.0327790219744</v>
      </c>
      <c r="L6" s="97">
        <v>7498.7088683188831</v>
      </c>
      <c r="M6" s="97">
        <v>4961.8512983621449</v>
      </c>
      <c r="N6" s="97">
        <v>7366.526220927135</v>
      </c>
      <c r="O6" s="97">
        <v>79540.530293937234</v>
      </c>
      <c r="P6" s="97">
        <v>17213.806289605222</v>
      </c>
      <c r="Q6" s="97">
        <v>1763.4437645279938</v>
      </c>
      <c r="R6" s="97">
        <v>125209.89951470059</v>
      </c>
      <c r="S6" s="97">
        <v>581404.83283390151</v>
      </c>
      <c r="T6" s="97">
        <v>576413.30824176513</v>
      </c>
      <c r="U6" s="45">
        <v>0</v>
      </c>
      <c r="V6">
        <v>0</v>
      </c>
      <c r="W6">
        <v>2.2833333333333332E-4</v>
      </c>
      <c r="X6" s="97">
        <v>4999.7585232955307</v>
      </c>
      <c r="Y6" s="97">
        <v>16.267226783882172</v>
      </c>
      <c r="Z6" s="97">
        <v>65.233267922276553</v>
      </c>
      <c r="AA6" s="97">
        <v>63.04422847266693</v>
      </c>
      <c r="AB6" s="97">
        <v>0</v>
      </c>
      <c r="AC6" s="97">
        <v>0</v>
      </c>
      <c r="AD6" s="97">
        <v>22.155207796067515</v>
      </c>
      <c r="AE6" s="97">
        <v>23.709100321959003</v>
      </c>
      <c r="AF6" s="97">
        <v>3.1483810804964656</v>
      </c>
      <c r="AG6" s="97">
        <v>9.1297208860559884</v>
      </c>
      <c r="AH6" s="97">
        <v>0</v>
      </c>
      <c r="AI6" s="97">
        <v>0</v>
      </c>
      <c r="AJ6" s="97">
        <v>0</v>
      </c>
      <c r="AK6" s="97">
        <v>0</v>
      </c>
      <c r="AL6" s="97">
        <v>0</v>
      </c>
      <c r="AM6" s="97">
        <v>0</v>
      </c>
    </row>
    <row r="7" spans="1:39" x14ac:dyDescent="0.25">
      <c r="A7" s="97">
        <v>5</v>
      </c>
      <c r="B7" s="97">
        <v>2.2833333333333332E-4</v>
      </c>
      <c r="C7" s="97">
        <v>1247.1202583158695</v>
      </c>
      <c r="D7" s="97">
        <v>1379.285542504841</v>
      </c>
      <c r="E7" s="97">
        <v>911.28146288336757</v>
      </c>
      <c r="F7" s="97">
        <v>1442.0175727230514</v>
      </c>
      <c r="G7" s="97">
        <v>4898.5550589822878</v>
      </c>
      <c r="H7" s="97">
        <v>5014.5551380923507</v>
      </c>
      <c r="I7" s="97">
        <v>45</v>
      </c>
      <c r="J7" s="97">
        <v>45</v>
      </c>
      <c r="K7" s="97">
        <v>6792.6483402937683</v>
      </c>
      <c r="L7" s="97">
        <v>7512.5085881763671</v>
      </c>
      <c r="M7" s="97">
        <v>4963.4463678380753</v>
      </c>
      <c r="N7" s="97">
        <v>7338.6677638497285</v>
      </c>
      <c r="O7" s="97">
        <v>79405.577506102883</v>
      </c>
      <c r="P7" s="97">
        <v>21257.523227103382</v>
      </c>
      <c r="Q7" s="97">
        <v>2171.0461868765756</v>
      </c>
      <c r="R7" s="97">
        <v>129441.41798024077</v>
      </c>
      <c r="S7" s="97">
        <v>710846.25081414229</v>
      </c>
      <c r="T7" s="97">
        <v>703191.41370387352</v>
      </c>
      <c r="U7" s="45">
        <v>0</v>
      </c>
      <c r="V7">
        <v>0</v>
      </c>
      <c r="W7">
        <v>2.2833333333333332E-4</v>
      </c>
      <c r="X7" s="97">
        <v>5014.5551380923507</v>
      </c>
      <c r="Y7" s="97">
        <v>16.239731261446522</v>
      </c>
      <c r="Z7" s="97">
        <v>81.472999183723076</v>
      </c>
      <c r="AA7" s="97">
        <v>77.854027665096069</v>
      </c>
      <c r="AB7" s="97">
        <v>0</v>
      </c>
      <c r="AC7" s="97">
        <v>0</v>
      </c>
      <c r="AD7" s="97">
        <v>27.276162910692577</v>
      </c>
      <c r="AE7" s="97">
        <v>29.839753454690417</v>
      </c>
      <c r="AF7" s="97">
        <v>5.1996632953551449</v>
      </c>
      <c r="AG7" s="97">
        <v>11.410250719440292</v>
      </c>
      <c r="AH7" s="97">
        <v>0</v>
      </c>
      <c r="AI7" s="97">
        <v>0</v>
      </c>
      <c r="AJ7" s="97">
        <v>0</v>
      </c>
      <c r="AK7" s="97">
        <v>0</v>
      </c>
      <c r="AL7" s="97">
        <v>0</v>
      </c>
      <c r="AM7" s="97">
        <v>0</v>
      </c>
    </row>
    <row r="8" spans="1:39" x14ac:dyDescent="0.25">
      <c r="A8" s="97">
        <v>6</v>
      </c>
      <c r="B8" s="97">
        <v>2.2833333333333332E-4</v>
      </c>
      <c r="C8" s="97">
        <v>1233.9707071293667</v>
      </c>
      <c r="D8" s="97">
        <v>1381.6627952804843</v>
      </c>
      <c r="E8" s="97">
        <v>911.58983133728429</v>
      </c>
      <c r="F8" s="97">
        <v>1436.6038125707805</v>
      </c>
      <c r="G8" s="97">
        <v>4890.2130516135448</v>
      </c>
      <c r="H8" s="97">
        <v>5029.295795597247</v>
      </c>
      <c r="I8" s="97">
        <v>45</v>
      </c>
      <c r="J8" s="97">
        <v>45</v>
      </c>
      <c r="K8" s="97">
        <v>6721.0271181646167</v>
      </c>
      <c r="L8" s="97">
        <v>7525.4566916277035</v>
      </c>
      <c r="M8" s="97">
        <v>4965.1259480170747</v>
      </c>
      <c r="N8" s="97">
        <v>7311.1162361414636</v>
      </c>
      <c r="O8" s="97">
        <v>79270.353566655569</v>
      </c>
      <c r="P8" s="97">
        <v>25201.999737462316</v>
      </c>
      <c r="Q8" s="97">
        <v>2566.1919936066347</v>
      </c>
      <c r="R8" s="97">
        <v>133561.27129167537</v>
      </c>
      <c r="S8" s="97">
        <v>844407.52210581768</v>
      </c>
      <c r="T8" s="97">
        <v>833461.81141029741</v>
      </c>
      <c r="U8" s="45">
        <v>0</v>
      </c>
      <c r="V8">
        <v>0</v>
      </c>
      <c r="W8">
        <v>2.2833333333333332E-4</v>
      </c>
      <c r="X8" s="97">
        <v>5029.295795597247</v>
      </c>
      <c r="Y8" s="97">
        <v>16.212178050532366</v>
      </c>
      <c r="Z8" s="97">
        <v>97.685177234255434</v>
      </c>
      <c r="AA8" s="97">
        <v>92.30036650151618</v>
      </c>
      <c r="AB8" s="97">
        <v>0</v>
      </c>
      <c r="AC8" s="97">
        <v>0</v>
      </c>
      <c r="AD8" s="97">
        <v>32.240618048955774</v>
      </c>
      <c r="AE8" s="97">
        <v>36.047288228494686</v>
      </c>
      <c r="AF8" s="97">
        <v>7.729026062328856</v>
      </c>
      <c r="AG8" s="97">
        <v>13.689791455740247</v>
      </c>
      <c r="AH8" s="97">
        <v>0</v>
      </c>
      <c r="AI8" s="97">
        <v>0</v>
      </c>
      <c r="AJ8" s="97">
        <v>0</v>
      </c>
      <c r="AK8" s="97">
        <v>0</v>
      </c>
      <c r="AL8" s="97">
        <v>0</v>
      </c>
      <c r="AM8" s="97">
        <v>0</v>
      </c>
    </row>
    <row r="9" spans="1:39" x14ac:dyDescent="0.25">
      <c r="A9" s="97">
        <v>7</v>
      </c>
      <c r="B9" s="97">
        <v>2.2833333333333332E-4</v>
      </c>
      <c r="C9" s="97">
        <v>1220.9598039162679</v>
      </c>
      <c r="D9" s="97">
        <v>1383.8863268779369</v>
      </c>
      <c r="E9" s="97">
        <v>911.91239471352912</v>
      </c>
      <c r="F9" s="97">
        <v>1431.24989689171</v>
      </c>
      <c r="G9" s="97">
        <v>4881.8550121455182</v>
      </c>
      <c r="H9" s="97">
        <v>5043.9811123173095</v>
      </c>
      <c r="I9" s="97">
        <v>45</v>
      </c>
      <c r="J9" s="97">
        <v>45</v>
      </c>
      <c r="K9" s="97">
        <v>6650.1610653306052</v>
      </c>
      <c r="L9" s="97">
        <v>7537.5675270618294</v>
      </c>
      <c r="M9" s="97">
        <v>4966.8828432063547</v>
      </c>
      <c r="N9" s="97">
        <v>7283.8692669313941</v>
      </c>
      <c r="O9" s="97">
        <v>79134.86974687886</v>
      </c>
      <c r="P9" s="97">
        <v>29049.471617712428</v>
      </c>
      <c r="Q9" s="97">
        <v>2949.2780397700658</v>
      </c>
      <c r="R9" s="97">
        <v>137572.10010689154</v>
      </c>
      <c r="S9" s="97">
        <v>981979.62221270916</v>
      </c>
      <c r="T9" s="97">
        <v>967087.43994416238</v>
      </c>
      <c r="U9" s="45">
        <v>0</v>
      </c>
      <c r="V9">
        <v>0</v>
      </c>
      <c r="W9">
        <v>2.2833333333333332E-4</v>
      </c>
      <c r="X9" s="97">
        <v>5043.9811123173095</v>
      </c>
      <c r="Y9" s="97">
        <v>16.184569478793861</v>
      </c>
      <c r="Z9" s="97">
        <v>113.8697467130493</v>
      </c>
      <c r="AA9" s="97">
        <v>106.39143341488808</v>
      </c>
      <c r="AB9" s="97">
        <v>0</v>
      </c>
      <c r="AC9" s="97">
        <v>0</v>
      </c>
      <c r="AD9" s="97">
        <v>37.053559140273457</v>
      </c>
      <c r="AE9" s="97">
        <v>42.329558267037712</v>
      </c>
      <c r="AF9" s="97">
        <v>10.723338740803936</v>
      </c>
      <c r="AG9" s="97">
        <v>15.968234159073621</v>
      </c>
      <c r="AH9" s="97">
        <v>0</v>
      </c>
      <c r="AI9" s="97">
        <v>0</v>
      </c>
      <c r="AJ9" s="97">
        <v>0</v>
      </c>
      <c r="AK9" s="97">
        <v>0</v>
      </c>
      <c r="AL9" s="97">
        <v>0</v>
      </c>
      <c r="AM9" s="97">
        <v>0</v>
      </c>
    </row>
    <row r="10" spans="1:39" x14ac:dyDescent="0.25">
      <c r="A10" s="97">
        <v>8</v>
      </c>
      <c r="B10" s="97">
        <v>2.2833333333333332E-4</v>
      </c>
      <c r="C10" s="97">
        <v>1208.086086781771</v>
      </c>
      <c r="D10" s="97">
        <v>1385.9587363688138</v>
      </c>
      <c r="E10" s="97">
        <v>912.2478656230121</v>
      </c>
      <c r="F10" s="97">
        <v>1425.9553506892792</v>
      </c>
      <c r="G10" s="97">
        <v>4873.4816278685557</v>
      </c>
      <c r="H10" s="97">
        <v>5058.6116999974292</v>
      </c>
      <c r="I10" s="97">
        <v>45</v>
      </c>
      <c r="J10" s="97">
        <v>45</v>
      </c>
      <c r="K10" s="97">
        <v>6580.0422193380455</v>
      </c>
      <c r="L10" s="97">
        <v>7548.8552507554723</v>
      </c>
      <c r="M10" s="97">
        <v>4968.7100414266724</v>
      </c>
      <c r="N10" s="97">
        <v>7256.9244388828565</v>
      </c>
      <c r="O10" s="97">
        <v>78999.137187749293</v>
      </c>
      <c r="P10" s="97">
        <v>32802.124582193203</v>
      </c>
      <c r="Q10" s="97">
        <v>3320.6869728624724</v>
      </c>
      <c r="R10" s="97">
        <v>141476.48069320802</v>
      </c>
      <c r="S10" s="97">
        <v>1123456.1029059172</v>
      </c>
      <c r="T10" s="97">
        <v>1103935.2465860359</v>
      </c>
      <c r="U10" s="45">
        <v>0</v>
      </c>
      <c r="V10">
        <v>0</v>
      </c>
      <c r="W10">
        <v>2.2833333333333332E-4</v>
      </c>
      <c r="X10" s="97">
        <v>5058.6116999974292</v>
      </c>
      <c r="Y10" s="97">
        <v>16.156907847480653</v>
      </c>
      <c r="Z10" s="97">
        <v>130.02665456052995</v>
      </c>
      <c r="AA10" s="97">
        <v>120.13523341420728</v>
      </c>
      <c r="AB10" s="97">
        <v>0</v>
      </c>
      <c r="AC10" s="97">
        <v>0</v>
      </c>
      <c r="AD10" s="97">
        <v>41.719793615961713</v>
      </c>
      <c r="AE10" s="97">
        <v>48.684465923862241</v>
      </c>
      <c r="AF10" s="97">
        <v>14.169832721805429</v>
      </c>
      <c r="AG10" s="97">
        <v>18.245472916594814</v>
      </c>
      <c r="AH10" s="97">
        <v>0</v>
      </c>
      <c r="AI10" s="97">
        <v>0</v>
      </c>
      <c r="AJ10" s="97">
        <v>0</v>
      </c>
      <c r="AK10" s="97">
        <v>0</v>
      </c>
      <c r="AL10" s="97">
        <v>0</v>
      </c>
      <c r="AM10" s="97">
        <v>0</v>
      </c>
    </row>
    <row r="11" spans="1:39" x14ac:dyDescent="0.25">
      <c r="A11" s="97">
        <v>9</v>
      </c>
      <c r="B11" s="97">
        <v>2.2833333333333332E-4</v>
      </c>
      <c r="C11" s="97">
        <v>1195.3481092451932</v>
      </c>
      <c r="D11" s="97">
        <v>1387.8825879821018</v>
      </c>
      <c r="E11" s="97">
        <v>912.59498978093541</v>
      </c>
      <c r="F11" s="97">
        <v>1420.7196902894311</v>
      </c>
      <c r="G11" s="97">
        <v>4865.093577978867</v>
      </c>
      <c r="H11" s="97">
        <v>5073.1881655269663</v>
      </c>
      <c r="I11" s="97">
        <v>45</v>
      </c>
      <c r="J11" s="97">
        <v>45</v>
      </c>
      <c r="K11" s="97">
        <v>6510.6627016888187</v>
      </c>
      <c r="L11" s="97">
        <v>7559.3338292091803</v>
      </c>
      <c r="M11" s="97">
        <v>4970.6007110068276</v>
      </c>
      <c r="N11" s="97">
        <v>7230.2792904979633</v>
      </c>
      <c r="O11" s="97">
        <v>78863.166899037431</v>
      </c>
      <c r="P11" s="97">
        <v>36462.095391235111</v>
      </c>
      <c r="Q11" s="97">
        <v>3680.7877941372476</v>
      </c>
      <c r="R11" s="97">
        <v>145276.92661681259</v>
      </c>
      <c r="S11" s="97">
        <v>1268733.0295227298</v>
      </c>
      <c r="T11" s="97">
        <v>1243876.0735048829</v>
      </c>
      <c r="U11" s="45">
        <v>0</v>
      </c>
      <c r="V11">
        <v>0</v>
      </c>
      <c r="W11">
        <v>2.2833333333333332E-4</v>
      </c>
      <c r="X11" s="97">
        <v>5073.1881655269663</v>
      </c>
      <c r="Y11" s="97">
        <v>16.12919543123768</v>
      </c>
      <c r="Z11" s="97">
        <v>146.15584999176764</v>
      </c>
      <c r="AA11" s="97">
        <v>133.53959221821361</v>
      </c>
      <c r="AB11" s="97">
        <v>0</v>
      </c>
      <c r="AC11" s="97">
        <v>0</v>
      </c>
      <c r="AD11" s="97">
        <v>46.243957461363749</v>
      </c>
      <c r="AE11" s="97">
        <v>55.10996119967043</v>
      </c>
      <c r="AF11" s="97">
        <v>18.056090288755009</v>
      </c>
      <c r="AG11" s="97">
        <v>20.521404755140711</v>
      </c>
      <c r="AH11" s="97">
        <v>0</v>
      </c>
      <c r="AI11" s="97">
        <v>0</v>
      </c>
      <c r="AJ11" s="97">
        <v>0</v>
      </c>
      <c r="AK11" s="97">
        <v>0</v>
      </c>
      <c r="AL11" s="97">
        <v>0</v>
      </c>
      <c r="AM11" s="97">
        <v>0</v>
      </c>
    </row>
    <row r="12" spans="1:39" x14ac:dyDescent="0.25">
      <c r="A12" s="97">
        <v>10</v>
      </c>
      <c r="B12" s="97">
        <v>2.2833333333333332E-4</v>
      </c>
      <c r="C12" s="97">
        <v>1182.7444400774457</v>
      </c>
      <c r="D12" s="97">
        <v>1389.6604115280948</v>
      </c>
      <c r="E12" s="97">
        <v>912.9525453914797</v>
      </c>
      <c r="F12" s="97">
        <v>1415.5424237820789</v>
      </c>
      <c r="G12" s="97">
        <v>4856.6915335279591</v>
      </c>
      <c r="H12" s="97">
        <v>5087.7111108510453</v>
      </c>
      <c r="I12" s="97">
        <v>45</v>
      </c>
      <c r="J12" s="97">
        <v>45</v>
      </c>
      <c r="K12" s="97">
        <v>6442.0147169551537</v>
      </c>
      <c r="L12" s="97">
        <v>7569.0170414563554</v>
      </c>
      <c r="M12" s="97">
        <v>4972.5481972322596</v>
      </c>
      <c r="N12" s="97">
        <v>7203.9313183642962</v>
      </c>
      <c r="O12" s="97">
        <v>78726.969758488223</v>
      </c>
      <c r="P12" s="97">
        <v>40031.472954191209</v>
      </c>
      <c r="Q12" s="97">
        <v>4029.9363962584575</v>
      </c>
      <c r="R12" s="97">
        <v>148975.89038294595</v>
      </c>
      <c r="S12" s="97">
        <v>1417708.9199056758</v>
      </c>
      <c r="T12" s="97">
        <v>1386784.5472859829</v>
      </c>
      <c r="U12" s="45">
        <v>0</v>
      </c>
      <c r="V12">
        <v>0</v>
      </c>
      <c r="W12">
        <v>2.2833333333333332E-4</v>
      </c>
      <c r="X12" s="97">
        <v>5087.7111108510453</v>
      </c>
      <c r="Y12" s="97">
        <v>16.101434477921654</v>
      </c>
      <c r="Z12" s="97">
        <v>162.2572844696893</v>
      </c>
      <c r="AA12" s="97">
        <v>146.61216029515904</v>
      </c>
      <c r="AB12" s="97">
        <v>0</v>
      </c>
      <c r="AC12" s="97">
        <v>0</v>
      </c>
      <c r="AD12" s="97">
        <v>50.630521970707427</v>
      </c>
      <c r="AE12" s="97">
        <v>61.604040683729046</v>
      </c>
      <c r="AF12" s="97">
        <v>22.370033866637915</v>
      </c>
      <c r="AG12" s="97">
        <v>22.795929560439021</v>
      </c>
      <c r="AH12" s="97">
        <v>0</v>
      </c>
      <c r="AI12" s="97">
        <v>0</v>
      </c>
      <c r="AJ12" s="97">
        <v>0</v>
      </c>
      <c r="AK12" s="97">
        <v>0</v>
      </c>
      <c r="AL12" s="97">
        <v>0</v>
      </c>
      <c r="AM12" s="97">
        <v>0</v>
      </c>
    </row>
    <row r="13" spans="1:39" x14ac:dyDescent="0.25">
      <c r="A13" s="97">
        <v>11</v>
      </c>
      <c r="B13" s="97">
        <v>2.2833333333333332E-4</v>
      </c>
      <c r="C13" s="97">
        <v>1170.273663140222</v>
      </c>
      <c r="D13" s="97">
        <v>1391.2947028174297</v>
      </c>
      <c r="E13" s="97">
        <v>913.31934254227792</v>
      </c>
      <c r="F13" s="97">
        <v>1410.4230514514375</v>
      </c>
      <c r="G13" s="97">
        <v>4848.2761573768275</v>
      </c>
      <c r="H13" s="97">
        <v>5102.181132886366</v>
      </c>
      <c r="I13" s="97">
        <v>45</v>
      </c>
      <c r="J13" s="97">
        <v>45</v>
      </c>
      <c r="K13" s="97">
        <v>6374.0905519037424</v>
      </c>
      <c r="L13" s="97">
        <v>7577.9184813455995</v>
      </c>
      <c r="M13" s="97">
        <v>4974.5460190469403</v>
      </c>
      <c r="N13" s="97">
        <v>7177.8779793449403</v>
      </c>
      <c r="O13" s="97">
        <v>78590.556511078379</v>
      </c>
      <c r="P13" s="97">
        <v>43512.299407404884</v>
      </c>
      <c r="Q13" s="97">
        <v>4368.4760783275642</v>
      </c>
      <c r="R13" s="97">
        <v>152575.76502845204</v>
      </c>
      <c r="S13" s="97">
        <v>1570284.6849341278</v>
      </c>
      <c r="T13" s="97">
        <v>1532538.9716914755</v>
      </c>
      <c r="U13" s="45">
        <v>0</v>
      </c>
      <c r="V13">
        <v>0</v>
      </c>
      <c r="W13">
        <v>2.2833333333333332E-4</v>
      </c>
      <c r="X13" s="97">
        <v>5102.181132886366</v>
      </c>
      <c r="Y13" s="97">
        <v>16.07362720843372</v>
      </c>
      <c r="Z13" s="97">
        <v>178.33091167812302</v>
      </c>
      <c r="AA13" s="97">
        <v>159.36041681078052</v>
      </c>
      <c r="AB13" s="97">
        <v>0</v>
      </c>
      <c r="AC13" s="97">
        <v>0</v>
      </c>
      <c r="AD13" s="97">
        <v>54.883800217696646</v>
      </c>
      <c r="AE13" s="97">
        <v>68.16474651885342</v>
      </c>
      <c r="AF13" s="97">
        <v>27.099915644539504</v>
      </c>
      <c r="AG13" s="97">
        <v>25.068949998789837</v>
      </c>
      <c r="AH13" s="97">
        <v>0</v>
      </c>
      <c r="AI13" s="97">
        <v>0</v>
      </c>
      <c r="AJ13" s="97">
        <v>0</v>
      </c>
      <c r="AK13" s="97">
        <v>0</v>
      </c>
      <c r="AL13" s="97">
        <v>0</v>
      </c>
      <c r="AM13" s="97">
        <v>0</v>
      </c>
    </row>
    <row r="14" spans="1:39" x14ac:dyDescent="0.25">
      <c r="A14" s="97">
        <v>12</v>
      </c>
      <c r="B14" s="97">
        <v>2.2833333333333332E-4</v>
      </c>
      <c r="C14" s="97">
        <v>1157.9343772268817</v>
      </c>
      <c r="D14" s="97">
        <v>1392.7879240752766</v>
      </c>
      <c r="E14" s="97">
        <v>913.69422260853366</v>
      </c>
      <c r="F14" s="97">
        <v>1405.3610661954428</v>
      </c>
      <c r="G14" s="97">
        <v>4839.8481041547593</v>
      </c>
      <c r="H14" s="97">
        <v>5116.5988234414099</v>
      </c>
      <c r="I14" s="97">
        <v>46</v>
      </c>
      <c r="J14" s="97">
        <v>45</v>
      </c>
      <c r="K14" s="97">
        <v>6306.8825746290822</v>
      </c>
      <c r="L14" s="97">
        <v>7586.0515597966723</v>
      </c>
      <c r="M14" s="97">
        <v>4976.5878658078127</v>
      </c>
      <c r="N14" s="97">
        <v>7152.1166927129743</v>
      </c>
      <c r="O14" s="97">
        <v>78453.937768348653</v>
      </c>
      <c r="P14" s="97">
        <v>46906.57116768619</v>
      </c>
      <c r="Q14" s="97">
        <v>4696.738039272841</v>
      </c>
      <c r="R14" s="97">
        <v>156078.88566825422</v>
      </c>
      <c r="S14" s="97">
        <v>1726363.5706023821</v>
      </c>
      <c r="T14" s="97">
        <v>1681021.2235527532</v>
      </c>
      <c r="U14" s="45">
        <v>0</v>
      </c>
      <c r="V14">
        <v>0</v>
      </c>
      <c r="W14">
        <v>2.2833333333333332E-4</v>
      </c>
      <c r="X14" s="97">
        <v>5116.5988234414099</v>
      </c>
      <c r="Y14" s="97">
        <v>16.045775816567829</v>
      </c>
      <c r="Z14" s="97">
        <v>194.37668749469086</v>
      </c>
      <c r="AA14" s="97">
        <v>171.79167348657546</v>
      </c>
      <c r="AB14" s="97">
        <v>0</v>
      </c>
      <c r="AC14" s="97">
        <v>0</v>
      </c>
      <c r="AD14" s="97">
        <v>59.007953254260208</v>
      </c>
      <c r="AE14" s="97">
        <v>74.790165389438613</v>
      </c>
      <c r="AF14" s="97">
        <v>32.234307557137228</v>
      </c>
      <c r="AG14" s="97">
        <v>27.340371441134611</v>
      </c>
      <c r="AH14" s="97">
        <v>9892.8521125838924</v>
      </c>
      <c r="AI14" s="97">
        <v>47.573208417837385</v>
      </c>
      <c r="AJ14" s="97">
        <v>9892.8521125838924</v>
      </c>
      <c r="AK14" s="97">
        <v>9940.4253210017305</v>
      </c>
      <c r="AL14" s="97">
        <v>47.573208417837385</v>
      </c>
      <c r="AM14" s="97">
        <v>9940.4253210017305</v>
      </c>
    </row>
    <row r="15" spans="1:39" x14ac:dyDescent="0.25">
      <c r="A15" s="97">
        <v>13</v>
      </c>
      <c r="B15" s="97">
        <v>2.5083333333333332E-4</v>
      </c>
      <c r="C15" s="97">
        <v>1145.6991423815239</v>
      </c>
      <c r="D15" s="97">
        <v>1394.1111666224463</v>
      </c>
      <c r="E15" s="97">
        <v>914.05549954663582</v>
      </c>
      <c r="F15" s="97">
        <v>1400.3243333104838</v>
      </c>
      <c r="G15" s="97">
        <v>4831.2991236402713</v>
      </c>
      <c r="H15" s="97">
        <v>5130.9647691409364</v>
      </c>
      <c r="I15" s="97">
        <v>46</v>
      </c>
      <c r="J15" s="97">
        <v>45</v>
      </c>
      <c r="K15" s="97">
        <v>6240.241328838033</v>
      </c>
      <c r="L15" s="97">
        <v>7593.2588208702564</v>
      </c>
      <c r="M15" s="97">
        <v>4978.5556208640091</v>
      </c>
      <c r="N15" s="97">
        <v>7126.4839196059365</v>
      </c>
      <c r="O15" s="97">
        <v>78315.358794208805</v>
      </c>
      <c r="P15" s="97">
        <v>50215.184564005511</v>
      </c>
      <c r="Q15" s="97">
        <v>5014.9361739403475</v>
      </c>
      <c r="R15" s="97">
        <v>159484.01922233289</v>
      </c>
      <c r="S15" s="97">
        <v>1885847.5898247149</v>
      </c>
      <c r="T15" s="97">
        <v>1832113.324709127</v>
      </c>
      <c r="U15" s="45">
        <v>0</v>
      </c>
      <c r="V15">
        <v>0</v>
      </c>
      <c r="W15">
        <v>2.5083333333333332E-4</v>
      </c>
      <c r="X15" s="97">
        <v>5130.9647691409364</v>
      </c>
      <c r="Y15" s="97">
        <v>16.017882468874415</v>
      </c>
      <c r="Z15" s="97">
        <v>210.39456996356526</v>
      </c>
      <c r="AA15" s="97">
        <v>171.69200259481298</v>
      </c>
      <c r="AB15" s="97">
        <v>12.217210462963589</v>
      </c>
      <c r="AC15" s="97">
        <v>12.217210462963589</v>
      </c>
      <c r="AD15" s="97">
        <v>63.005668370379396</v>
      </c>
      <c r="AE15" s="97">
        <v>81.478427532018259</v>
      </c>
      <c r="AF15" s="97">
        <v>37.762091611332103</v>
      </c>
      <c r="AG15" s="97">
        <v>29.833761459152544</v>
      </c>
      <c r="AH15" s="97">
        <v>9892.8521125838924</v>
      </c>
      <c r="AI15" s="97">
        <v>47.573208417837385</v>
      </c>
      <c r="AJ15" s="97">
        <v>9892.8521125838924</v>
      </c>
      <c r="AK15" s="97">
        <v>9940.4253210017305</v>
      </c>
      <c r="AL15" s="97">
        <v>47.573208417837385</v>
      </c>
      <c r="AM15" s="97">
        <v>9940.4253210017305</v>
      </c>
    </row>
    <row r="16" spans="1:39" x14ac:dyDescent="0.25">
      <c r="A16" s="97">
        <v>14</v>
      </c>
      <c r="B16" s="97">
        <v>2.5083333333333332E-4</v>
      </c>
      <c r="C16" s="97">
        <v>1133.5931903130361</v>
      </c>
      <c r="D16" s="97">
        <v>1395.2981042139149</v>
      </c>
      <c r="E16" s="97">
        <v>914.42261695715524</v>
      </c>
      <c r="F16" s="97">
        <v>1395.3441787031231</v>
      </c>
      <c r="G16" s="97">
        <v>4822.7391327297291</v>
      </c>
      <c r="H16" s="97">
        <v>5145.2792281208795</v>
      </c>
      <c r="I16" s="97">
        <v>46</v>
      </c>
      <c r="J16" s="97">
        <v>45</v>
      </c>
      <c r="K16" s="97">
        <v>6174.3042432383363</v>
      </c>
      <c r="L16" s="97">
        <v>7599.7236742851228</v>
      </c>
      <c r="M16" s="97">
        <v>4980.5551870266381</v>
      </c>
      <c r="N16" s="97">
        <v>7101.1390827833102</v>
      </c>
      <c r="O16" s="97">
        <v>78176.601341548914</v>
      </c>
      <c r="P16" s="97">
        <v>53463.477394013215</v>
      </c>
      <c r="Q16" s="97">
        <v>5323.4702345247406</v>
      </c>
      <c r="R16" s="97">
        <v>162819.27115742027</v>
      </c>
      <c r="S16" s="97">
        <v>2048666.8609821352</v>
      </c>
      <c r="T16" s="97">
        <v>1985725.1303935181</v>
      </c>
      <c r="U16" s="45">
        <v>0</v>
      </c>
      <c r="V16">
        <v>0</v>
      </c>
      <c r="W16">
        <v>2.5083333333333332E-4</v>
      </c>
      <c r="X16" s="97">
        <v>5145.2792281208795</v>
      </c>
      <c r="Y16" s="97">
        <v>15.9895889021833</v>
      </c>
      <c r="Z16" s="97">
        <v>226.38415886574856</v>
      </c>
      <c r="AA16" s="97">
        <v>171.58670740367964</v>
      </c>
      <c r="AB16" s="97">
        <v>12.196804114717894</v>
      </c>
      <c r="AC16" s="97">
        <v>24.219125836513779</v>
      </c>
      <c r="AD16" s="97">
        <v>66.88196789402275</v>
      </c>
      <c r="AE16" s="97">
        <v>88.227555281945484</v>
      </c>
      <c r="AF16" s="97">
        <v>43.589836449486441</v>
      </c>
      <c r="AG16" s="97">
        <v>32.3251394993407</v>
      </c>
      <c r="AH16" s="97">
        <v>9892.8521125838924</v>
      </c>
      <c r="AI16" s="97">
        <v>47.573208417837385</v>
      </c>
      <c r="AJ16" s="97">
        <v>9892.8521125838924</v>
      </c>
      <c r="AK16" s="97">
        <v>9940.4253210017305</v>
      </c>
      <c r="AL16" s="97">
        <v>47.573208417837385</v>
      </c>
      <c r="AM16" s="97">
        <v>9940.4253210017305</v>
      </c>
    </row>
    <row r="17" spans="1:39" x14ac:dyDescent="0.25">
      <c r="A17" s="97">
        <v>15</v>
      </c>
      <c r="B17" s="97">
        <v>2.5083333333333332E-4</v>
      </c>
      <c r="C17" s="97">
        <v>1121.6151549637489</v>
      </c>
      <c r="D17" s="97">
        <v>1396.3511099545135</v>
      </c>
      <c r="E17" s="97">
        <v>914.79450620228795</v>
      </c>
      <c r="F17" s="97">
        <v>1390.4200717116585</v>
      </c>
      <c r="G17" s="97">
        <v>4814.1687619104041</v>
      </c>
      <c r="H17" s="97">
        <v>5159.5427787382778</v>
      </c>
      <c r="I17" s="97">
        <v>46</v>
      </c>
      <c r="J17" s="97">
        <v>45</v>
      </c>
      <c r="K17" s="97">
        <v>6109.0638773692181</v>
      </c>
      <c r="L17" s="97">
        <v>7605.4590455522493</v>
      </c>
      <c r="M17" s="97">
        <v>4982.5807437817948</v>
      </c>
      <c r="N17" s="97">
        <v>7076.0794816192483</v>
      </c>
      <c r="O17" s="97">
        <v>78037.675630567654</v>
      </c>
      <c r="P17" s="97">
        <v>56652.41230952592</v>
      </c>
      <c r="Q17" s="97">
        <v>5622.6769477904727</v>
      </c>
      <c r="R17" s="97">
        <v>166085.94803620657</v>
      </c>
      <c r="S17" s="97">
        <v>2214752.8090183418</v>
      </c>
      <c r="T17" s="97">
        <v>2141768.7001226251</v>
      </c>
      <c r="U17" s="45">
        <v>0</v>
      </c>
      <c r="V17">
        <v>0</v>
      </c>
      <c r="W17">
        <v>2.5083333333333332E-4</v>
      </c>
      <c r="X17" s="97">
        <v>5159.5427787382778</v>
      </c>
      <c r="Y17" s="97">
        <v>15.961258895664709</v>
      </c>
      <c r="Z17" s="97">
        <v>242.34541776141327</v>
      </c>
      <c r="AA17" s="97">
        <v>171.47592761001854</v>
      </c>
      <c r="AB17" s="97">
        <v>12.176349323395108</v>
      </c>
      <c r="AC17" s="97">
        <v>36.009132061312926</v>
      </c>
      <c r="AD17" s="97">
        <v>70.641082326659628</v>
      </c>
      <c r="AE17" s="97">
        <v>95.036243033380615</v>
      </c>
      <c r="AF17" s="97">
        <v>49.709822433190524</v>
      </c>
      <c r="AG17" s="97">
        <v>34.814430826206866</v>
      </c>
      <c r="AH17" s="97">
        <v>9892.8521125838924</v>
      </c>
      <c r="AI17" s="97">
        <v>47.573208417837385</v>
      </c>
      <c r="AJ17" s="97">
        <v>9892.8521125838924</v>
      </c>
      <c r="AK17" s="97">
        <v>9940.4253210017305</v>
      </c>
      <c r="AL17" s="97">
        <v>47.573208417837385</v>
      </c>
      <c r="AM17" s="97">
        <v>9940.4253210017305</v>
      </c>
    </row>
    <row r="18" spans="1:39" x14ac:dyDescent="0.25">
      <c r="A18" s="97">
        <v>16</v>
      </c>
      <c r="B18" s="97">
        <v>2.5083333333333332E-4</v>
      </c>
      <c r="C18" s="97">
        <v>1109.7636847103486</v>
      </c>
      <c r="D18" s="97">
        <v>1397.2725247598294</v>
      </c>
      <c r="E18" s="97">
        <v>915.17012773811109</v>
      </c>
      <c r="F18" s="97">
        <v>1385.5514759085052</v>
      </c>
      <c r="G18" s="97">
        <v>4805.5886332598857</v>
      </c>
      <c r="H18" s="97">
        <v>5173.7559939256153</v>
      </c>
      <c r="I18" s="97">
        <v>46</v>
      </c>
      <c r="J18" s="97">
        <v>45</v>
      </c>
      <c r="K18" s="97">
        <v>6044.5128693890319</v>
      </c>
      <c r="L18" s="97">
        <v>7610.477684858537</v>
      </c>
      <c r="M18" s="97">
        <v>4984.626629080245</v>
      </c>
      <c r="N18" s="97">
        <v>7051.3023861443671</v>
      </c>
      <c r="O18" s="97">
        <v>77898.591745142752</v>
      </c>
      <c r="P18" s="97">
        <v>59782.936918359432</v>
      </c>
      <c r="Q18" s="97">
        <v>5912.879387943507</v>
      </c>
      <c r="R18" s="97">
        <v>169285.32762091787</v>
      </c>
      <c r="S18" s="97">
        <v>2384038.1366392598</v>
      </c>
      <c r="T18" s="97">
        <v>2300158.2426870288</v>
      </c>
      <c r="U18" s="45">
        <v>0</v>
      </c>
      <c r="V18">
        <v>0</v>
      </c>
      <c r="W18">
        <v>2.5083333333333332E-4</v>
      </c>
      <c r="X18" s="97">
        <v>5173.7559939256153</v>
      </c>
      <c r="Y18" s="97">
        <v>15.932894535969046</v>
      </c>
      <c r="Z18" s="97">
        <v>258.27831229738234</v>
      </c>
      <c r="AA18" s="97">
        <v>171.3598000281298</v>
      </c>
      <c r="AB18" s="97">
        <v>12.155847886523793</v>
      </c>
      <c r="AC18" s="97">
        <v>47.590562863081963</v>
      </c>
      <c r="AD18" s="97">
        <v>74.287070644431267</v>
      </c>
      <c r="AE18" s="97">
        <v>101.9032065505627</v>
      </c>
      <c r="AF18" s="97">
        <v>56.114557428330286</v>
      </c>
      <c r="AG18" s="97">
        <v>37.301562659347631</v>
      </c>
      <c r="AH18" s="97">
        <v>9892.8521125838924</v>
      </c>
      <c r="AI18" s="97">
        <v>47.573208417837385</v>
      </c>
      <c r="AJ18" s="97">
        <v>9892.8521125838924</v>
      </c>
      <c r="AK18" s="97">
        <v>9940.4253210017305</v>
      </c>
      <c r="AL18" s="97">
        <v>47.573208417837385</v>
      </c>
      <c r="AM18" s="97">
        <v>9940.4253210017305</v>
      </c>
    </row>
    <row r="19" spans="1:39" x14ac:dyDescent="0.25">
      <c r="A19" s="97">
        <v>17</v>
      </c>
      <c r="B19" s="97">
        <v>2.5083333333333332E-4</v>
      </c>
      <c r="C19" s="97">
        <v>1098.0374422113573</v>
      </c>
      <c r="D19" s="97">
        <v>1398.0646577505834</v>
      </c>
      <c r="E19" s="97">
        <v>915.5484705615952</v>
      </c>
      <c r="F19" s="97">
        <v>1380.7378494688689</v>
      </c>
      <c r="G19" s="97">
        <v>4796.9993604269575</v>
      </c>
      <c r="H19" s="97">
        <v>5187.9194411318813</v>
      </c>
      <c r="I19" s="97">
        <v>46</v>
      </c>
      <c r="J19" s="97">
        <v>45</v>
      </c>
      <c r="K19" s="97">
        <v>5980.6439352445259</v>
      </c>
      <c r="L19" s="97">
        <v>7614.7921692148439</v>
      </c>
      <c r="M19" s="97">
        <v>4986.6873363254881</v>
      </c>
      <c r="N19" s="97">
        <v>7026.8050389219852</v>
      </c>
      <c r="O19" s="97">
        <v>77759.35963252098</v>
      </c>
      <c r="P19" s="97">
        <v>62855.984022025143</v>
      </c>
      <c r="Q19" s="97">
        <v>6194.3875726910865</v>
      </c>
      <c r="R19" s="97">
        <v>172418.65970694405</v>
      </c>
      <c r="S19" s="97">
        <v>2556456.7963462039</v>
      </c>
      <c r="T19" s="97">
        <v>2460810.0627401518</v>
      </c>
      <c r="U19" s="45">
        <v>0</v>
      </c>
      <c r="V19">
        <v>0</v>
      </c>
      <c r="W19">
        <v>2.5083333333333332E-4</v>
      </c>
      <c r="X19" s="97">
        <v>5187.9194411318813</v>
      </c>
      <c r="Y19" s="97">
        <v>15.904497881914171</v>
      </c>
      <c r="Z19" s="97">
        <v>274.1828101792965</v>
      </c>
      <c r="AA19" s="97">
        <v>171.23845864658711</v>
      </c>
      <c r="AB19" s="97">
        <v>12.135301582428529</v>
      </c>
      <c r="AC19" s="97">
        <v>58.966700566328321</v>
      </c>
      <c r="AD19" s="97">
        <v>77.823827786809304</v>
      </c>
      <c r="AE19" s="97">
        <v>108.82718263553984</v>
      </c>
      <c r="AF19" s="97">
        <v>62.796768465021664</v>
      </c>
      <c r="AG19" s="97">
        <v>39.786464115892308</v>
      </c>
      <c r="AH19" s="97">
        <v>9892.8521125838924</v>
      </c>
      <c r="AI19" s="97">
        <v>47.573208417837385</v>
      </c>
      <c r="AJ19" s="97">
        <v>9892.8521125838924</v>
      </c>
      <c r="AK19" s="97">
        <v>9940.4253210017305</v>
      </c>
      <c r="AL19" s="97">
        <v>47.573208417837385</v>
      </c>
      <c r="AM19" s="97">
        <v>9940.4253210017305</v>
      </c>
    </row>
    <row r="20" spans="1:39" x14ac:dyDescent="0.25">
      <c r="A20" s="97">
        <v>18</v>
      </c>
      <c r="B20" s="97">
        <v>2.5083333333333332E-4</v>
      </c>
      <c r="C20" s="97">
        <v>1086.435104256225</v>
      </c>
      <c r="D20" s="97">
        <v>1398.7297866424267</v>
      </c>
      <c r="E20" s="97">
        <v>915.92855166652294</v>
      </c>
      <c r="F20" s="97">
        <v>1375.9786455296976</v>
      </c>
      <c r="G20" s="97">
        <v>4788.4015486163307</v>
      </c>
      <c r="H20" s="97">
        <v>5202.0336822673989</v>
      </c>
      <c r="I20" s="97">
        <v>46</v>
      </c>
      <c r="J20" s="97">
        <v>45</v>
      </c>
      <c r="K20" s="97">
        <v>5917.4498678489053</v>
      </c>
      <c r="L20" s="97">
        <v>7618.4149045790837</v>
      </c>
      <c r="M20" s="97">
        <v>4988.7575114103283</v>
      </c>
      <c r="N20" s="97">
        <v>7002.5846568748857</v>
      </c>
      <c r="O20" s="97">
        <v>77619.989103070722</v>
      </c>
      <c r="P20" s="97">
        <v>65872.471849512571</v>
      </c>
      <c r="Q20" s="97">
        <v>6467.4990325270246</v>
      </c>
      <c r="R20" s="97">
        <v>175487.16692582352</v>
      </c>
      <c r="S20" s="97">
        <v>2731943.9632720272</v>
      </c>
      <c r="T20" s="97">
        <v>2623642.5089292652</v>
      </c>
      <c r="U20" s="45">
        <v>0</v>
      </c>
      <c r="V20">
        <v>0</v>
      </c>
      <c r="W20">
        <v>2.5083333333333332E-4</v>
      </c>
      <c r="X20" s="97">
        <v>5202.0336822673989</v>
      </c>
      <c r="Y20" s="97">
        <v>15.876070964422105</v>
      </c>
      <c r="Z20" s="97">
        <v>290.05888114371862</v>
      </c>
      <c r="AA20" s="97">
        <v>171.11203468389004</v>
      </c>
      <c r="AB20" s="97">
        <v>12.114712170040816</v>
      </c>
      <c r="AC20" s="97">
        <v>70.14077689490415</v>
      </c>
      <c r="AD20" s="97">
        <v>81.255091808870219</v>
      </c>
      <c r="AE20" s="97">
        <v>115.80692880097105</v>
      </c>
      <c r="AF20" s="97">
        <v>69.749393746080287</v>
      </c>
      <c r="AG20" s="97">
        <v>42.269066155053267</v>
      </c>
      <c r="AH20" s="97">
        <v>9892.8521125838924</v>
      </c>
      <c r="AI20" s="97">
        <v>47.573208417837385</v>
      </c>
      <c r="AJ20" s="97">
        <v>9892.8521125838924</v>
      </c>
      <c r="AK20" s="97">
        <v>9940.4253210017305</v>
      </c>
      <c r="AL20" s="97">
        <v>47.573208417837385</v>
      </c>
      <c r="AM20" s="97">
        <v>9940.4253210017305</v>
      </c>
    </row>
    <row r="21" spans="1:39" x14ac:dyDescent="0.25">
      <c r="A21" s="97">
        <v>19</v>
      </c>
      <c r="B21" s="97">
        <v>2.5083333333333332E-4</v>
      </c>
      <c r="C21" s="97">
        <v>1074.9553616160156</v>
      </c>
      <c r="D21" s="97">
        <v>1399.2701581312081</v>
      </c>
      <c r="E21" s="97">
        <v>916.30941550818523</v>
      </c>
      <c r="F21" s="97">
        <v>1371.2733125391078</v>
      </c>
      <c r="G21" s="97">
        <v>4779.795794577125</v>
      </c>
      <c r="H21" s="97">
        <v>5216.099273652324</v>
      </c>
      <c r="I21" s="97">
        <v>46</v>
      </c>
      <c r="J21" s="97">
        <v>45</v>
      </c>
      <c r="K21" s="97">
        <v>5854.9235362685649</v>
      </c>
      <c r="L21" s="97">
        <v>7621.3581279546461</v>
      </c>
      <c r="M21" s="97">
        <v>4990.8319498012488</v>
      </c>
      <c r="N21" s="97">
        <v>6978.6384330636092</v>
      </c>
      <c r="O21" s="97">
        <v>77480.489830095205</v>
      </c>
      <c r="P21" s="97">
        <v>68833.304287226245</v>
      </c>
      <c r="Q21" s="97">
        <v>6732.4993544570025</v>
      </c>
      <c r="R21" s="97">
        <v>178492.04551886651</v>
      </c>
      <c r="S21" s="97">
        <v>2910436.0087908935</v>
      </c>
      <c r="T21" s="97">
        <v>2788575.9235141207</v>
      </c>
      <c r="U21" s="45">
        <v>0</v>
      </c>
      <c r="V21">
        <v>0</v>
      </c>
      <c r="W21">
        <v>2.5083333333333332E-4</v>
      </c>
      <c r="X21" s="97">
        <v>5216.099273652324</v>
      </c>
      <c r="Y21" s="97">
        <v>15.847615786468504</v>
      </c>
      <c r="Z21" s="97">
        <v>305.90649693018713</v>
      </c>
      <c r="AA21" s="97">
        <v>170.98065664297778</v>
      </c>
      <c r="AB21" s="97">
        <v>12.094081388723501</v>
      </c>
      <c r="AC21" s="97">
        <v>81.115973759618512</v>
      </c>
      <c r="AD21" s="97">
        <v>84.58445071244428</v>
      </c>
      <c r="AE21" s="97">
        <v>122.84122294792002</v>
      </c>
      <c r="AF21" s="97">
        <v>76.96557498862397</v>
      </c>
      <c r="AG21" s="97">
        <v>44.749301524694729</v>
      </c>
      <c r="AH21" s="97">
        <v>9892.8521125838924</v>
      </c>
      <c r="AI21" s="97">
        <v>47.573208417837385</v>
      </c>
      <c r="AJ21" s="97">
        <v>9892.8521125838924</v>
      </c>
      <c r="AK21" s="97">
        <v>9940.4253210017305</v>
      </c>
      <c r="AL21" s="97">
        <v>47.573208417837385</v>
      </c>
      <c r="AM21" s="97">
        <v>9940.4253210017305</v>
      </c>
    </row>
    <row r="22" spans="1:39" x14ac:dyDescent="0.25">
      <c r="A22" s="97">
        <v>20</v>
      </c>
      <c r="B22" s="97">
        <v>2.5083333333333332E-4</v>
      </c>
      <c r="C22" s="97">
        <v>1063.5969188956717</v>
      </c>
      <c r="D22" s="97">
        <v>1399.6879882737624</v>
      </c>
      <c r="E22" s="97">
        <v>916.69013347672444</v>
      </c>
      <c r="F22" s="97">
        <v>1366.6212945964805</v>
      </c>
      <c r="G22" s="97">
        <v>4771.1826865949697</v>
      </c>
      <c r="H22" s="97">
        <v>5230.1167659687135</v>
      </c>
      <c r="I22" s="97">
        <v>46</v>
      </c>
      <c r="J22" s="97">
        <v>45</v>
      </c>
      <c r="K22" s="97">
        <v>5793.0578849184249</v>
      </c>
      <c r="L22" s="97">
        <v>7623.6339094644254</v>
      </c>
      <c r="M22" s="97">
        <v>4992.9055936698924</v>
      </c>
      <c r="N22" s="97">
        <v>6954.9635384172552</v>
      </c>
      <c r="O22" s="97">
        <v>77340.871349704466</v>
      </c>
      <c r="P22" s="97">
        <v>71739.371105143742</v>
      </c>
      <c r="Q22" s="97">
        <v>6989.6627013231127</v>
      </c>
      <c r="R22" s="97">
        <v>181434.46608264133</v>
      </c>
      <c r="S22" s="97">
        <v>3091870.4748735349</v>
      </c>
      <c r="T22" s="97">
        <v>2955532.5934210382</v>
      </c>
      <c r="U22" s="45">
        <v>0</v>
      </c>
      <c r="V22">
        <v>0</v>
      </c>
      <c r="W22">
        <v>2.5083333333333332E-4</v>
      </c>
      <c r="X22" s="97">
        <v>5230.1167659687135</v>
      </c>
      <c r="Y22" s="97">
        <v>15.819134323044537</v>
      </c>
      <c r="Z22" s="97">
        <v>321.72563125323165</v>
      </c>
      <c r="AA22" s="97">
        <v>170.84445036462961</v>
      </c>
      <c r="AB22" s="97">
        <v>12.073410958108393</v>
      </c>
      <c r="AC22" s="97">
        <v>91.895424033123163</v>
      </c>
      <c r="AD22" s="97">
        <v>87.815348970703099</v>
      </c>
      <c r="AE22" s="97">
        <v>129.92886304856307</v>
      </c>
      <c r="AF22" s="97">
        <v>84.438650084100075</v>
      </c>
      <c r="AG22" s="97">
        <v>47.22710470983597</v>
      </c>
      <c r="AH22" s="97">
        <v>9892.8521125838924</v>
      </c>
      <c r="AI22" s="97">
        <v>47.573208417837385</v>
      </c>
      <c r="AJ22" s="97">
        <v>9892.8521125838924</v>
      </c>
      <c r="AK22" s="97">
        <v>9940.4253210017305</v>
      </c>
      <c r="AL22" s="97">
        <v>47.573208417837385</v>
      </c>
      <c r="AM22" s="97">
        <v>9940.4253210017305</v>
      </c>
    </row>
    <row r="23" spans="1:39" x14ac:dyDescent="0.25">
      <c r="A23" s="97">
        <v>21</v>
      </c>
      <c r="B23" s="97">
        <v>2.5083333333333332E-4</v>
      </c>
      <c r="C23" s="97">
        <v>1052.35849438784</v>
      </c>
      <c r="D23" s="97">
        <v>1399.9854628642724</v>
      </c>
      <c r="E23" s="97">
        <v>917.06980337899938</v>
      </c>
      <c r="F23" s="97">
        <v>1362.0220317834137</v>
      </c>
      <c r="G23" s="97">
        <v>4762.562804487623</v>
      </c>
      <c r="H23" s="97">
        <v>5244.0867042160708</v>
      </c>
      <c r="I23" s="97">
        <v>46</v>
      </c>
      <c r="J23" s="97">
        <v>45</v>
      </c>
      <c r="K23" s="97">
        <v>5731.8459327657683</v>
      </c>
      <c r="L23" s="97">
        <v>7625.2541544007372</v>
      </c>
      <c r="M23" s="97">
        <v>4994.9735290709496</v>
      </c>
      <c r="N23" s="97">
        <v>6931.557123417756</v>
      </c>
      <c r="O23" s="97">
        <v>77201.143060744376</v>
      </c>
      <c r="P23" s="97">
        <v>74591.54817926047</v>
      </c>
      <c r="Q23" s="97">
        <v>7239.2523078341374</v>
      </c>
      <c r="R23" s="97">
        <v>184315.57428749421</v>
      </c>
      <c r="S23" s="97">
        <v>3276186.049161029</v>
      </c>
      <c r="T23" s="97">
        <v>3124436.7026824513</v>
      </c>
      <c r="U23" s="45">
        <v>0</v>
      </c>
      <c r="V23">
        <v>0</v>
      </c>
      <c r="W23">
        <v>2.5083333333333332E-4</v>
      </c>
      <c r="X23" s="97">
        <v>5244.0867042160708</v>
      </c>
      <c r="Y23" s="97">
        <v>15.790628521130744</v>
      </c>
      <c r="Z23" s="97">
        <v>337.51625977436242</v>
      </c>
      <c r="AA23" s="97">
        <v>170.70353907977622</v>
      </c>
      <c r="AB23" s="97">
        <v>12.052702577946668</v>
      </c>
      <c r="AC23" s="97">
        <v>102.48221231228781</v>
      </c>
      <c r="AD23" s="97">
        <v>90.951093760087161</v>
      </c>
      <c r="AE23" s="97">
        <v>137.06866683373437</v>
      </c>
      <c r="AF23" s="97">
        <v>92.1621460626925</v>
      </c>
      <c r="AG23" s="97">
        <v>49.702411883008487</v>
      </c>
      <c r="AH23" s="97">
        <v>9892.8521125838924</v>
      </c>
      <c r="AI23" s="97">
        <v>47.573208417837385</v>
      </c>
      <c r="AJ23" s="97">
        <v>9892.8521125838924</v>
      </c>
      <c r="AK23" s="97">
        <v>9940.4253210017305</v>
      </c>
      <c r="AL23" s="97">
        <v>47.573208417837385</v>
      </c>
      <c r="AM23" s="97">
        <v>9940.4253210017305</v>
      </c>
    </row>
    <row r="24" spans="1:39" x14ac:dyDescent="0.25">
      <c r="A24" s="97">
        <v>22</v>
      </c>
      <c r="B24" s="97">
        <v>2.5083333333333332E-4</v>
      </c>
      <c r="C24" s="97">
        <v>1041.2388199282402</v>
      </c>
      <c r="D24" s="97">
        <v>1400.1647378062512</v>
      </c>
      <c r="E24" s="97">
        <v>917.44754892884578</v>
      </c>
      <c r="F24" s="97">
        <v>1357.4749604857191</v>
      </c>
      <c r="G24" s="97">
        <v>4753.9367196039921</v>
      </c>
      <c r="H24" s="97">
        <v>5258.0096276702761</v>
      </c>
      <c r="I24" s="97">
        <v>46</v>
      </c>
      <c r="J24" s="97">
        <v>45</v>
      </c>
      <c r="K24" s="97">
        <v>5671.2807725424809</v>
      </c>
      <c r="L24" s="97">
        <v>7626.2306052513813</v>
      </c>
      <c r="M24" s="97">
        <v>4997.0309831657796</v>
      </c>
      <c r="N24" s="97">
        <v>6908.4163197385715</v>
      </c>
      <c r="O24" s="97">
        <v>77061.314224780712</v>
      </c>
      <c r="P24" s="97">
        <v>77390.697710385561</v>
      </c>
      <c r="Q24" s="97">
        <v>7481.5209543576702</v>
      </c>
      <c r="R24" s="97">
        <v>187136.49157022216</v>
      </c>
      <c r="S24" s="97">
        <v>3463322.5407312512</v>
      </c>
      <c r="T24" s="97">
        <v>3295214.2862139614</v>
      </c>
      <c r="U24" s="45">
        <v>0</v>
      </c>
      <c r="V24">
        <v>0</v>
      </c>
      <c r="W24">
        <v>2.5083333333333332E-4</v>
      </c>
      <c r="X24" s="97">
        <v>5258.0096276702761</v>
      </c>
      <c r="Y24" s="97">
        <v>15.762100299682531</v>
      </c>
      <c r="Z24" s="97">
        <v>353.27836007404494</v>
      </c>
      <c r="AA24" s="97">
        <v>170.55804346074623</v>
      </c>
      <c r="AB24" s="97">
        <v>12.031957927971735</v>
      </c>
      <c r="AC24" s="97">
        <v>112.87937566827686</v>
      </c>
      <c r="AD24" s="97">
        <v>93.994860912842142</v>
      </c>
      <c r="AE24" s="97">
        <v>144.25947148523298</v>
      </c>
      <c r="AF24" s="97">
        <v>100.12977234869645</v>
      </c>
      <c r="AG24" s="97">
        <v>52.175160856390441</v>
      </c>
      <c r="AH24" s="97">
        <v>9892.8521125838924</v>
      </c>
      <c r="AI24" s="97">
        <v>47.573208417837385</v>
      </c>
      <c r="AJ24" s="97">
        <v>9892.8521125838924</v>
      </c>
      <c r="AK24" s="97">
        <v>9940.4253210017305</v>
      </c>
      <c r="AL24" s="97">
        <v>47.573208417837385</v>
      </c>
      <c r="AM24" s="97">
        <v>9940.4253210017305</v>
      </c>
    </row>
    <row r="25" spans="1:39" x14ac:dyDescent="0.25">
      <c r="A25" s="97">
        <v>23</v>
      </c>
      <c r="B25" s="97">
        <v>2.5083333333333332E-4</v>
      </c>
      <c r="C25" s="97">
        <v>1030.236640752564</v>
      </c>
      <c r="D25" s="97">
        <v>1400.2279394801963</v>
      </c>
      <c r="E25" s="97">
        <v>917.82251924560956</v>
      </c>
      <c r="F25" s="97">
        <v>1352.9795137066446</v>
      </c>
      <c r="G25" s="97">
        <v>4745.3049948264525</v>
      </c>
      <c r="H25" s="97">
        <v>5271.8860698458084</v>
      </c>
      <c r="I25" s="97">
        <v>46</v>
      </c>
      <c r="J25" s="97">
        <v>45</v>
      </c>
      <c r="K25" s="97">
        <v>5611.3555699656317</v>
      </c>
      <c r="L25" s="97">
        <v>7626.5748437021348</v>
      </c>
      <c r="M25" s="97">
        <v>4999.0733214910861</v>
      </c>
      <c r="N25" s="97">
        <v>6885.5382418387317</v>
      </c>
      <c r="O25" s="97">
        <v>76921.393966136791</v>
      </c>
      <c r="P25" s="97">
        <v>80137.668439352288</v>
      </c>
      <c r="Q25" s="97">
        <v>7716.7114194821679</v>
      </c>
      <c r="R25" s="97">
        <v>189898.31580196883</v>
      </c>
      <c r="S25" s="97">
        <v>3653220.85653322</v>
      </c>
      <c r="T25" s="97">
        <v>3467793.1848829314</v>
      </c>
      <c r="U25" s="45">
        <v>0</v>
      </c>
      <c r="V25">
        <v>0</v>
      </c>
      <c r="W25">
        <v>2.5083333333333332E-4</v>
      </c>
      <c r="X25" s="97">
        <v>5271.8860698458084</v>
      </c>
      <c r="Y25" s="97">
        <v>15.733551549626942</v>
      </c>
      <c r="Z25" s="97">
        <v>369.01191162367189</v>
      </c>
      <c r="AA25" s="97">
        <v>170.40808167147094</v>
      </c>
      <c r="AB25" s="97">
        <v>12.011178667774182</v>
      </c>
      <c r="AC25" s="97">
        <v>123.08990438453583</v>
      </c>
      <c r="AD25" s="97">
        <v>96.949700602828926</v>
      </c>
      <c r="AE25" s="97">
        <v>151.50013333281771</v>
      </c>
      <c r="AF25" s="97">
        <v>108.33541429405284</v>
      </c>
      <c r="AG25" s="97">
        <v>54.645291035644831</v>
      </c>
      <c r="AH25" s="97">
        <v>9892.8521125838924</v>
      </c>
      <c r="AI25" s="97">
        <v>47.573208417837385</v>
      </c>
      <c r="AJ25" s="97">
        <v>9892.8521125838924</v>
      </c>
      <c r="AK25" s="97">
        <v>9940.4253210017305</v>
      </c>
      <c r="AL25" s="97">
        <v>47.573208417837385</v>
      </c>
      <c r="AM25" s="97">
        <v>9940.4253210017305</v>
      </c>
    </row>
    <row r="26" spans="1:39" x14ac:dyDescent="0.25">
      <c r="A26" s="97">
        <v>24</v>
      </c>
      <c r="B26" s="97">
        <v>2.5083333333333332E-4</v>
      </c>
      <c r="C26" s="97">
        <v>1019.3507153548846</v>
      </c>
      <c r="D26" s="97">
        <v>1400.1771651069641</v>
      </c>
      <c r="E26" s="97">
        <v>918.19388836083169</v>
      </c>
      <c r="F26" s="97">
        <v>1348.5351213715032</v>
      </c>
      <c r="G26" s="97">
        <v>4736.668184576356</v>
      </c>
      <c r="H26" s="97">
        <v>5285.7165584611648</v>
      </c>
      <c r="I26" s="97">
        <v>47</v>
      </c>
      <c r="J26" s="97">
        <v>45</v>
      </c>
      <c r="K26" s="97">
        <v>5552.0635629662711</v>
      </c>
      <c r="L26" s="97">
        <v>7626.2982926159311</v>
      </c>
      <c r="M26" s="97">
        <v>5001.0960452719964</v>
      </c>
      <c r="N26" s="97">
        <v>6862.9199885131411</v>
      </c>
      <c r="O26" s="97">
        <v>76781.391271982735</v>
      </c>
      <c r="P26" s="97">
        <v>82833.295858704791</v>
      </c>
      <c r="Q26" s="97">
        <v>7945.0569123111381</v>
      </c>
      <c r="R26" s="97">
        <v>192602.12193236599</v>
      </c>
      <c r="S26" s="97">
        <v>3845822.978465586</v>
      </c>
      <c r="T26" s="97">
        <v>3642103.0018245196</v>
      </c>
      <c r="U26" s="45">
        <v>0</v>
      </c>
      <c r="V26">
        <v>0</v>
      </c>
      <c r="W26">
        <v>2.5083333333333332E-4</v>
      </c>
      <c r="X26" s="97">
        <v>5285.7165584611648</v>
      </c>
      <c r="Y26" s="97">
        <v>15.704984133870317</v>
      </c>
      <c r="Z26" s="97">
        <v>384.7168957575422</v>
      </c>
      <c r="AA26" s="97">
        <v>170.25810177614048</v>
      </c>
      <c r="AB26" s="97">
        <v>11.986034077218003</v>
      </c>
      <c r="AC26" s="97">
        <v>133.11241032342167</v>
      </c>
      <c r="AD26" s="97">
        <v>99.818542776696248</v>
      </c>
      <c r="AE26" s="97">
        <v>158.78952755581651</v>
      </c>
      <c r="AF26" s="97">
        <v>116.77312697781119</v>
      </c>
      <c r="AG26" s="97">
        <v>57.112743375391297</v>
      </c>
      <c r="AH26" s="97">
        <v>19172.248720368072</v>
      </c>
      <c r="AI26" s="97">
        <v>126.38053363060938</v>
      </c>
      <c r="AJ26" s="97">
        <v>19636.218550757279</v>
      </c>
      <c r="AK26" s="97">
        <v>19766.539450648528</v>
      </c>
      <c r="AL26" s="97">
        <v>130.32089989124799</v>
      </c>
      <c r="AM26" s="97">
        <v>19298.629253998679</v>
      </c>
    </row>
    <row r="27" spans="1:39" x14ac:dyDescent="0.25">
      <c r="A27" s="97">
        <v>25</v>
      </c>
      <c r="B27" s="97">
        <v>2.7500000000000002E-4</v>
      </c>
      <c r="C27" s="97">
        <v>1008.555181038609</v>
      </c>
      <c r="D27" s="97">
        <v>1399.9806454920897</v>
      </c>
      <c r="E27" s="97">
        <v>918.53866504732753</v>
      </c>
      <c r="F27" s="97">
        <v>1344.1086210251178</v>
      </c>
      <c r="G27" s="97">
        <v>4727.9123653414981</v>
      </c>
      <c r="H27" s="97">
        <v>5299.501615407401</v>
      </c>
      <c r="I27" s="97">
        <v>47</v>
      </c>
      <c r="J27" s="97">
        <v>45</v>
      </c>
      <c r="K27" s="97">
        <v>5493.2638860569568</v>
      </c>
      <c r="L27" s="97">
        <v>7625.2279157802477</v>
      </c>
      <c r="M27" s="97">
        <v>5002.9739289577774</v>
      </c>
      <c r="N27" s="97">
        <v>6840.3927905003284</v>
      </c>
      <c r="O27" s="97">
        <v>76639.459442185689</v>
      </c>
      <c r="P27" s="97">
        <v>85476.39262926986</v>
      </c>
      <c r="Q27" s="97">
        <v>8166.5894798658292</v>
      </c>
      <c r="R27" s="97">
        <v>195244.30007261669</v>
      </c>
      <c r="S27" s="97">
        <v>4041067.2785382029</v>
      </c>
      <c r="T27" s="97">
        <v>3818070.8577563609</v>
      </c>
      <c r="U27" s="45">
        <v>0</v>
      </c>
      <c r="V27">
        <v>0</v>
      </c>
      <c r="W27">
        <v>2.7500000000000002E-4</v>
      </c>
      <c r="X27" s="97">
        <v>5299.501615407401</v>
      </c>
      <c r="Y27" s="97">
        <v>15.676399887316535</v>
      </c>
      <c r="Z27" s="97">
        <v>400.39329564485877</v>
      </c>
      <c r="AA27" s="97">
        <v>170.09966424548037</v>
      </c>
      <c r="AB27" s="97">
        <v>11.965198025424499</v>
      </c>
      <c r="AC27" s="97">
        <v>142.95098447671214</v>
      </c>
      <c r="AD27" s="97">
        <v>102.60179006050417</v>
      </c>
      <c r="AE27" s="97">
        <v>166.1265478892789</v>
      </c>
      <c r="AF27" s="97">
        <v>125.43715851161764</v>
      </c>
      <c r="AG27" s="97">
        <v>59.814924761044168</v>
      </c>
      <c r="AH27" s="97">
        <v>19172.248720368072</v>
      </c>
      <c r="AI27" s="97">
        <v>126.38053363060938</v>
      </c>
      <c r="AJ27" s="97">
        <v>19636.218550757279</v>
      </c>
      <c r="AK27" s="97">
        <v>19766.539450648528</v>
      </c>
      <c r="AL27" s="97">
        <v>130.32089989124799</v>
      </c>
      <c r="AM27" s="97">
        <v>19298.629253998679</v>
      </c>
    </row>
    <row r="28" spans="1:39" x14ac:dyDescent="0.25">
      <c r="A28" s="97">
        <v>26</v>
      </c>
      <c r="B28" s="97">
        <v>2.7500000000000002E-4</v>
      </c>
      <c r="C28" s="97">
        <v>997.8739778935568</v>
      </c>
      <c r="D28" s="97">
        <v>1399.6742669059199</v>
      </c>
      <c r="E28" s="97">
        <v>918.87824419826404</v>
      </c>
      <c r="F28" s="97">
        <v>1339.7322400760218</v>
      </c>
      <c r="G28" s="97">
        <v>4719.1529645626706</v>
      </c>
      <c r="H28" s="97">
        <v>5313.2414235808164</v>
      </c>
      <c r="I28" s="97">
        <v>47</v>
      </c>
      <c r="J28" s="97">
        <v>45</v>
      </c>
      <c r="K28" s="97">
        <v>5435.0869329269053</v>
      </c>
      <c r="L28" s="97">
        <v>7623.559173747577</v>
      </c>
      <c r="M28" s="97">
        <v>5004.8235033998781</v>
      </c>
      <c r="N28" s="97">
        <v>6818.1206584535539</v>
      </c>
      <c r="O28" s="97">
        <v>76497.469555560892</v>
      </c>
      <c r="P28" s="97">
        <v>88069.642697508665</v>
      </c>
      <c r="Q28" s="97">
        <v>8381.7056925120905</v>
      </c>
      <c r="R28" s="97">
        <v>197830.40821410957</v>
      </c>
      <c r="S28" s="97">
        <v>4238897.6867523128</v>
      </c>
      <c r="T28" s="97">
        <v>3995629.6673387815</v>
      </c>
      <c r="U28" s="45">
        <v>0</v>
      </c>
      <c r="V28">
        <v>0</v>
      </c>
      <c r="W28">
        <v>2.7500000000000002E-4</v>
      </c>
      <c r="X28" s="97">
        <v>5313.2414235808164</v>
      </c>
      <c r="Y28" s="97">
        <v>15.64742177056484</v>
      </c>
      <c r="Z28" s="97">
        <v>416.04071741542361</v>
      </c>
      <c r="AA28" s="97">
        <v>169.9369845899831</v>
      </c>
      <c r="AB28" s="97">
        <v>11.944063014041904</v>
      </c>
      <c r="AC28" s="97">
        <v>152.61124107935629</v>
      </c>
      <c r="AD28" s="97">
        <v>105.3044248069865</v>
      </c>
      <c r="AE28" s="97">
        <v>173.5099288521136</v>
      </c>
      <c r="AF28" s="97">
        <v>134.32167544909768</v>
      </c>
      <c r="AG28" s="97">
        <v>62.513980438144188</v>
      </c>
      <c r="AH28" s="97">
        <v>19172.248720368072</v>
      </c>
      <c r="AI28" s="97">
        <v>126.38053363060938</v>
      </c>
      <c r="AJ28" s="97">
        <v>19636.218550757279</v>
      </c>
      <c r="AK28" s="97">
        <v>19766.539450648528</v>
      </c>
      <c r="AL28" s="97">
        <v>130.32089989124799</v>
      </c>
      <c r="AM28" s="97">
        <v>19298.629253998679</v>
      </c>
    </row>
    <row r="29" spans="1:39" x14ac:dyDescent="0.25">
      <c r="A29" s="97">
        <v>27</v>
      </c>
      <c r="B29" s="97">
        <v>2.7500000000000002E-4</v>
      </c>
      <c r="C29" s="97">
        <v>987.30589508417961</v>
      </c>
      <c r="D29" s="97">
        <v>1399.2600491936546</v>
      </c>
      <c r="E29" s="97">
        <v>919.21187207779678</v>
      </c>
      <c r="F29" s="97">
        <v>1335.4053973342625</v>
      </c>
      <c r="G29" s="97">
        <v>4710.3905116165179</v>
      </c>
      <c r="H29" s="97">
        <v>5326.9364953141903</v>
      </c>
      <c r="I29" s="97">
        <v>47</v>
      </c>
      <c r="J29" s="97">
        <v>45</v>
      </c>
      <c r="K29" s="97">
        <v>5377.526108558498</v>
      </c>
      <c r="L29" s="97">
        <v>7621.3030679414378</v>
      </c>
      <c r="M29" s="97">
        <v>5006.6406632503995</v>
      </c>
      <c r="N29" s="97">
        <v>6796.1006346002841</v>
      </c>
      <c r="O29" s="97">
        <v>76355.430193303764</v>
      </c>
      <c r="P29" s="97">
        <v>90613.847005980642</v>
      </c>
      <c r="Q29" s="97">
        <v>8590.6129078579379</v>
      </c>
      <c r="R29" s="97">
        <v>200361.46058149295</v>
      </c>
      <c r="S29" s="97">
        <v>4439259.1473338054</v>
      </c>
      <c r="T29" s="97">
        <v>4174713.9887456899</v>
      </c>
      <c r="U29" s="45">
        <v>0</v>
      </c>
      <c r="V29">
        <v>0</v>
      </c>
      <c r="W29">
        <v>2.7500000000000002E-4</v>
      </c>
      <c r="X29" s="97">
        <v>5326.9364953141903</v>
      </c>
      <c r="Y29" s="97">
        <v>15.61843180039355</v>
      </c>
      <c r="Z29" s="97">
        <v>431.65914921581714</v>
      </c>
      <c r="AA29" s="97">
        <v>169.77017459175937</v>
      </c>
      <c r="AB29" s="97">
        <v>11.922900782472581</v>
      </c>
      <c r="AC29" s="97">
        <v>162.09600173915501</v>
      </c>
      <c r="AD29" s="97">
        <v>107.92905217485945</v>
      </c>
      <c r="AE29" s="97">
        <v>180.9385980177934</v>
      </c>
      <c r="AF29" s="97">
        <v>143.42119555504038</v>
      </c>
      <c r="AG29" s="97">
        <v>65.209850632775201</v>
      </c>
      <c r="AH29" s="97">
        <v>19172.248720368072</v>
      </c>
      <c r="AI29" s="97">
        <v>126.38053363060938</v>
      </c>
      <c r="AJ29" s="97">
        <v>19636.218550757279</v>
      </c>
      <c r="AK29" s="97">
        <v>19766.539450648528</v>
      </c>
      <c r="AL29" s="97">
        <v>130.32089989124799</v>
      </c>
      <c r="AM29" s="97">
        <v>19298.629253998679</v>
      </c>
    </row>
    <row r="30" spans="1:39" x14ac:dyDescent="0.25">
      <c r="A30" s="97">
        <v>28</v>
      </c>
      <c r="B30" s="97">
        <v>2.7500000000000002E-4</v>
      </c>
      <c r="C30" s="97">
        <v>976.84973459840239</v>
      </c>
      <c r="D30" s="97">
        <v>1398.7399842576401</v>
      </c>
      <c r="E30" s="97">
        <v>919.53881804102753</v>
      </c>
      <c r="F30" s="97">
        <v>1331.1275097240145</v>
      </c>
      <c r="G30" s="97">
        <v>4701.6255274194191</v>
      </c>
      <c r="H30" s="97">
        <v>5340.5873369992341</v>
      </c>
      <c r="I30" s="97">
        <v>47</v>
      </c>
      <c r="J30" s="97">
        <v>45</v>
      </c>
      <c r="K30" s="97">
        <v>5320.5748877792985</v>
      </c>
      <c r="L30" s="97">
        <v>7618.4704475899462</v>
      </c>
      <c r="M30" s="97">
        <v>5008.4214289301299</v>
      </c>
      <c r="N30" s="97">
        <v>6774.3297515704635</v>
      </c>
      <c r="O30" s="97">
        <v>76213.349799468793</v>
      </c>
      <c r="P30" s="97">
        <v>93109.793973564854</v>
      </c>
      <c r="Q30" s="97">
        <v>8793.5104394200589</v>
      </c>
      <c r="R30" s="97">
        <v>202838.45072832354</v>
      </c>
      <c r="S30" s="97">
        <v>4642097.5980621288</v>
      </c>
      <c r="T30" s="97">
        <v>4355259.9843917591</v>
      </c>
      <c r="U30" s="45">
        <v>0</v>
      </c>
      <c r="V30">
        <v>0</v>
      </c>
      <c r="W30">
        <v>2.7500000000000002E-4</v>
      </c>
      <c r="X30" s="97">
        <v>5340.5873369992341</v>
      </c>
      <c r="Y30" s="97">
        <v>15.589431728818983</v>
      </c>
      <c r="Z30" s="97">
        <v>447.2485809446361</v>
      </c>
      <c r="AA30" s="97">
        <v>169.59934368563671</v>
      </c>
      <c r="AB30" s="97">
        <v>11.901712889423518</v>
      </c>
      <c r="AC30" s="97">
        <v>171.40804454418586</v>
      </c>
      <c r="AD30" s="97">
        <v>110.47817626006733</v>
      </c>
      <c r="AE30" s="97">
        <v>188.41150074569416</v>
      </c>
      <c r="AF30" s="97">
        <v>152.73038437453349</v>
      </c>
      <c r="AG30" s="97">
        <v>67.90247709507355</v>
      </c>
      <c r="AH30" s="97">
        <v>19172.248720368072</v>
      </c>
      <c r="AI30" s="97">
        <v>126.38053363060938</v>
      </c>
      <c r="AJ30" s="97">
        <v>19636.218550757279</v>
      </c>
      <c r="AK30" s="97">
        <v>19766.539450648528</v>
      </c>
      <c r="AL30" s="97">
        <v>130.32089989124799</v>
      </c>
      <c r="AM30" s="97">
        <v>19298.629253998679</v>
      </c>
    </row>
    <row r="31" spans="1:39" x14ac:dyDescent="0.25">
      <c r="A31" s="97">
        <v>29</v>
      </c>
      <c r="B31" s="97">
        <v>2.7500000000000002E-4</v>
      </c>
      <c r="C31" s="97">
        <v>966.50431111181524</v>
      </c>
      <c r="D31" s="97">
        <v>1398.1160364034215</v>
      </c>
      <c r="E31" s="97">
        <v>919.85837407689144</v>
      </c>
      <c r="F31" s="97">
        <v>1326.8979925480528</v>
      </c>
      <c r="G31" s="97">
        <v>4692.8585244484702</v>
      </c>
      <c r="H31" s="97">
        <v>5354.1944490673168</v>
      </c>
      <c r="I31" s="97">
        <v>47</v>
      </c>
      <c r="J31" s="97">
        <v>45</v>
      </c>
      <c r="K31" s="97">
        <v>5264.2268145223534</v>
      </c>
      <c r="L31" s="97">
        <v>7615.0720116106349</v>
      </c>
      <c r="M31" s="97">
        <v>5010.161944138802</v>
      </c>
      <c r="N31" s="97">
        <v>6752.8050337424647</v>
      </c>
      <c r="O31" s="97">
        <v>76071.236681309703</v>
      </c>
      <c r="P31" s="97">
        <v>95558.259692222447</v>
      </c>
      <c r="Q31" s="97">
        <v>8990.5899014466377</v>
      </c>
      <c r="R31" s="97">
        <v>205262.35207899305</v>
      </c>
      <c r="S31" s="97">
        <v>4847359.9501411216</v>
      </c>
      <c r="T31" s="97">
        <v>4537205.3827170506</v>
      </c>
      <c r="U31" s="45">
        <v>0</v>
      </c>
      <c r="V31">
        <v>0</v>
      </c>
      <c r="W31">
        <v>2.7500000000000002E-4</v>
      </c>
      <c r="X31" s="97">
        <v>5354.1944490673168</v>
      </c>
      <c r="Y31" s="97">
        <v>15.560423279857508</v>
      </c>
      <c r="Z31" s="97">
        <v>462.80900422449361</v>
      </c>
      <c r="AA31" s="97">
        <v>169.42459900529937</v>
      </c>
      <c r="AB31" s="97">
        <v>11.880500872811067</v>
      </c>
      <c r="AC31" s="97">
        <v>180.55010473729013</v>
      </c>
      <c r="AD31" s="97">
        <v>112.95420442799973</v>
      </c>
      <c r="AE31" s="97">
        <v>195.92759990277671</v>
      </c>
      <c r="AF31" s="97">
        <v>162.24405018259083</v>
      </c>
      <c r="AG31" s="97">
        <v>70.591803058169418</v>
      </c>
      <c r="AH31" s="97">
        <v>19172.248720368072</v>
      </c>
      <c r="AI31" s="97">
        <v>126.38053363060938</v>
      </c>
      <c r="AJ31" s="97">
        <v>19636.218550757279</v>
      </c>
      <c r="AK31" s="97">
        <v>19766.539450648528</v>
      </c>
      <c r="AL31" s="97">
        <v>130.32089989124799</v>
      </c>
      <c r="AM31" s="97">
        <v>19298.629253998679</v>
      </c>
    </row>
    <row r="32" spans="1:39" x14ac:dyDescent="0.25">
      <c r="A32" s="97">
        <v>30</v>
      </c>
      <c r="B32" s="97">
        <v>2.7500000000000002E-4</v>
      </c>
      <c r="C32" s="97">
        <v>956.26845185330342</v>
      </c>
      <c r="D32" s="97">
        <v>1397.3901426817467</v>
      </c>
      <c r="E32" s="97">
        <v>920.16985435856498</v>
      </c>
      <c r="F32" s="97">
        <v>1322.716259744607</v>
      </c>
      <c r="G32" s="97">
        <v>4684.0900067650691</v>
      </c>
      <c r="H32" s="97">
        <v>5367.7583259728872</v>
      </c>
      <c r="I32" s="97">
        <v>47</v>
      </c>
      <c r="J32" s="97">
        <v>45</v>
      </c>
      <c r="K32" s="97">
        <v>5208.4755010943254</v>
      </c>
      <c r="L32" s="97">
        <v>7611.1183104732463</v>
      </c>
      <c r="M32" s="97">
        <v>5011.858473406317</v>
      </c>
      <c r="N32" s="97">
        <v>6731.523498550262</v>
      </c>
      <c r="O32" s="97">
        <v>75929.099009661775</v>
      </c>
      <c r="P32" s="97">
        <v>97960.008120549348</v>
      </c>
      <c r="Q32" s="97">
        <v>9182.0355383467759</v>
      </c>
      <c r="R32" s="97">
        <v>207634.11845208204</v>
      </c>
      <c r="S32" s="97">
        <v>5054994.068593204</v>
      </c>
      <c r="T32" s="97">
        <v>4720489.4409944341</v>
      </c>
      <c r="U32" s="45">
        <v>0</v>
      </c>
      <c r="V32">
        <v>0</v>
      </c>
      <c r="W32">
        <v>2.7500000000000002E-4</v>
      </c>
      <c r="X32" s="97">
        <v>5367.7583259728872</v>
      </c>
      <c r="Y32" s="97">
        <v>15.531408149594972</v>
      </c>
      <c r="Z32" s="97">
        <v>478.3404123740886</v>
      </c>
      <c r="AA32" s="97">
        <v>169.24604542849627</v>
      </c>
      <c r="AB32" s="97">
        <v>11.859266249713668</v>
      </c>
      <c r="AC32" s="97">
        <v>189.52487537973687</v>
      </c>
      <c r="AD32" s="97">
        <v>115.35945145231203</v>
      </c>
      <c r="AE32" s="97">
        <v>203.48587558950973</v>
      </c>
      <c r="AF32" s="97">
        <v>171.95713913763592</v>
      </c>
      <c r="AG32" s="97">
        <v>73.277773198528209</v>
      </c>
      <c r="AH32" s="97">
        <v>19172.248720368072</v>
      </c>
      <c r="AI32" s="97">
        <v>126.38053363060938</v>
      </c>
      <c r="AJ32" s="97">
        <v>19636.218550757279</v>
      </c>
      <c r="AK32" s="97">
        <v>19766.539450648528</v>
      </c>
      <c r="AL32" s="97">
        <v>130.32089989124799</v>
      </c>
      <c r="AM32" s="97">
        <v>19298.629253998679</v>
      </c>
    </row>
    <row r="33" spans="1:39" x14ac:dyDescent="0.25">
      <c r="A33" s="97">
        <v>31</v>
      </c>
      <c r="B33" s="97">
        <v>2.7500000000000002E-4</v>
      </c>
      <c r="C33" s="97">
        <v>946.14099647210026</v>
      </c>
      <c r="D33" s="97">
        <v>1396.5642132265671</v>
      </c>
      <c r="E33" s="97">
        <v>920.47259480128434</v>
      </c>
      <c r="F33" s="97">
        <v>1318.5817241367542</v>
      </c>
      <c r="G33" s="97">
        <v>4675.3204700410188</v>
      </c>
      <c r="H33" s="97">
        <v>5381.2794561795281</v>
      </c>
      <c r="I33" s="97">
        <v>47</v>
      </c>
      <c r="J33" s="97">
        <v>45</v>
      </c>
      <c r="K33" s="97">
        <v>5153.314627451372</v>
      </c>
      <c r="L33" s="97">
        <v>7606.6197480407018</v>
      </c>
      <c r="M33" s="97">
        <v>5013.5073996843284</v>
      </c>
      <c r="N33" s="97">
        <v>6710.4821577526318</v>
      </c>
      <c r="O33" s="97">
        <v>75786.944819364915</v>
      </c>
      <c r="P33" s="97">
        <v>100315.7912741748</v>
      </c>
      <c r="Q33" s="97">
        <v>9368.0245394235171</v>
      </c>
      <c r="R33" s="97">
        <v>209954.68456589227</v>
      </c>
      <c r="S33" s="97">
        <v>5264948.7531590965</v>
      </c>
      <c r="T33" s="97">
        <v>4905052.9091265351</v>
      </c>
      <c r="U33" s="45">
        <v>0</v>
      </c>
      <c r="V33">
        <v>0</v>
      </c>
      <c r="W33">
        <v>2.7500000000000002E-4</v>
      </c>
      <c r="X33" s="97">
        <v>5381.2794561795281</v>
      </c>
      <c r="Y33" s="97">
        <v>15.502388006264773</v>
      </c>
      <c r="Z33" s="97">
        <v>493.84280038035337</v>
      </c>
      <c r="AA33" s="97">
        <v>169.06378562133733</v>
      </c>
      <c r="AB33" s="97">
        <v>11.838010516334109</v>
      </c>
      <c r="AC33" s="97">
        <v>198.33500800424636</v>
      </c>
      <c r="AD33" s="97">
        <v>117.69614346910632</v>
      </c>
      <c r="AE33" s="97">
        <v>211.08532486996847</v>
      </c>
      <c r="AF33" s="97">
        <v>181.86473062995</v>
      </c>
      <c r="AG33" s="97">
        <v>75.960333597635753</v>
      </c>
      <c r="AH33" s="97">
        <v>19172.248720368072</v>
      </c>
      <c r="AI33" s="97">
        <v>126.38053363060938</v>
      </c>
      <c r="AJ33" s="97">
        <v>19636.218550757279</v>
      </c>
      <c r="AK33" s="97">
        <v>19766.539450648528</v>
      </c>
      <c r="AL33" s="97">
        <v>130.32089989124799</v>
      </c>
      <c r="AM33" s="97">
        <v>19298.629253998679</v>
      </c>
    </row>
    <row r="34" spans="1:39" x14ac:dyDescent="0.25">
      <c r="A34" s="97">
        <v>32</v>
      </c>
      <c r="B34" s="97">
        <v>2.7500000000000002E-4</v>
      </c>
      <c r="C34" s="97">
        <v>936.12079690624842</v>
      </c>
      <c r="D34" s="97">
        <v>1395.6401315890819</v>
      </c>
      <c r="E34" s="97">
        <v>920.76595262746389</v>
      </c>
      <c r="F34" s="97">
        <v>1314.4937976745098</v>
      </c>
      <c r="G34" s="97">
        <v>4666.5504015870501</v>
      </c>
      <c r="H34" s="97">
        <v>5394.7583221485547</v>
      </c>
      <c r="I34" s="97">
        <v>47</v>
      </c>
      <c r="J34" s="97">
        <v>45</v>
      </c>
      <c r="K34" s="97">
        <v>5098.7379404826997</v>
      </c>
      <c r="L34" s="97">
        <v>7601.5865833885318</v>
      </c>
      <c r="M34" s="97">
        <v>5015.1052219775866</v>
      </c>
      <c r="N34" s="97">
        <v>6689.6780186651922</v>
      </c>
      <c r="O34" s="97">
        <v>75644.782009726085</v>
      </c>
      <c r="P34" s="97">
        <v>102626.34941305999</v>
      </c>
      <c r="Q34" s="97">
        <v>9548.7273395758148</v>
      </c>
      <c r="R34" s="97">
        <v>212224.96652687588</v>
      </c>
      <c r="S34" s="97">
        <v>5477173.7196859727</v>
      </c>
      <c r="T34" s="97">
        <v>5090837.9944002358</v>
      </c>
      <c r="U34" s="45">
        <v>0</v>
      </c>
      <c r="V34">
        <v>0</v>
      </c>
      <c r="W34">
        <v>2.7500000000000002E-4</v>
      </c>
      <c r="X34" s="97">
        <v>5394.7583221485547</v>
      </c>
      <c r="Y34" s="97">
        <v>15.473364490334236</v>
      </c>
      <c r="Z34" s="97">
        <v>509.3161648706876</v>
      </c>
      <c r="AA34" s="97">
        <v>168.87792008169782</v>
      </c>
      <c r="AB34" s="97">
        <v>11.816735147971039</v>
      </c>
      <c r="AC34" s="97">
        <v>206.98311325755228</v>
      </c>
      <c r="AD34" s="97">
        <v>119.96642175483152</v>
      </c>
      <c r="AE34" s="97">
        <v>218.72496150604425</v>
      </c>
      <c r="AF34" s="97">
        <v>191.96203281659189</v>
      </c>
      <c r="AG34" s="97">
        <v>78.639431704973163</v>
      </c>
      <c r="AH34" s="97">
        <v>19172.248720368072</v>
      </c>
      <c r="AI34" s="97">
        <v>126.38053363060938</v>
      </c>
      <c r="AJ34" s="97">
        <v>19636.218550757279</v>
      </c>
      <c r="AK34" s="97">
        <v>19766.539450648528</v>
      </c>
      <c r="AL34" s="97">
        <v>130.32089989124799</v>
      </c>
      <c r="AM34" s="97">
        <v>19298.629253998679</v>
      </c>
    </row>
    <row r="35" spans="1:39" x14ac:dyDescent="0.25">
      <c r="A35" s="97">
        <v>33</v>
      </c>
      <c r="B35" s="97">
        <v>2.7500000000000002E-4</v>
      </c>
      <c r="C35" s="97">
        <v>926.20671725245393</v>
      </c>
      <c r="D35" s="97">
        <v>1394.6197550678703</v>
      </c>
      <c r="E35" s="97">
        <v>921.04930593900542</v>
      </c>
      <c r="F35" s="97">
        <v>1310.4518916697677</v>
      </c>
      <c r="G35" s="97">
        <v>4657.7802803836857</v>
      </c>
      <c r="H35" s="97">
        <v>5408.1954003300916</v>
      </c>
      <c r="I35" s="97">
        <v>47</v>
      </c>
      <c r="J35" s="97">
        <v>45</v>
      </c>
      <c r="K35" s="97">
        <v>5044.7392533016991</v>
      </c>
      <c r="L35" s="97">
        <v>7596.0289326029997</v>
      </c>
      <c r="M35" s="97">
        <v>5016.6485530144491</v>
      </c>
      <c r="N35" s="97">
        <v>6669.1080853560597</v>
      </c>
      <c r="O35" s="97">
        <v>75502.618345019553</v>
      </c>
      <c r="P35" s="97">
        <v>104892.41122575004</v>
      </c>
      <c r="Q35" s="97">
        <v>9724.3079066044484</v>
      </c>
      <c r="R35" s="97">
        <v>214445.86230164923</v>
      </c>
      <c r="S35" s="97">
        <v>5691619.5819876222</v>
      </c>
      <c r="T35" s="97">
        <v>5277788.327168013</v>
      </c>
      <c r="U35" s="45">
        <v>0</v>
      </c>
      <c r="V35">
        <v>0</v>
      </c>
      <c r="W35">
        <v>2.7500000000000002E-4</v>
      </c>
      <c r="X35" s="97">
        <v>5408.1954003300916</v>
      </c>
      <c r="Y35" s="97">
        <v>15.444339214599021</v>
      </c>
      <c r="Z35" s="97">
        <v>524.76050408528658</v>
      </c>
      <c r="AA35" s="97">
        <v>168.6885471817501</v>
      </c>
      <c r="AB35" s="97">
        <v>11.795441598999455</v>
      </c>
      <c r="AC35" s="97">
        <v>215.47176153267873</v>
      </c>
      <c r="AD35" s="97">
        <v>122.172346335881</v>
      </c>
      <c r="AE35" s="97">
        <v>226.40381569570121</v>
      </c>
      <c r="AF35" s="97">
        <v>202.2443783346784</v>
      </c>
      <c r="AG35" s="97">
        <v>81.315016302229736</v>
      </c>
      <c r="AH35" s="97">
        <v>19172.248720368072</v>
      </c>
      <c r="AI35" s="97">
        <v>126.38053363060938</v>
      </c>
      <c r="AJ35" s="97">
        <v>19636.218550757279</v>
      </c>
      <c r="AK35" s="97">
        <v>19766.539450648528</v>
      </c>
      <c r="AL35" s="97">
        <v>130.32089989124799</v>
      </c>
      <c r="AM35" s="97">
        <v>19298.629253998679</v>
      </c>
    </row>
    <row r="36" spans="1:39" x14ac:dyDescent="0.25">
      <c r="A36" s="97">
        <v>34</v>
      </c>
      <c r="B36" s="97">
        <v>2.7500000000000002E-4</v>
      </c>
      <c r="C36" s="97">
        <v>916.39763363731879</v>
      </c>
      <c r="D36" s="97">
        <v>1393.5049150351545</v>
      </c>
      <c r="E36" s="97">
        <v>921.32205329669216</v>
      </c>
      <c r="F36" s="97">
        <v>1306.4554170242436</v>
      </c>
      <c r="G36" s="97">
        <v>4649.010577114359</v>
      </c>
      <c r="H36" s="97">
        <v>5421.5911611565498</v>
      </c>
      <c r="I36" s="97">
        <v>47</v>
      </c>
      <c r="J36" s="97">
        <v>45</v>
      </c>
      <c r="K36" s="97">
        <v>4991.3124445445965</v>
      </c>
      <c r="L36" s="97">
        <v>7589.9567705581412</v>
      </c>
      <c r="M36" s="97">
        <v>5018.1341169559828</v>
      </c>
      <c r="N36" s="97">
        <v>6648.7693598058795</v>
      </c>
      <c r="O36" s="97">
        <v>75360.46145502376</v>
      </c>
      <c r="P36" s="97">
        <v>107114.69401063195</v>
      </c>
      <c r="Q36" s="97">
        <v>9894.9240157280874</v>
      </c>
      <c r="R36" s="97">
        <v>216618.25217324839</v>
      </c>
      <c r="S36" s="97">
        <v>5908237.8341608709</v>
      </c>
      <c r="T36" s="97">
        <v>5465848.9274265869</v>
      </c>
      <c r="U36" s="45">
        <v>0</v>
      </c>
      <c r="V36">
        <v>0</v>
      </c>
      <c r="W36">
        <v>2.7500000000000002E-4</v>
      </c>
      <c r="X36" s="97">
        <v>5421.5911611565498</v>
      </c>
      <c r="Y36" s="97">
        <v>15.415313764285264</v>
      </c>
      <c r="Z36" s="97">
        <v>540.1758178495719</v>
      </c>
      <c r="AA36" s="97">
        <v>168.49576320964181</v>
      </c>
      <c r="AB36" s="97">
        <v>11.774131302859853</v>
      </c>
      <c r="AC36" s="97">
        <v>223.80348359110513</v>
      </c>
      <c r="AD36" s="97">
        <v>124.31589943750345</v>
      </c>
      <c r="AE36" s="97">
        <v>234.120933815218</v>
      </c>
      <c r="AF36" s="97">
        <v>212.70722018527781</v>
      </c>
      <c r="AG36" s="97">
        <v>83.987037468704585</v>
      </c>
      <c r="AH36" s="97">
        <v>19172.248720368072</v>
      </c>
      <c r="AI36" s="97">
        <v>126.38053363060938</v>
      </c>
      <c r="AJ36" s="97">
        <v>19636.218550757279</v>
      </c>
      <c r="AK36" s="97">
        <v>19766.539450648528</v>
      </c>
      <c r="AL36" s="97">
        <v>130.32089989124799</v>
      </c>
      <c r="AM36" s="97">
        <v>19298.629253998679</v>
      </c>
    </row>
    <row r="37" spans="1:39" x14ac:dyDescent="0.25">
      <c r="A37" s="97">
        <v>35</v>
      </c>
      <c r="B37" s="97">
        <v>2.7500000000000002E-4</v>
      </c>
      <c r="C37" s="97">
        <v>906.69243408993714</v>
      </c>
      <c r="D37" s="97">
        <v>1392.2974172592385</v>
      </c>
      <c r="E37" s="97">
        <v>921.58361330656157</v>
      </c>
      <c r="F37" s="97">
        <v>1302.5037844505673</v>
      </c>
      <c r="G37" s="97">
        <v>4640.2417542007079</v>
      </c>
      <c r="H37" s="97">
        <v>5434.9460690384312</v>
      </c>
      <c r="I37" s="97">
        <v>47</v>
      </c>
      <c r="J37" s="97">
        <v>45</v>
      </c>
      <c r="K37" s="97">
        <v>4938.4514576765241</v>
      </c>
      <c r="L37" s="97">
        <v>7583.3799326719854</v>
      </c>
      <c r="M37" s="97">
        <v>5019.5587471430717</v>
      </c>
      <c r="N37" s="97">
        <v>6628.6588430330121</v>
      </c>
      <c r="O37" s="97">
        <v>75218.318835593484</v>
      </c>
      <c r="P37" s="97">
        <v>109293.90385424974</v>
      </c>
      <c r="Q37" s="97">
        <v>10060.727511888042</v>
      </c>
      <c r="R37" s="97">
        <v>218742.99918225585</v>
      </c>
      <c r="S37" s="97">
        <v>6126980.8333431268</v>
      </c>
      <c r="T37" s="97">
        <v>5654966.1722644884</v>
      </c>
      <c r="U37" s="45">
        <v>0</v>
      </c>
      <c r="V37">
        <v>0</v>
      </c>
      <c r="W37">
        <v>2.7500000000000002E-4</v>
      </c>
      <c r="X37" s="97">
        <v>5434.9460690384312</v>
      </c>
      <c r="Y37" s="97">
        <v>15.38628969715919</v>
      </c>
      <c r="Z37" s="97">
        <v>555.56210754673111</v>
      </c>
      <c r="AA37" s="97">
        <v>168.29966241033867</v>
      </c>
      <c r="AB37" s="97">
        <v>11.752805672055828</v>
      </c>
      <c r="AC37" s="97">
        <v>231.98077117498872</v>
      </c>
      <c r="AD37" s="97">
        <v>126.39898877929572</v>
      </c>
      <c r="AE37" s="97">
        <v>241.87537816535266</v>
      </c>
      <c r="AF37" s="97">
        <v>223.3461277805159</v>
      </c>
      <c r="AG37" s="97">
        <v>86.655446547849735</v>
      </c>
      <c r="AH37" s="97">
        <v>19172.248720368072</v>
      </c>
      <c r="AI37" s="97">
        <v>126.38053363060938</v>
      </c>
      <c r="AJ37" s="97">
        <v>19636.218550757279</v>
      </c>
      <c r="AK37" s="97">
        <v>19766.539450648528</v>
      </c>
      <c r="AL37" s="97">
        <v>130.32089989124799</v>
      </c>
      <c r="AM37" s="97">
        <v>19298.629253998679</v>
      </c>
    </row>
    <row r="38" spans="1:39" x14ac:dyDescent="0.25">
      <c r="A38" s="97">
        <v>36</v>
      </c>
      <c r="B38" s="97">
        <v>2.7500000000000002E-4</v>
      </c>
      <c r="C38" s="97">
        <v>897.09001841584052</v>
      </c>
      <c r="D38" s="97">
        <v>1390.9990422231674</v>
      </c>
      <c r="E38" s="97">
        <v>921.83342421315251</v>
      </c>
      <c r="F38" s="97">
        <v>1298.596404686672</v>
      </c>
      <c r="G38" s="97">
        <v>4631.4742658399546</v>
      </c>
      <c r="H38" s="97">
        <v>5448.260582362399</v>
      </c>
      <c r="I38" s="97">
        <v>48</v>
      </c>
      <c r="J38" s="97">
        <v>45</v>
      </c>
      <c r="K38" s="97">
        <v>4886.1503003049447</v>
      </c>
      <c r="L38" s="97">
        <v>7576.3081166421844</v>
      </c>
      <c r="M38" s="97">
        <v>5020.9193838809706</v>
      </c>
      <c r="N38" s="97">
        <v>6608.773536184588</v>
      </c>
      <c r="O38" s="97">
        <v>75076.197849265664</v>
      </c>
      <c r="P38" s="97">
        <v>111430.73580672743</v>
      </c>
      <c r="Q38" s="97">
        <v>10221.864560394017</v>
      </c>
      <c r="R38" s="97">
        <v>220820.94955339981</v>
      </c>
      <c r="S38" s="97">
        <v>6347801.7828965262</v>
      </c>
      <c r="T38" s="97">
        <v>5845087.7641512603</v>
      </c>
      <c r="U38" s="45">
        <v>0</v>
      </c>
      <c r="V38">
        <v>0</v>
      </c>
      <c r="W38">
        <v>2.7500000000000002E-4</v>
      </c>
      <c r="X38" s="97">
        <v>5448.260582362399</v>
      </c>
      <c r="Y38" s="97">
        <v>15.357268543643928</v>
      </c>
      <c r="Z38" s="97">
        <v>570.91937609037507</v>
      </c>
      <c r="AA38" s="97">
        <v>168.10489147104903</v>
      </c>
      <c r="AB38" s="97">
        <v>11.726911652760966</v>
      </c>
      <c r="AC38" s="97">
        <v>240.00152316421313</v>
      </c>
      <c r="AD38" s="97">
        <v>128.42345072421656</v>
      </c>
      <c r="AE38" s="97">
        <v>249.66622672137029</v>
      </c>
      <c r="AF38" s="97">
        <v>234.15678314682626</v>
      </c>
      <c r="AG38" s="97">
        <v>89.320196114909436</v>
      </c>
      <c r="AH38" s="97">
        <v>27849.703709143232</v>
      </c>
      <c r="AI38" s="97">
        <v>225.81717364299129</v>
      </c>
      <c r="AJ38" s="97">
        <v>29203.112675881894</v>
      </c>
      <c r="AK38" s="97">
        <v>29443.062471386795</v>
      </c>
      <c r="AL38" s="97">
        <v>239.94979550489904</v>
      </c>
      <c r="AM38" s="97">
        <v>28075.520882786223</v>
      </c>
    </row>
    <row r="39" spans="1:39" x14ac:dyDescent="0.25">
      <c r="A39" s="97">
        <v>37</v>
      </c>
      <c r="B39" s="97">
        <v>3.0083333333333335E-4</v>
      </c>
      <c r="C39" s="97">
        <v>887.56612324680282</v>
      </c>
      <c r="D39" s="97">
        <v>1389.5756112977222</v>
      </c>
      <c r="E39" s="97">
        <v>922.04712946939958</v>
      </c>
      <c r="F39" s="97">
        <v>1294.6991416298358</v>
      </c>
      <c r="G39" s="97">
        <v>4622.5889116257704</v>
      </c>
      <c r="H39" s="97">
        <v>5461.5351534915344</v>
      </c>
      <c r="I39" s="97">
        <v>48</v>
      </c>
      <c r="J39" s="97">
        <v>45</v>
      </c>
      <c r="K39" s="97">
        <v>4834.2768179509194</v>
      </c>
      <c r="L39" s="97">
        <v>7568.5551628682597</v>
      </c>
      <c r="M39" s="97">
        <v>5022.0833651766625</v>
      </c>
      <c r="N39" s="97">
        <v>6588.9397149445058</v>
      </c>
      <c r="O39" s="97">
        <v>74932.166257453748</v>
      </c>
      <c r="P39" s="97">
        <v>113522.9870305743</v>
      </c>
      <c r="Q39" s="97">
        <v>10378.211821603496</v>
      </c>
      <c r="R39" s="97">
        <v>222847.22017057188</v>
      </c>
      <c r="S39" s="97">
        <v>6570649.0030670976</v>
      </c>
      <c r="T39" s="97">
        <v>6036157.8017479982</v>
      </c>
      <c r="U39" s="45">
        <v>0</v>
      </c>
      <c r="V39">
        <v>0</v>
      </c>
      <c r="W39">
        <v>3.0083333333333335E-4</v>
      </c>
      <c r="X39" s="97">
        <v>5461.5351534915344</v>
      </c>
      <c r="Y39" s="97">
        <v>15.3282518069432</v>
      </c>
      <c r="Z39" s="97">
        <v>586.24762789731824</v>
      </c>
      <c r="AA39" s="97">
        <v>167.90253171133605</v>
      </c>
      <c r="AB39" s="97">
        <v>11.705567795859256</v>
      </c>
      <c r="AC39" s="97">
        <v>247.86659051800834</v>
      </c>
      <c r="AD39" s="97">
        <v>130.38773568193349</v>
      </c>
      <c r="AE39" s="97">
        <v>257.49257288687386</v>
      </c>
      <c r="AF39" s="97">
        <v>245.13500802887816</v>
      </c>
      <c r="AG39" s="97">
        <v>92.231216790314861</v>
      </c>
      <c r="AH39" s="97">
        <v>27849.703709143232</v>
      </c>
      <c r="AI39" s="97">
        <v>225.81717364299129</v>
      </c>
      <c r="AJ39" s="97">
        <v>29203.112675881894</v>
      </c>
      <c r="AK39" s="97">
        <v>29443.062471386795</v>
      </c>
      <c r="AL39" s="97">
        <v>239.94979550489904</v>
      </c>
      <c r="AM39" s="97">
        <v>28075.520882786223</v>
      </c>
    </row>
    <row r="40" spans="1:39" x14ac:dyDescent="0.25">
      <c r="A40" s="97">
        <v>38</v>
      </c>
      <c r="B40" s="97">
        <v>3.0083333333333335E-4</v>
      </c>
      <c r="C40" s="97">
        <v>878.14333786310306</v>
      </c>
      <c r="D40" s="97">
        <v>1388.0648620940497</v>
      </c>
      <c r="E40" s="97">
        <v>922.24800777706594</v>
      </c>
      <c r="F40" s="97">
        <v>1290.8451542514115</v>
      </c>
      <c r="G40" s="97">
        <v>4613.70623183098</v>
      </c>
      <c r="H40" s="97">
        <v>5474.7698858413005</v>
      </c>
      <c r="I40" s="97">
        <v>48</v>
      </c>
      <c r="J40" s="97">
        <v>45</v>
      </c>
      <c r="K40" s="97">
        <v>4782.9540468943678</v>
      </c>
      <c r="L40" s="97">
        <v>7560.3266155389238</v>
      </c>
      <c r="M40" s="97">
        <v>5023.1774823590858</v>
      </c>
      <c r="N40" s="97">
        <v>6569.3261308444744</v>
      </c>
      <c r="O40" s="97">
        <v>74788.178017980186</v>
      </c>
      <c r="P40" s="97">
        <v>115574.10181161184</v>
      </c>
      <c r="Q40" s="97">
        <v>10530.1607752248</v>
      </c>
      <c r="R40" s="97">
        <v>224828.22488045366</v>
      </c>
      <c r="S40" s="97">
        <v>6795477.2279475518</v>
      </c>
      <c r="T40" s="97">
        <v>6228126.4906333573</v>
      </c>
      <c r="U40" s="45">
        <v>0</v>
      </c>
      <c r="V40">
        <v>0</v>
      </c>
      <c r="W40">
        <v>3.0083333333333335E-4</v>
      </c>
      <c r="X40" s="97">
        <v>5474.7698858413005</v>
      </c>
      <c r="Y40" s="97">
        <v>15.298844983333396</v>
      </c>
      <c r="Z40" s="97">
        <v>601.54647288065166</v>
      </c>
      <c r="AA40" s="97">
        <v>167.69700756379225</v>
      </c>
      <c r="AB40" s="97">
        <v>11.683929836080766</v>
      </c>
      <c r="AC40" s="97">
        <v>255.58416323307205</v>
      </c>
      <c r="AD40" s="97">
        <v>132.29676204817892</v>
      </c>
      <c r="AE40" s="97">
        <v>265.35332289083391</v>
      </c>
      <c r="AF40" s="97">
        <v>256.27641422066637</v>
      </c>
      <c r="AG40" s="97">
        <v>95.138059117681763</v>
      </c>
      <c r="AH40" s="97">
        <v>27849.703709143232</v>
      </c>
      <c r="AI40" s="97">
        <v>225.81717364299129</v>
      </c>
      <c r="AJ40" s="97">
        <v>29203.112675881894</v>
      </c>
      <c r="AK40" s="97">
        <v>29443.062471386795</v>
      </c>
      <c r="AL40" s="97">
        <v>239.94979550489904</v>
      </c>
      <c r="AM40" s="97">
        <v>28075.520882786223</v>
      </c>
    </row>
    <row r="41" spans="1:39" x14ac:dyDescent="0.25">
      <c r="A41" s="97">
        <v>39</v>
      </c>
      <c r="B41" s="97">
        <v>3.0083333333333335E-4</v>
      </c>
      <c r="C41" s="97">
        <v>868.82058883958177</v>
      </c>
      <c r="D41" s="97">
        <v>1386.4685078841874</v>
      </c>
      <c r="E41" s="97">
        <v>922.43555491654092</v>
      </c>
      <c r="F41" s="97">
        <v>1287.0338512405888</v>
      </c>
      <c r="G41" s="97">
        <v>4604.8266560340617</v>
      </c>
      <c r="H41" s="97">
        <v>5487.9652217863013</v>
      </c>
      <c r="I41" s="97">
        <v>48</v>
      </c>
      <c r="J41" s="97">
        <v>45</v>
      </c>
      <c r="K41" s="97">
        <v>4732.1761405462548</v>
      </c>
      <c r="L41" s="97">
        <v>7551.6318062758737</v>
      </c>
      <c r="M41" s="97">
        <v>5024.1989891120929</v>
      </c>
      <c r="N41" s="97">
        <v>6549.9297746052298</v>
      </c>
      <c r="O41" s="97">
        <v>74644.240094312147</v>
      </c>
      <c r="P41" s="97">
        <v>117584.74666505589</v>
      </c>
      <c r="Q41" s="97">
        <v>10677.842270188936</v>
      </c>
      <c r="R41" s="97">
        <v>226764.76574009642</v>
      </c>
      <c r="S41" s="97">
        <v>7022241.9936876483</v>
      </c>
      <c r="T41" s="97">
        <v>6420945.2756535243</v>
      </c>
      <c r="U41" s="45">
        <v>0</v>
      </c>
      <c r="V41">
        <v>0</v>
      </c>
      <c r="W41">
        <v>3.0083333333333335E-4</v>
      </c>
      <c r="X41" s="97">
        <v>5487.9652217863013</v>
      </c>
      <c r="Y41" s="97">
        <v>15.269447010938466</v>
      </c>
      <c r="Z41" s="97">
        <v>616.81591989159017</v>
      </c>
      <c r="AA41" s="97">
        <v>167.48840873278064</v>
      </c>
      <c r="AB41" s="97">
        <v>11.662283025353863</v>
      </c>
      <c r="AC41" s="97">
        <v>263.15659266524858</v>
      </c>
      <c r="AD41" s="97">
        <v>134.15217375700655</v>
      </c>
      <c r="AE41" s="97">
        <v>273.24759831454355</v>
      </c>
      <c r="AF41" s="97">
        <v>267.576990666386</v>
      </c>
      <c r="AG41" s="97">
        <v>98.04067526361915</v>
      </c>
      <c r="AH41" s="97">
        <v>27849.703709143232</v>
      </c>
      <c r="AI41" s="97">
        <v>225.81717364299129</v>
      </c>
      <c r="AJ41" s="97">
        <v>29203.112675881894</v>
      </c>
      <c r="AK41" s="97">
        <v>29443.062471386795</v>
      </c>
      <c r="AL41" s="97">
        <v>239.94979550489904</v>
      </c>
      <c r="AM41" s="97">
        <v>28075.520882786223</v>
      </c>
    </row>
    <row r="42" spans="1:39" x14ac:dyDescent="0.25">
      <c r="A42" s="97">
        <v>40</v>
      </c>
      <c r="B42" s="97">
        <v>3.0083333333333335E-4</v>
      </c>
      <c r="C42" s="97">
        <v>859.59681414702459</v>
      </c>
      <c r="D42" s="97">
        <v>1384.7882377158978</v>
      </c>
      <c r="E42" s="97">
        <v>922.60928479857535</v>
      </c>
      <c r="F42" s="97">
        <v>1283.2646421661352</v>
      </c>
      <c r="G42" s="97">
        <v>4595.9506057135914</v>
      </c>
      <c r="H42" s="97">
        <v>5501.1215976566173</v>
      </c>
      <c r="I42" s="97">
        <v>48</v>
      </c>
      <c r="J42" s="97">
        <v>45</v>
      </c>
      <c r="K42" s="97">
        <v>4681.93731438746</v>
      </c>
      <c r="L42" s="97">
        <v>7542.4799347592561</v>
      </c>
      <c r="M42" s="97">
        <v>5025.1452378695731</v>
      </c>
      <c r="N42" s="97">
        <v>6530.7476414238226</v>
      </c>
      <c r="O42" s="97">
        <v>74500.359318617324</v>
      </c>
      <c r="P42" s="97">
        <v>119555.57766337346</v>
      </c>
      <c r="Q42" s="97">
        <v>10821.382359696159</v>
      </c>
      <c r="R42" s="97">
        <v>228657.62947012705</v>
      </c>
      <c r="S42" s="97">
        <v>7250899.623157775</v>
      </c>
      <c r="T42" s="97">
        <v>6614566.8121835347</v>
      </c>
      <c r="U42" s="45">
        <v>0</v>
      </c>
      <c r="V42">
        <v>0</v>
      </c>
      <c r="W42">
        <v>3.0083333333333335E-4</v>
      </c>
      <c r="X42" s="97">
        <v>5501.1215976566173</v>
      </c>
      <c r="Y42" s="97">
        <v>15.240059311484345</v>
      </c>
      <c r="Z42" s="97">
        <v>632.05597920307446</v>
      </c>
      <c r="AA42" s="97">
        <v>167.27682299503439</v>
      </c>
      <c r="AB42" s="97">
        <v>11.640628671909134</v>
      </c>
      <c r="AC42" s="97">
        <v>270.58619385225524</v>
      </c>
      <c r="AD42" s="97">
        <v>135.95555449081172</v>
      </c>
      <c r="AE42" s="97">
        <v>281.17453552721935</v>
      </c>
      <c r="AF42" s="97">
        <v>279.03282550489081</v>
      </c>
      <c r="AG42" s="97">
        <v>100.93901861578522</v>
      </c>
      <c r="AH42" s="97">
        <v>27849.703709143232</v>
      </c>
      <c r="AI42" s="97">
        <v>225.81717364299129</v>
      </c>
      <c r="AJ42" s="97">
        <v>29203.112675881894</v>
      </c>
      <c r="AK42" s="97">
        <v>29443.062471386795</v>
      </c>
      <c r="AL42" s="97">
        <v>239.94979550489904</v>
      </c>
      <c r="AM42" s="97">
        <v>28075.520882786223</v>
      </c>
    </row>
    <row r="43" spans="1:39" x14ac:dyDescent="0.25">
      <c r="A43" s="97">
        <v>41</v>
      </c>
      <c r="B43" s="97">
        <v>3.0083333333333335E-4</v>
      </c>
      <c r="C43" s="97">
        <v>850.47096303117803</v>
      </c>
      <c r="D43" s="97">
        <v>1383.0257167161722</v>
      </c>
      <c r="E43" s="97">
        <v>922.76872908805285</v>
      </c>
      <c r="F43" s="97">
        <v>1279.5369376592539</v>
      </c>
      <c r="G43" s="97">
        <v>4587.078494295989</v>
      </c>
      <c r="H43" s="97">
        <v>5514.2394437467956</v>
      </c>
      <c r="I43" s="97">
        <v>48</v>
      </c>
      <c r="J43" s="97">
        <v>45</v>
      </c>
      <c r="K43" s="97">
        <v>4632.231845309816</v>
      </c>
      <c r="L43" s="97">
        <v>7532.8800703807501</v>
      </c>
      <c r="M43" s="97">
        <v>5026.013677766261</v>
      </c>
      <c r="N43" s="97">
        <v>6511.7767319042196</v>
      </c>
      <c r="O43" s="97">
        <v>74356.542392537987</v>
      </c>
      <c r="P43" s="97">
        <v>121487.24059962135</v>
      </c>
      <c r="Q43" s="97">
        <v>10960.902501554001</v>
      </c>
      <c r="R43" s="97">
        <v>230507.5878190744</v>
      </c>
      <c r="S43" s="97">
        <v>7481407.2109768493</v>
      </c>
      <c r="T43" s="97">
        <v>6808944.9381126165</v>
      </c>
      <c r="U43" s="45">
        <v>0</v>
      </c>
      <c r="V43">
        <v>0</v>
      </c>
      <c r="W43">
        <v>3.0083333333333335E-4</v>
      </c>
      <c r="X43" s="97">
        <v>5514.2394437467956</v>
      </c>
      <c r="Y43" s="97">
        <v>15.210683279889663</v>
      </c>
      <c r="Z43" s="97">
        <v>647.26666248296408</v>
      </c>
      <c r="AA43" s="97">
        <v>167.0623362376183</v>
      </c>
      <c r="AB43" s="97">
        <v>11.618968063069602</v>
      </c>
      <c r="AC43" s="97">
        <v>277.87524607393669</v>
      </c>
      <c r="AD43" s="97">
        <v>137.70843019729884</v>
      </c>
      <c r="AE43" s="97">
        <v>289.13328545270082</v>
      </c>
      <c r="AF43" s="97">
        <v>290.64010294782264</v>
      </c>
      <c r="AG43" s="97">
        <v>103.83304375267892</v>
      </c>
      <c r="AH43" s="97">
        <v>27849.703709143232</v>
      </c>
      <c r="AI43" s="97">
        <v>225.81717364299129</v>
      </c>
      <c r="AJ43" s="97">
        <v>29203.112675881894</v>
      </c>
      <c r="AK43" s="97">
        <v>29443.062471386795</v>
      </c>
      <c r="AL43" s="97">
        <v>239.94979550489904</v>
      </c>
      <c r="AM43" s="97">
        <v>28075.520882786223</v>
      </c>
    </row>
    <row r="44" spans="1:39" x14ac:dyDescent="0.25">
      <c r="A44" s="97">
        <v>42</v>
      </c>
      <c r="B44" s="97">
        <v>3.0083333333333335E-4</v>
      </c>
      <c r="C44" s="97">
        <v>841.44199589304981</v>
      </c>
      <c r="D44" s="97">
        <v>1381.1825863911567</v>
      </c>
      <c r="E44" s="97">
        <v>922.91343683409991</v>
      </c>
      <c r="F44" s="97">
        <v>1275.85014959053</v>
      </c>
      <c r="G44" s="97">
        <v>4578.2107272049088</v>
      </c>
      <c r="H44" s="97">
        <v>5527.3191843267123</v>
      </c>
      <c r="I44" s="97">
        <v>48</v>
      </c>
      <c r="J44" s="97">
        <v>45</v>
      </c>
      <c r="K44" s="97">
        <v>4583.0540709641446</v>
      </c>
      <c r="L44" s="97">
        <v>7522.841153877167</v>
      </c>
      <c r="M44" s="97">
        <v>5026.8018526230635</v>
      </c>
      <c r="N44" s="97">
        <v>6493.0140529578057</v>
      </c>
      <c r="O44" s="97">
        <v>74212.795887991582</v>
      </c>
      <c r="P44" s="97">
        <v>123380.37114814462</v>
      </c>
      <c r="Q44" s="97">
        <v>11096.519749653684</v>
      </c>
      <c r="R44" s="97">
        <v>232315.39791621207</v>
      </c>
      <c r="S44" s="97">
        <v>7713722.6088930611</v>
      </c>
      <c r="T44" s="97">
        <v>7004034.6465317551</v>
      </c>
      <c r="U44" s="45">
        <v>0</v>
      </c>
      <c r="V44">
        <v>0</v>
      </c>
      <c r="W44">
        <v>3.0083333333333335E-4</v>
      </c>
      <c r="X44" s="97">
        <v>5527.3191843267123</v>
      </c>
      <c r="Y44" s="97">
        <v>15.181320284423769</v>
      </c>
      <c r="Z44" s="97">
        <v>662.44798276738788</v>
      </c>
      <c r="AA44" s="97">
        <v>166.84503249513261</v>
      </c>
      <c r="AB44" s="97">
        <v>11.597302465302565</v>
      </c>
      <c r="AC44" s="97">
        <v>285.02599340360609</v>
      </c>
      <c r="AD44" s="97">
        <v>139.41227149511508</v>
      </c>
      <c r="AE44" s="97">
        <v>297.12301333970646</v>
      </c>
      <c r="AF44" s="97">
        <v>302.39510027802277</v>
      </c>
      <c r="AG44" s="97">
        <v>106.72270641437986</v>
      </c>
      <c r="AH44" s="97">
        <v>27849.703709143232</v>
      </c>
      <c r="AI44" s="97">
        <v>225.81717364299129</v>
      </c>
      <c r="AJ44" s="97">
        <v>29203.112675881894</v>
      </c>
      <c r="AK44" s="97">
        <v>29443.062471386795</v>
      </c>
      <c r="AL44" s="97">
        <v>239.94979550489904</v>
      </c>
      <c r="AM44" s="97">
        <v>28075.520882786223</v>
      </c>
    </row>
    <row r="45" spans="1:39" x14ac:dyDescent="0.25">
      <c r="A45" s="97">
        <v>43</v>
      </c>
      <c r="B45" s="97">
        <v>3.0083333333333335E-4</v>
      </c>
      <c r="C45" s="97">
        <v>832.50888417047963</v>
      </c>
      <c r="D45" s="97">
        <v>1379.2604649225418</v>
      </c>
      <c r="E45" s="97">
        <v>923.04297410643812</v>
      </c>
      <c r="F45" s="97">
        <v>1272.203691241097</v>
      </c>
      <c r="G45" s="97">
        <v>4569.3477019121938</v>
      </c>
      <c r="H45" s="97">
        <v>5540.3612376542387</v>
      </c>
      <c r="I45" s="97">
        <v>48</v>
      </c>
      <c r="J45" s="97">
        <v>45</v>
      </c>
      <c r="K45" s="97">
        <v>4534.398389115212</v>
      </c>
      <c r="L45" s="97">
        <v>7512.3719989447773</v>
      </c>
      <c r="M45" s="97">
        <v>5027.5073989663997</v>
      </c>
      <c r="N45" s="97">
        <v>6474.4566186744823</v>
      </c>
      <c r="O45" s="97">
        <v>74069.126247996668</v>
      </c>
      <c r="P45" s="97">
        <v>125235.59502267932</v>
      </c>
      <c r="Q45" s="97">
        <v>11228.346936985054</v>
      </c>
      <c r="R45" s="97">
        <v>234081.80261336191</v>
      </c>
      <c r="S45" s="97">
        <v>7947804.4115064228</v>
      </c>
      <c r="T45" s="97">
        <v>7199792.0591024766</v>
      </c>
      <c r="U45" s="45">
        <v>0</v>
      </c>
      <c r="V45">
        <v>0</v>
      </c>
      <c r="W45">
        <v>3.0083333333333335E-4</v>
      </c>
      <c r="X45" s="97">
        <v>5540.3612376542387</v>
      </c>
      <c r="Y45" s="97">
        <v>15.151971666870185</v>
      </c>
      <c r="Z45" s="97">
        <v>677.59995443425805</v>
      </c>
      <c r="AA45" s="97">
        <v>166.62499398617533</v>
      </c>
      <c r="AB45" s="97">
        <v>11.575633124277907</v>
      </c>
      <c r="AC45" s="97">
        <v>292.04064525062216</v>
      </c>
      <c r="AD45" s="97">
        <v>141.06849597317739</v>
      </c>
      <c r="AE45" s="97">
        <v>305.14289853559148</v>
      </c>
      <c r="AF45" s="97">
        <v>314.29418496307613</v>
      </c>
      <c r="AG45" s="97">
        <v>109.60796347419989</v>
      </c>
      <c r="AH45" s="97">
        <v>27849.703709143232</v>
      </c>
      <c r="AI45" s="97">
        <v>225.81717364299129</v>
      </c>
      <c r="AJ45" s="97">
        <v>29203.112675881894</v>
      </c>
      <c r="AK45" s="97">
        <v>29443.062471386795</v>
      </c>
      <c r="AL45" s="97">
        <v>239.94979550489904</v>
      </c>
      <c r="AM45" s="97">
        <v>28075.520882786223</v>
      </c>
    </row>
    <row r="46" spans="1:39" x14ac:dyDescent="0.25">
      <c r="A46" s="97">
        <v>44</v>
      </c>
      <c r="B46" s="97">
        <v>3.0083333333333335E-4</v>
      </c>
      <c r="C46" s="97">
        <v>823.67061022096743</v>
      </c>
      <c r="D46" s="97">
        <v>1377.2609474604546</v>
      </c>
      <c r="E46" s="97">
        <v>923.1569236378856</v>
      </c>
      <c r="F46" s="97">
        <v>1268.5969774681473</v>
      </c>
      <c r="G46" s="97">
        <v>4560.4898079903469</v>
      </c>
      <c r="H46" s="97">
        <v>5553.3660159896626</v>
      </c>
      <c r="I46" s="97">
        <v>48</v>
      </c>
      <c r="J46" s="97">
        <v>45</v>
      </c>
      <c r="K46" s="97">
        <v>4486.2592570035358</v>
      </c>
      <c r="L46" s="97">
        <v>7501.4812938346095</v>
      </c>
      <c r="M46" s="97">
        <v>5028.1280440810169</v>
      </c>
      <c r="N46" s="97">
        <v>6456.1014511649792</v>
      </c>
      <c r="O46" s="97">
        <v>73925.539787523521</v>
      </c>
      <c r="P46" s="97">
        <v>127053.52813190424</v>
      </c>
      <c r="Q46" s="97">
        <v>11356.492850571989</v>
      </c>
      <c r="R46" s="97">
        <v>235807.53081608389</v>
      </c>
      <c r="S46" s="97">
        <v>8183611.9423225066</v>
      </c>
      <c r="T46" s="97">
        <v>7396174.4000866255</v>
      </c>
      <c r="U46" s="45">
        <v>0</v>
      </c>
      <c r="V46">
        <v>0</v>
      </c>
      <c r="W46">
        <v>3.0083333333333335E-4</v>
      </c>
      <c r="X46" s="97">
        <v>5553.3660159896626</v>
      </c>
      <c r="Y46" s="97">
        <v>15.122638742695251</v>
      </c>
      <c r="Z46" s="97">
        <v>692.7225931769533</v>
      </c>
      <c r="AA46" s="97">
        <v>166.40230114907919</v>
      </c>
      <c r="AB46" s="97">
        <v>11.553961264932573</v>
      </c>
      <c r="AC46" s="97">
        <v>298.92137689434821</v>
      </c>
      <c r="AD46" s="97">
        <v>142.6784703884916</v>
      </c>
      <c r="AE46" s="97">
        <v>313.19213426355344</v>
      </c>
      <c r="AF46" s="97">
        <v>326.33381187906923</v>
      </c>
      <c r="AG46" s="97">
        <v>112.48877291121168</v>
      </c>
      <c r="AH46" s="97">
        <v>27849.703709143232</v>
      </c>
      <c r="AI46" s="97">
        <v>225.81717364299129</v>
      </c>
      <c r="AJ46" s="97">
        <v>29203.112675881894</v>
      </c>
      <c r="AK46" s="97">
        <v>29443.062471386795</v>
      </c>
      <c r="AL46" s="97">
        <v>239.94979550489904</v>
      </c>
      <c r="AM46" s="97">
        <v>28075.520882786223</v>
      </c>
    </row>
    <row r="47" spans="1:39" x14ac:dyDescent="0.25">
      <c r="A47" s="97">
        <v>45</v>
      </c>
      <c r="B47" s="97">
        <v>3.0083333333333335E-4</v>
      </c>
      <c r="C47" s="97">
        <v>814.9261672057454</v>
      </c>
      <c r="D47" s="97">
        <v>1375.1856064128945</v>
      </c>
      <c r="E47" s="97">
        <v>923.25488447291366</v>
      </c>
      <c r="F47" s="97">
        <v>1265.0294248649136</v>
      </c>
      <c r="G47" s="97">
        <v>4551.6374271664317</v>
      </c>
      <c r="H47" s="97">
        <v>5566.3339256117988</v>
      </c>
      <c r="I47" s="97">
        <v>48</v>
      </c>
      <c r="J47" s="97">
        <v>45</v>
      </c>
      <c r="K47" s="97">
        <v>4438.6311907139598</v>
      </c>
      <c r="L47" s="97">
        <v>7490.1776029288976</v>
      </c>
      <c r="M47" s="97">
        <v>5028.6616040958024</v>
      </c>
      <c r="N47" s="97">
        <v>6437.9455813750228</v>
      </c>
      <c r="O47" s="97">
        <v>73782.042694367861</v>
      </c>
      <c r="P47" s="97">
        <v>128834.77673248496</v>
      </c>
      <c r="Q47" s="97">
        <v>11481.062398692888</v>
      </c>
      <c r="R47" s="97">
        <v>237493.29780465938</v>
      </c>
      <c r="S47" s="97">
        <v>8421105.2401271667</v>
      </c>
      <c r="T47" s="97">
        <v>7593139.9710176298</v>
      </c>
      <c r="U47" s="45">
        <v>0</v>
      </c>
      <c r="V47">
        <v>0</v>
      </c>
      <c r="W47">
        <v>3.0083333333333335E-4</v>
      </c>
      <c r="X47" s="97">
        <v>5566.3339256117988</v>
      </c>
      <c r="Y47" s="97">
        <v>15.093322801221777</v>
      </c>
      <c r="Z47" s="97">
        <v>707.8159159781751</v>
      </c>
      <c r="AA47" s="97">
        <v>166.17703267693855</v>
      </c>
      <c r="AB47" s="97">
        <v>11.532288091541089</v>
      </c>
      <c r="AC47" s="97">
        <v>305.67033000963727</v>
      </c>
      <c r="AD47" s="97">
        <v>144.24351276704425</v>
      </c>
      <c r="AE47" s="97">
        <v>321.26992740323323</v>
      </c>
      <c r="AF47" s="97">
        <v>338.51052063986214</v>
      </c>
      <c r="AG47" s="97">
        <v>115.36509378362061</v>
      </c>
      <c r="AH47" s="97">
        <v>27849.703709143232</v>
      </c>
      <c r="AI47" s="97">
        <v>225.81717364299129</v>
      </c>
      <c r="AJ47" s="97">
        <v>29203.112675881894</v>
      </c>
      <c r="AK47" s="97">
        <v>29443.062471386795</v>
      </c>
      <c r="AL47" s="97">
        <v>239.94979550489904</v>
      </c>
      <c r="AM47" s="97">
        <v>28075.520882786223</v>
      </c>
    </row>
    <row r="48" spans="1:39" x14ac:dyDescent="0.25">
      <c r="A48" s="97">
        <v>46</v>
      </c>
      <c r="B48" s="97">
        <v>3.0083333333333335E-4</v>
      </c>
      <c r="C48" s="97">
        <v>806.27455897508128</v>
      </c>
      <c r="D48" s="97">
        <v>1373.0359917317508</v>
      </c>
      <c r="E48" s="97">
        <v>923.33647162216846</v>
      </c>
      <c r="F48" s="97">
        <v>1261.5004519152424</v>
      </c>
      <c r="G48" s="97">
        <v>4542.7909333773614</v>
      </c>
      <c r="H48" s="97">
        <v>5579.2653668357334</v>
      </c>
      <c r="I48" s="97">
        <v>48</v>
      </c>
      <c r="J48" s="97">
        <v>45</v>
      </c>
      <c r="K48" s="97">
        <v>4391.508764550942</v>
      </c>
      <c r="L48" s="97">
        <v>7478.4693682989355</v>
      </c>
      <c r="M48" s="97">
        <v>5029.1059821020772</v>
      </c>
      <c r="N48" s="97">
        <v>6419.9860498719872</v>
      </c>
      <c r="O48" s="97">
        <v>73638.641030047031</v>
      </c>
      <c r="P48" s="97">
        <v>130579.93757965311</v>
      </c>
      <c r="Q48" s="97">
        <v>11602.156770734233</v>
      </c>
      <c r="R48" s="97">
        <v>239139.80554525831</v>
      </c>
      <c r="S48" s="97">
        <v>8660245.0456724241</v>
      </c>
      <c r="T48" s="97">
        <v>7790648.1259944746</v>
      </c>
      <c r="U48" s="45">
        <v>0</v>
      </c>
      <c r="V48">
        <v>0</v>
      </c>
      <c r="W48">
        <v>3.0083333333333335E-4</v>
      </c>
      <c r="X48" s="97">
        <v>5579.2653668357334</v>
      </c>
      <c r="Y48" s="97">
        <v>15.06402510580744</v>
      </c>
      <c r="Z48" s="97">
        <v>722.87994108398254</v>
      </c>
      <c r="AA48" s="97">
        <v>165.94926555194141</v>
      </c>
      <c r="AB48" s="97">
        <v>11.510614787791807</v>
      </c>
      <c r="AC48" s="97">
        <v>312.2896131839849</v>
      </c>
      <c r="AD48" s="97">
        <v>145.76489441213937</v>
      </c>
      <c r="AE48" s="97">
        <v>329.37549827465881</v>
      </c>
      <c r="AF48" s="97">
        <v>350.82093302738389</v>
      </c>
      <c r="AG48" s="97">
        <v>118.23688620294821</v>
      </c>
      <c r="AH48" s="97">
        <v>27849.703709143232</v>
      </c>
      <c r="AI48" s="97">
        <v>225.81717364299129</v>
      </c>
      <c r="AJ48" s="97">
        <v>29203.112675881894</v>
      </c>
      <c r="AK48" s="97">
        <v>29443.062471386795</v>
      </c>
      <c r="AL48" s="97">
        <v>239.94979550489904</v>
      </c>
      <c r="AM48" s="97">
        <v>28075.520882786223</v>
      </c>
    </row>
    <row r="49" spans="1:39" x14ac:dyDescent="0.25">
      <c r="A49" s="97">
        <v>47</v>
      </c>
      <c r="B49" s="97">
        <v>3.0083333333333335E-4</v>
      </c>
      <c r="C49" s="97">
        <v>797.71479995479842</v>
      </c>
      <c r="D49" s="97">
        <v>1370.8136311954422</v>
      </c>
      <c r="E49" s="97">
        <v>923.40131572286646</v>
      </c>
      <c r="F49" s="97">
        <v>1258.0094791428805</v>
      </c>
      <c r="G49" s="97">
        <v>4533.9506928264937</v>
      </c>
      <c r="H49" s="97">
        <v>5592.1607340321534</v>
      </c>
      <c r="I49" s="97">
        <v>48</v>
      </c>
      <c r="J49" s="97">
        <v>45</v>
      </c>
      <c r="K49" s="97">
        <v>4344.8866104204681</v>
      </c>
      <c r="L49" s="97">
        <v>7466.3649112445082</v>
      </c>
      <c r="M49" s="97">
        <v>5029.4591663038791</v>
      </c>
      <c r="N49" s="97">
        <v>6402.2199076046427</v>
      </c>
      <c r="O49" s="97">
        <v>73495.340730717464</v>
      </c>
      <c r="P49" s="97">
        <v>132289.59807536265</v>
      </c>
      <c r="Q49" s="97">
        <v>11719.87359000946</v>
      </c>
      <c r="R49" s="97">
        <v>240747.74299166308</v>
      </c>
      <c r="S49" s="97">
        <v>8900992.7886640877</v>
      </c>
      <c r="T49" s="97">
        <v>7988659.2475802619</v>
      </c>
      <c r="U49" s="45">
        <v>0</v>
      </c>
      <c r="V49">
        <v>0</v>
      </c>
      <c r="W49">
        <v>3.0083333333333335E-4</v>
      </c>
      <c r="X49" s="97">
        <v>5592.1607340321534</v>
      </c>
      <c r="Y49" s="97">
        <v>15.034746894027753</v>
      </c>
      <c r="Z49" s="97">
        <v>737.91468797801031</v>
      </c>
      <c r="AA49" s="97">
        <v>165.71907507902134</v>
      </c>
      <c r="AB49" s="97">
        <v>11.488942516868768</v>
      </c>
      <c r="AC49" s="97">
        <v>318.78130242648803</v>
      </c>
      <c r="AD49" s="97">
        <v>147.24384182435404</v>
      </c>
      <c r="AE49" s="97">
        <v>337.50808042548118</v>
      </c>
      <c r="AF49" s="97">
        <v>363.26175051866073</v>
      </c>
      <c r="AG49" s="97">
        <v>121.10411130899642</v>
      </c>
      <c r="AH49" s="97">
        <v>27849.703709143232</v>
      </c>
      <c r="AI49" s="97">
        <v>225.81717364299129</v>
      </c>
      <c r="AJ49" s="97">
        <v>29203.112675881894</v>
      </c>
      <c r="AK49" s="97">
        <v>29443.062471386795</v>
      </c>
      <c r="AL49" s="97">
        <v>239.94979550489904</v>
      </c>
      <c r="AM49" s="97">
        <v>28075.520882786223</v>
      </c>
    </row>
    <row r="50" spans="1:39" x14ac:dyDescent="0.25">
      <c r="A50" s="97">
        <v>48</v>
      </c>
      <c r="B50" s="97">
        <v>3.0083333333333335E-4</v>
      </c>
      <c r="C50" s="97">
        <v>789.24591503400154</v>
      </c>
      <c r="D50" s="97">
        <v>1368.5200306882157</v>
      </c>
      <c r="E50" s="97">
        <v>923.44906270497529</v>
      </c>
      <c r="F50" s="97">
        <v>1254.555929255592</v>
      </c>
      <c r="G50" s="97">
        <v>4525.1170640414894</v>
      </c>
      <c r="H50" s="97">
        <v>5605.0204156481968</v>
      </c>
      <c r="I50" s="97">
        <v>49</v>
      </c>
      <c r="J50" s="97">
        <v>45</v>
      </c>
      <c r="K50" s="97">
        <v>4298.7594172185281</v>
      </c>
      <c r="L50" s="97">
        <v>7453.8724338151478</v>
      </c>
      <c r="M50" s="97">
        <v>5029.719228199765</v>
      </c>
      <c r="N50" s="97">
        <v>6384.6442166365832</v>
      </c>
      <c r="O50" s="97">
        <v>73352.147608112544</v>
      </c>
      <c r="P50" s="97">
        <v>133964.33641406446</v>
      </c>
      <c r="Q50" s="97">
        <v>11834.307059860173</v>
      </c>
      <c r="R50" s="97">
        <v>242317.78637790721</v>
      </c>
      <c r="S50" s="97">
        <v>9143310.5750419945</v>
      </c>
      <c r="T50" s="97">
        <v>8187134.7232878925</v>
      </c>
      <c r="U50" s="45">
        <v>0</v>
      </c>
      <c r="V50">
        <v>0</v>
      </c>
      <c r="W50">
        <v>3.0083333333333335E-4</v>
      </c>
      <c r="X50" s="97">
        <v>5605.0204156481968</v>
      </c>
      <c r="Y50" s="97">
        <v>15.005489377863389</v>
      </c>
      <c r="Z50" s="97">
        <v>752.92017735587365</v>
      </c>
      <c r="AA50" s="97">
        <v>165.49129567209241</v>
      </c>
      <c r="AB50" s="97">
        <v>11.462511668290391</v>
      </c>
      <c r="AC50" s="97">
        <v>325.14268091549854</v>
      </c>
      <c r="AD50" s="97">
        <v>148.68153853709623</v>
      </c>
      <c r="AE50" s="97">
        <v>345.66692042145127</v>
      </c>
      <c r="AF50" s="97">
        <v>375.82975190547751</v>
      </c>
      <c r="AG50" s="97">
        <v>123.96673124556327</v>
      </c>
      <c r="AH50" s="97">
        <v>35943.905532633296</v>
      </c>
      <c r="AI50" s="97">
        <v>338.2483417080166</v>
      </c>
      <c r="AJ50" s="97">
        <v>38573.163061799583</v>
      </c>
      <c r="AK50" s="97">
        <v>38943.265988235755</v>
      </c>
      <c r="AL50" s="97">
        <v>370.10292643617396</v>
      </c>
      <c r="AM50" s="97">
        <v>36282.153874341311</v>
      </c>
    </row>
    <row r="51" spans="1:39" x14ac:dyDescent="0.25">
      <c r="A51" s="97">
        <v>49</v>
      </c>
      <c r="B51" s="97">
        <v>3.2916666666666668E-4</v>
      </c>
      <c r="C51" s="97">
        <v>780.84457748640114</v>
      </c>
      <c r="D51" s="97">
        <v>1366.1178997419406</v>
      </c>
      <c r="E51" s="97">
        <v>923.45320907298208</v>
      </c>
      <c r="F51" s="97">
        <v>1251.1036815328921</v>
      </c>
      <c r="G51" s="97">
        <v>4516.1621862832126</v>
      </c>
      <c r="H51" s="97">
        <v>5617.844794229778</v>
      </c>
      <c r="I51" s="97">
        <v>49</v>
      </c>
      <c r="J51" s="97">
        <v>45</v>
      </c>
      <c r="K51" s="97">
        <v>4253.0001320425981</v>
      </c>
      <c r="L51" s="97">
        <v>7440.7888272611026</v>
      </c>
      <c r="M51" s="97">
        <v>5029.7418120841758</v>
      </c>
      <c r="N51" s="97">
        <v>6367.0751526011427</v>
      </c>
      <c r="O51" s="97">
        <v>73206.989039650885</v>
      </c>
      <c r="P51" s="97">
        <v>135600.91729316532</v>
      </c>
      <c r="Q51" s="97">
        <v>11945.212797975779</v>
      </c>
      <c r="R51" s="97">
        <v>243843.72505478101</v>
      </c>
      <c r="S51" s="97">
        <v>9387154.3000967763</v>
      </c>
      <c r="T51" s="97">
        <v>8386031.3153391425</v>
      </c>
      <c r="U51" s="45">
        <v>0</v>
      </c>
      <c r="V51">
        <v>0</v>
      </c>
      <c r="W51">
        <v>3.2916666666666668E-4</v>
      </c>
      <c r="X51" s="97">
        <v>5617.844794229778</v>
      </c>
      <c r="Y51" s="97">
        <v>14.976253743891654</v>
      </c>
      <c r="Z51" s="97">
        <v>767.89643109976532</v>
      </c>
      <c r="AA51" s="97">
        <v>165.25643238564948</v>
      </c>
      <c r="AB51" s="97">
        <v>11.440853866184336</v>
      </c>
      <c r="AC51" s="97">
        <v>331.37139455207216</v>
      </c>
      <c r="AD51" s="97">
        <v>150.07491422797636</v>
      </c>
      <c r="AE51" s="97">
        <v>353.85127764008934</v>
      </c>
      <c r="AF51" s="97">
        <v>388.52182314701594</v>
      </c>
      <c r="AG51" s="97">
        <v>127.09388156985939</v>
      </c>
      <c r="AH51" s="97">
        <v>35943.905532633296</v>
      </c>
      <c r="AI51" s="97">
        <v>338.2483417080166</v>
      </c>
      <c r="AJ51" s="97">
        <v>38573.163061799583</v>
      </c>
      <c r="AK51" s="97">
        <v>38943.265988235755</v>
      </c>
      <c r="AL51" s="97">
        <v>370.10292643617396</v>
      </c>
      <c r="AM51" s="97">
        <v>36282.153874341311</v>
      </c>
    </row>
    <row r="52" spans="1:39" x14ac:dyDescent="0.25">
      <c r="A52" s="97">
        <v>50</v>
      </c>
      <c r="B52" s="97">
        <v>3.2916666666666668E-4</v>
      </c>
      <c r="C52" s="97">
        <v>772.53267020539352</v>
      </c>
      <c r="D52" s="97">
        <v>1363.6476110335859</v>
      </c>
      <c r="E52" s="97">
        <v>923.43959377742749</v>
      </c>
      <c r="F52" s="97">
        <v>1247.6879038343984</v>
      </c>
      <c r="G52" s="97">
        <v>4507.2151183667747</v>
      </c>
      <c r="H52" s="97">
        <v>5630.6338830879431</v>
      </c>
      <c r="I52" s="97">
        <v>49</v>
      </c>
      <c r="J52" s="97">
        <v>45</v>
      </c>
      <c r="K52" s="97">
        <v>4207.7279437187099</v>
      </c>
      <c r="L52" s="97">
        <v>7427.333988096264</v>
      </c>
      <c r="M52" s="97">
        <v>5029.6676541077213</v>
      </c>
      <c r="N52" s="97">
        <v>6349.6916905972257</v>
      </c>
      <c r="O52" s="97">
        <v>73061.957068725416</v>
      </c>
      <c r="P52" s="97">
        <v>137203.60408591555</v>
      </c>
      <c r="Q52" s="97">
        <v>12053.007576924239</v>
      </c>
      <c r="R52" s="97">
        <v>245332.99000808512</v>
      </c>
      <c r="S52" s="97">
        <v>9632487.2901048623</v>
      </c>
      <c r="T52" s="97">
        <v>8585312.3221538886</v>
      </c>
      <c r="U52" s="45">
        <v>0</v>
      </c>
      <c r="V52">
        <v>0</v>
      </c>
      <c r="W52">
        <v>3.2916666666666668E-4</v>
      </c>
      <c r="X52" s="97">
        <v>5630.6338830879431</v>
      </c>
      <c r="Y52" s="97">
        <v>14.946616826292509</v>
      </c>
      <c r="Z52" s="97">
        <v>782.84304792605781</v>
      </c>
      <c r="AA52" s="97">
        <v>165.01923185350236</v>
      </c>
      <c r="AB52" s="97">
        <v>11.418904907110214</v>
      </c>
      <c r="AC52" s="97">
        <v>337.4783109757758</v>
      </c>
      <c r="AD52" s="97">
        <v>151.42920506218027</v>
      </c>
      <c r="AE52" s="97">
        <v>362.06019198928846</v>
      </c>
      <c r="AF52" s="97">
        <v>401.33453015723967</v>
      </c>
      <c r="AG52" s="97">
        <v>130.21582473372342</v>
      </c>
      <c r="AH52" s="97">
        <v>35943.905532633296</v>
      </c>
      <c r="AI52" s="97">
        <v>338.2483417080166</v>
      </c>
      <c r="AJ52" s="97">
        <v>38573.163061799583</v>
      </c>
      <c r="AK52" s="97">
        <v>38943.265988235755</v>
      </c>
      <c r="AL52" s="97">
        <v>370.10292643617396</v>
      </c>
      <c r="AM52" s="97">
        <v>36282.153874341311</v>
      </c>
    </row>
    <row r="53" spans="1:39" x14ac:dyDescent="0.25">
      <c r="A53" s="97">
        <v>51</v>
      </c>
      <c r="B53" s="97">
        <v>3.2916666666666668E-4</v>
      </c>
      <c r="C53" s="97">
        <v>764.309241226778</v>
      </c>
      <c r="D53" s="97">
        <v>1361.110612207008</v>
      </c>
      <c r="E53" s="97">
        <v>923.40790818987205</v>
      </c>
      <c r="F53" s="97">
        <v>1244.308023142989</v>
      </c>
      <c r="G53" s="97">
        <v>4498.2761955091728</v>
      </c>
      <c r="H53" s="97">
        <v>5643.3880550282302</v>
      </c>
      <c r="I53" s="97">
        <v>49</v>
      </c>
      <c r="J53" s="97">
        <v>45</v>
      </c>
      <c r="K53" s="97">
        <v>4162.9376672151839</v>
      </c>
      <c r="L53" s="97">
        <v>7413.5158011541698</v>
      </c>
      <c r="M53" s="97">
        <v>5029.495073274169</v>
      </c>
      <c r="N53" s="97">
        <v>6332.490914445194</v>
      </c>
      <c r="O53" s="97">
        <v>72917.057129203691</v>
      </c>
      <c r="P53" s="97">
        <v>138772.95149157531</v>
      </c>
      <c r="Q53" s="97">
        <v>12157.776404506594</v>
      </c>
      <c r="R53" s="97">
        <v>246786.22448137432</v>
      </c>
      <c r="S53" s="97">
        <v>9879273.5145862363</v>
      </c>
      <c r="T53" s="97">
        <v>8784941.9834181964</v>
      </c>
      <c r="U53" s="45">
        <v>0</v>
      </c>
      <c r="V53">
        <v>0</v>
      </c>
      <c r="W53">
        <v>3.2916666666666668E-4</v>
      </c>
      <c r="X53" s="97">
        <v>5643.3880550282302</v>
      </c>
      <c r="Y53" s="97">
        <v>14.91700575601873</v>
      </c>
      <c r="Z53" s="97">
        <v>797.76005368207655</v>
      </c>
      <c r="AA53" s="97">
        <v>164.77976656422126</v>
      </c>
      <c r="AB53" s="97">
        <v>11.396962554494362</v>
      </c>
      <c r="AC53" s="97">
        <v>343.46538924099389</v>
      </c>
      <c r="AD53" s="97">
        <v>152.74547904399265</v>
      </c>
      <c r="AE53" s="97">
        <v>370.29294628505562</v>
      </c>
      <c r="AF53" s="97">
        <v>414.2648621330685</v>
      </c>
      <c r="AG53" s="97">
        <v>133.33252274190517</v>
      </c>
      <c r="AH53" s="97">
        <v>35943.905532633296</v>
      </c>
      <c r="AI53" s="97">
        <v>338.2483417080166</v>
      </c>
      <c r="AJ53" s="97">
        <v>38573.163061799583</v>
      </c>
      <c r="AK53" s="97">
        <v>38943.265988235755</v>
      </c>
      <c r="AL53" s="97">
        <v>370.10292643617396</v>
      </c>
      <c r="AM53" s="97">
        <v>36282.153874341311</v>
      </c>
    </row>
    <row r="54" spans="1:39" x14ac:dyDescent="0.25">
      <c r="A54" s="97">
        <v>52</v>
      </c>
      <c r="B54" s="97">
        <v>3.2916666666666668E-4</v>
      </c>
      <c r="C54" s="97">
        <v>756.17334871978937</v>
      </c>
      <c r="D54" s="97">
        <v>1358.5083299327032</v>
      </c>
      <c r="E54" s="97">
        <v>923.35785773053135</v>
      </c>
      <c r="F54" s="97">
        <v>1240.9634692173804</v>
      </c>
      <c r="G54" s="97">
        <v>4489.3457454564923</v>
      </c>
      <c r="H54" s="97">
        <v>5656.1076769986539</v>
      </c>
      <c r="I54" s="97">
        <v>49</v>
      </c>
      <c r="J54" s="97">
        <v>45</v>
      </c>
      <c r="K54" s="97">
        <v>4118.624172693786</v>
      </c>
      <c r="L54" s="97">
        <v>7399.3420370334561</v>
      </c>
      <c r="M54" s="97">
        <v>5029.2224651056267</v>
      </c>
      <c r="N54" s="97">
        <v>6315.4699220921184</v>
      </c>
      <c r="O54" s="97">
        <v>72772.294533849737</v>
      </c>
      <c r="P54" s="97">
        <v>140309.50548668421</v>
      </c>
      <c r="Q54" s="97">
        <v>12259.601383317511</v>
      </c>
      <c r="R54" s="97">
        <v>248204.06000077646</v>
      </c>
      <c r="S54" s="97">
        <v>10127477.574587014</v>
      </c>
      <c r="T54" s="97">
        <v>8984885.4586347863</v>
      </c>
      <c r="U54" s="45">
        <v>0</v>
      </c>
      <c r="V54">
        <v>0</v>
      </c>
      <c r="W54">
        <v>3.2916666666666668E-4</v>
      </c>
      <c r="X54" s="97">
        <v>5656.1076769986539</v>
      </c>
      <c r="Y54" s="97">
        <v>14.887421642499033</v>
      </c>
      <c r="Z54" s="97">
        <v>812.64747532457557</v>
      </c>
      <c r="AA54" s="97">
        <v>164.53810740319079</v>
      </c>
      <c r="AB54" s="97">
        <v>11.375027869498799</v>
      </c>
      <c r="AC54" s="97">
        <v>349.33455805901013</v>
      </c>
      <c r="AD54" s="97">
        <v>154.02476767783796</v>
      </c>
      <c r="AE54" s="97">
        <v>378.5488356242904</v>
      </c>
      <c r="AF54" s="97">
        <v>427.30987720034852</v>
      </c>
      <c r="AG54" s="97">
        <v>136.44393860271717</v>
      </c>
      <c r="AH54" s="97">
        <v>35943.905532633296</v>
      </c>
      <c r="AI54" s="97">
        <v>338.2483417080166</v>
      </c>
      <c r="AJ54" s="97">
        <v>38573.163061799583</v>
      </c>
      <c r="AK54" s="97">
        <v>38943.265988235755</v>
      </c>
      <c r="AL54" s="97">
        <v>370.10292643617396</v>
      </c>
      <c r="AM54" s="97">
        <v>36282.153874341311</v>
      </c>
    </row>
    <row r="55" spans="1:39" x14ac:dyDescent="0.25">
      <c r="A55" s="97">
        <v>53</v>
      </c>
      <c r="B55" s="97">
        <v>3.2916666666666668E-4</v>
      </c>
      <c r="C55" s="97">
        <v>748.12406087923011</v>
      </c>
      <c r="D55" s="97">
        <v>1355.8421701739283</v>
      </c>
      <c r="E55" s="97">
        <v>923.28916156010439</v>
      </c>
      <c r="F55" s="97">
        <v>1237.6536747117013</v>
      </c>
      <c r="G55" s="97">
        <v>4480.4240885482395</v>
      </c>
      <c r="H55" s="97">
        <v>5668.7931101180839</v>
      </c>
      <c r="I55" s="97">
        <v>49</v>
      </c>
      <c r="J55" s="97">
        <v>45</v>
      </c>
      <c r="K55" s="97">
        <v>4074.7823849222063</v>
      </c>
      <c r="L55" s="97">
        <v>7384.8203535473285</v>
      </c>
      <c r="M55" s="97">
        <v>5028.8482999640346</v>
      </c>
      <c r="N55" s="97">
        <v>6298.6258262203</v>
      </c>
      <c r="O55" s="97">
        <v>72627.674475366963</v>
      </c>
      <c r="P55" s="97">
        <v>141813.80346109383</v>
      </c>
      <c r="Q55" s="97">
        <v>12358.56182786279</v>
      </c>
      <c r="R55" s="97">
        <v>249587.11662897747</v>
      </c>
      <c r="S55" s="97">
        <v>10377064.691215992</v>
      </c>
      <c r="T55" s="97">
        <v>9185108.8061855603</v>
      </c>
      <c r="U55" s="45">
        <v>0</v>
      </c>
      <c r="V55">
        <v>0</v>
      </c>
      <c r="W55">
        <v>3.2916666666666668E-4</v>
      </c>
      <c r="X55" s="97">
        <v>5668.7931101180839</v>
      </c>
      <c r="Y55" s="97">
        <v>14.857865570436525</v>
      </c>
      <c r="Z55" s="97">
        <v>827.50534089501207</v>
      </c>
      <c r="AA55" s="97">
        <v>164.29432368441718</v>
      </c>
      <c r="AB55" s="97">
        <v>11.353101893276845</v>
      </c>
      <c r="AC55" s="97">
        <v>355.08771626440841</v>
      </c>
      <c r="AD55" s="97">
        <v>155.26806743969834</v>
      </c>
      <c r="AE55" s="97">
        <v>386.8271671890833</v>
      </c>
      <c r="AF55" s="97">
        <v>440.46670043325821</v>
      </c>
      <c r="AG55" s="97">
        <v>139.55003630501531</v>
      </c>
      <c r="AH55" s="97">
        <v>35943.905532633296</v>
      </c>
      <c r="AI55" s="97">
        <v>338.2483417080166</v>
      </c>
      <c r="AJ55" s="97">
        <v>38573.163061799583</v>
      </c>
      <c r="AK55" s="97">
        <v>38943.265988235755</v>
      </c>
      <c r="AL55" s="97">
        <v>370.10292643617396</v>
      </c>
      <c r="AM55" s="97">
        <v>36282.153874341311</v>
      </c>
    </row>
    <row r="56" spans="1:39" x14ac:dyDescent="0.25">
      <c r="A56" s="97">
        <v>54</v>
      </c>
      <c r="B56" s="97">
        <v>3.2916666666666668E-4</v>
      </c>
      <c r="C56" s="97">
        <v>740.16045581875017</v>
      </c>
      <c r="D56" s="97">
        <v>1353.1135184496572</v>
      </c>
      <c r="E56" s="97">
        <v>923.20155227693169</v>
      </c>
      <c r="F56" s="97">
        <v>1234.3780752905402</v>
      </c>
      <c r="G56" s="97">
        <v>4471.5115377825878</v>
      </c>
      <c r="H56" s="97">
        <v>5681.444709705841</v>
      </c>
      <c r="I56" s="97">
        <v>49</v>
      </c>
      <c r="J56" s="97">
        <v>45</v>
      </c>
      <c r="K56" s="97">
        <v>4031.4072826927923</v>
      </c>
      <c r="L56" s="97">
        <v>7369.9582971557993</v>
      </c>
      <c r="M56" s="97">
        <v>5028.3711214016876</v>
      </c>
      <c r="N56" s="97">
        <v>6281.9557548327739</v>
      </c>
      <c r="O56" s="97">
        <v>72483.202027455758</v>
      </c>
      <c r="P56" s="97">
        <v>143286.37435181884</v>
      </c>
      <c r="Q56" s="97">
        <v>12454.734376565606</v>
      </c>
      <c r="R56" s="97">
        <v>250936.00321192326</v>
      </c>
      <c r="S56" s="97">
        <v>10628000.694427915</v>
      </c>
      <c r="T56" s="97">
        <v>9385578.9628919587</v>
      </c>
      <c r="U56" s="45">
        <v>0</v>
      </c>
      <c r="V56">
        <v>0</v>
      </c>
      <c r="W56">
        <v>3.2916666666666668E-4</v>
      </c>
      <c r="X56" s="97">
        <v>5681.444709705841</v>
      </c>
      <c r="Y56" s="97">
        <v>14.82833860002162</v>
      </c>
      <c r="Z56" s="97">
        <v>842.33367949503372</v>
      </c>
      <c r="AA56" s="97">
        <v>164.04848318170588</v>
      </c>
      <c r="AB56" s="97">
        <v>11.331185647091058</v>
      </c>
      <c r="AC56" s="97">
        <v>360.72673327411496</v>
      </c>
      <c r="AD56" s="97">
        <v>156.47634118431569</v>
      </c>
      <c r="AE56" s="97">
        <v>395.12726005400515</v>
      </c>
      <c r="AF56" s="97">
        <v>453.73252194555869</v>
      </c>
      <c r="AG56" s="97">
        <v>142.65078079583895</v>
      </c>
      <c r="AH56" s="97">
        <v>35943.905532633296</v>
      </c>
      <c r="AI56" s="97">
        <v>338.2483417080166</v>
      </c>
      <c r="AJ56" s="97">
        <v>38573.163061799583</v>
      </c>
      <c r="AK56" s="97">
        <v>38943.265988235755</v>
      </c>
      <c r="AL56" s="97">
        <v>370.10292643617396</v>
      </c>
      <c r="AM56" s="97">
        <v>36282.153874341311</v>
      </c>
    </row>
    <row r="57" spans="1:39" x14ac:dyDescent="0.25">
      <c r="A57" s="97">
        <v>55</v>
      </c>
      <c r="B57" s="97">
        <v>3.2916666666666668E-4</v>
      </c>
      <c r="C57" s="97">
        <v>732.28162146526324</v>
      </c>
      <c r="D57" s="97">
        <v>1350.3237400944126</v>
      </c>
      <c r="E57" s="97">
        <v>923.09477561940173</v>
      </c>
      <c r="F57" s="97">
        <v>1231.1361097395679</v>
      </c>
      <c r="G57" s="97">
        <v>4462.6083988824839</v>
      </c>
      <c r="H57" s="97">
        <v>5694.0628253124705</v>
      </c>
      <c r="I57" s="97">
        <v>49</v>
      </c>
      <c r="J57" s="97">
        <v>45</v>
      </c>
      <c r="K57" s="97">
        <v>3988.4938982474669</v>
      </c>
      <c r="L57" s="97">
        <v>7354.7633043809001</v>
      </c>
      <c r="M57" s="97">
        <v>5027.789544540341</v>
      </c>
      <c r="N57" s="97">
        <v>6265.4568518162841</v>
      </c>
      <c r="O57" s="97">
        <v>72338.882145885073</v>
      </c>
      <c r="P57" s="97">
        <v>144727.73877474407</v>
      </c>
      <c r="Q57" s="97">
        <v>12548.193098891346</v>
      </c>
      <c r="R57" s="97">
        <v>252251.31761850548</v>
      </c>
      <c r="S57" s="97">
        <v>10880252.012046421</v>
      </c>
      <c r="T57" s="97">
        <v>9586263.7240594383</v>
      </c>
      <c r="U57" s="45">
        <v>0</v>
      </c>
      <c r="V57">
        <v>0</v>
      </c>
      <c r="W57">
        <v>3.2916666666666668E-4</v>
      </c>
      <c r="X57" s="97">
        <v>5694.0628253124705</v>
      </c>
      <c r="Y57" s="97">
        <v>14.798841767147973</v>
      </c>
      <c r="Z57" s="97">
        <v>857.13252126218174</v>
      </c>
      <c r="AA57" s="97">
        <v>163.80065215922275</v>
      </c>
      <c r="AB57" s="97">
        <v>11.309280132435237</v>
      </c>
      <c r="AC57" s="97">
        <v>366.25344953920387</v>
      </c>
      <c r="AD57" s="97">
        <v>157.65051949106535</v>
      </c>
      <c r="AE57" s="97">
        <v>403.44844499634132</v>
      </c>
      <c r="AF57" s="97">
        <v>467.10459505069349</v>
      </c>
      <c r="AG57" s="97">
        <v>145.74613795868657</v>
      </c>
      <c r="AH57" s="97">
        <v>35943.905532633296</v>
      </c>
      <c r="AI57" s="97">
        <v>338.2483417080166</v>
      </c>
      <c r="AJ57" s="97">
        <v>38573.163061799583</v>
      </c>
      <c r="AK57" s="97">
        <v>38943.265988235755</v>
      </c>
      <c r="AL57" s="97">
        <v>370.10292643617396</v>
      </c>
      <c r="AM57" s="97">
        <v>36282.153874341311</v>
      </c>
    </row>
    <row r="58" spans="1:39" x14ac:dyDescent="0.25">
      <c r="A58" s="97">
        <v>56</v>
      </c>
      <c r="B58" s="97">
        <v>3.2916666666666668E-4</v>
      </c>
      <c r="C58" s="97">
        <v>724.48665545448728</v>
      </c>
      <c r="D58" s="97">
        <v>1347.474180515004</v>
      </c>
      <c r="E58" s="97">
        <v>922.9685901735246</v>
      </c>
      <c r="F58" s="97">
        <v>1227.9272200718419</v>
      </c>
      <c r="G58" s="97">
        <v>4453.7149703625682</v>
      </c>
      <c r="H58" s="97">
        <v>5706.6478007516471</v>
      </c>
      <c r="I58" s="97">
        <v>49</v>
      </c>
      <c r="J58" s="97">
        <v>45</v>
      </c>
      <c r="K58" s="97">
        <v>3946.0373167087737</v>
      </c>
      <c r="L58" s="97">
        <v>7339.2427032050546</v>
      </c>
      <c r="M58" s="97">
        <v>5027.1022544784637</v>
      </c>
      <c r="N58" s="97">
        <v>6249.1262774822817</v>
      </c>
      <c r="O58" s="97">
        <v>72194.719669577229</v>
      </c>
      <c r="P58" s="97">
        <v>146138.40915422371</v>
      </c>
      <c r="Q58" s="97">
        <v>12639.009597810349</v>
      </c>
      <c r="R58" s="97">
        <v>253533.64697348585</v>
      </c>
      <c r="S58" s="97">
        <v>11133785.659019906</v>
      </c>
      <c r="T58" s="97">
        <v>9787131.7239927966</v>
      </c>
      <c r="U58" s="45">
        <v>0</v>
      </c>
      <c r="V58">
        <v>0</v>
      </c>
      <c r="W58">
        <v>3.2916666666666668E-4</v>
      </c>
      <c r="X58" s="97">
        <v>5706.6478007516471</v>
      </c>
      <c r="Y58" s="97">
        <v>14.769376083631274</v>
      </c>
      <c r="Z58" s="97">
        <v>871.90189734581304</v>
      </c>
      <c r="AA58" s="97">
        <v>163.55089540145204</v>
      </c>
      <c r="AB58" s="97">
        <v>11.287386331160308</v>
      </c>
      <c r="AC58" s="97">
        <v>371.66967698958621</v>
      </c>
      <c r="AD58" s="97">
        <v>158.7915019512576</v>
      </c>
      <c r="AE58" s="97">
        <v>411.7900643092263</v>
      </c>
      <c r="AF58" s="97">
        <v>480.58023448787498</v>
      </c>
      <c r="AG58" s="97">
        <v>148.83607459240432</v>
      </c>
      <c r="AH58" s="97">
        <v>35943.905532633296</v>
      </c>
      <c r="AI58" s="97">
        <v>338.2483417080166</v>
      </c>
      <c r="AJ58" s="97">
        <v>38573.163061799583</v>
      </c>
      <c r="AK58" s="97">
        <v>38943.265988235755</v>
      </c>
      <c r="AL58" s="97">
        <v>370.10292643617396</v>
      </c>
      <c r="AM58" s="97">
        <v>36282.153874341311</v>
      </c>
    </row>
    <row r="59" spans="1:39" x14ac:dyDescent="0.25">
      <c r="A59" s="97">
        <v>57</v>
      </c>
      <c r="B59" s="97">
        <v>3.2916666666666668E-4</v>
      </c>
      <c r="C59" s="97">
        <v>716.77466502759603</v>
      </c>
      <c r="D59" s="97">
        <v>1344.5661654442129</v>
      </c>
      <c r="E59" s="97">
        <v>922.82276708559425</v>
      </c>
      <c r="F59" s="97">
        <v>1224.750851629889</v>
      </c>
      <c r="G59" s="97">
        <v>4444.8315435968607</v>
      </c>
      <c r="H59" s="97">
        <v>5719.1999741331674</v>
      </c>
      <c r="I59" s="97">
        <v>49</v>
      </c>
      <c r="J59" s="97">
        <v>45</v>
      </c>
      <c r="K59" s="97">
        <v>3904.0326755169726</v>
      </c>
      <c r="L59" s="97">
        <v>7323.403714452812</v>
      </c>
      <c r="M59" s="97">
        <v>5026.3080047262029</v>
      </c>
      <c r="N59" s="97">
        <v>6232.961209086443</v>
      </c>
      <c r="O59" s="97">
        <v>72050.71932170511</v>
      </c>
      <c r="P59" s="97">
        <v>147518.88985060819</v>
      </c>
      <c r="Q59" s="97">
        <v>12727.25310780803</v>
      </c>
      <c r="R59" s="97">
        <v>254783.56788390377</v>
      </c>
      <c r="S59" s="97">
        <v>11388569.226903809</v>
      </c>
      <c r="T59" s="97">
        <v>9988152.4169695228</v>
      </c>
      <c r="U59" s="45">
        <v>0</v>
      </c>
      <c r="V59">
        <v>0</v>
      </c>
      <c r="W59">
        <v>3.2916666666666668E-4</v>
      </c>
      <c r="X59" s="97">
        <v>5719.1999741331674</v>
      </c>
      <c r="Y59" s="97">
        <v>14.739942537430711</v>
      </c>
      <c r="Z59" s="97">
        <v>886.64183988324373</v>
      </c>
      <c r="AA59" s="97">
        <v>163.29927624256354</v>
      </c>
      <c r="AB59" s="97">
        <v>11.265505205603922</v>
      </c>
      <c r="AC59" s="97">
        <v>376.97719947169986</v>
      </c>
      <c r="AD59" s="97">
        <v>159.90015839949783</v>
      </c>
      <c r="AE59" s="97">
        <v>420.15147161763389</v>
      </c>
      <c r="AF59" s="97">
        <v>494.15681471142182</v>
      </c>
      <c r="AG59" s="97">
        <v>151.92055839066541</v>
      </c>
      <c r="AH59" s="97">
        <v>35943.905532633296</v>
      </c>
      <c r="AI59" s="97">
        <v>338.2483417080166</v>
      </c>
      <c r="AJ59" s="97">
        <v>38573.163061799583</v>
      </c>
      <c r="AK59" s="97">
        <v>38943.265988235755</v>
      </c>
      <c r="AL59" s="97">
        <v>370.10292643617396</v>
      </c>
      <c r="AM59" s="97">
        <v>36282.153874341311</v>
      </c>
    </row>
    <row r="60" spans="1:39" x14ac:dyDescent="0.25">
      <c r="A60" s="97">
        <v>58</v>
      </c>
      <c r="B60" s="97">
        <v>3.2916666666666668E-4</v>
      </c>
      <c r="C60" s="97">
        <v>709.14476692897165</v>
      </c>
      <c r="D60" s="97">
        <v>1341.6010011914555</v>
      </c>
      <c r="E60" s="97">
        <v>922.65708977986117</v>
      </c>
      <c r="F60" s="97">
        <v>1221.6064531836662</v>
      </c>
      <c r="G60" s="97">
        <v>4435.9584028871604</v>
      </c>
      <c r="H60" s="97">
        <v>5731.719677896981</v>
      </c>
      <c r="I60" s="97">
        <v>49</v>
      </c>
      <c r="J60" s="97">
        <v>45</v>
      </c>
      <c r="K60" s="97">
        <v>3862.4751638731318</v>
      </c>
      <c r="L60" s="97">
        <v>7307.2534531561269</v>
      </c>
      <c r="M60" s="97">
        <v>5025.4056156676434</v>
      </c>
      <c r="N60" s="97">
        <v>6216.9588413272077</v>
      </c>
      <c r="O60" s="97">
        <v>71906.885710800881</v>
      </c>
      <c r="P60" s="97">
        <v>148869.67728573369</v>
      </c>
      <c r="Q60" s="97">
        <v>12812.990588642273</v>
      </c>
      <c r="R60" s="97">
        <v>256001.64665920095</v>
      </c>
      <c r="S60" s="97">
        <v>11644570.87356301</v>
      </c>
      <c r="T60" s="97">
        <v>10189296.058658794</v>
      </c>
      <c r="U60" s="45">
        <v>0</v>
      </c>
      <c r="V60">
        <v>0</v>
      </c>
      <c r="W60">
        <v>3.2916666666666668E-4</v>
      </c>
      <c r="X60" s="97">
        <v>5731.719677896981</v>
      </c>
      <c r="Y60" s="97">
        <v>14.710542092872997</v>
      </c>
      <c r="Z60" s="97">
        <v>901.3523819761167</v>
      </c>
      <c r="AA60" s="97">
        <v>163.04585659520168</v>
      </c>
      <c r="AB60" s="97">
        <v>11.243637698723616</v>
      </c>
      <c r="AC60" s="97">
        <v>382.17777317931649</v>
      </c>
      <c r="AD60" s="97">
        <v>160.97733009161723</v>
      </c>
      <c r="AE60" s="97">
        <v>428.53203169718</v>
      </c>
      <c r="AF60" s="97">
        <v>507.83176824073172</v>
      </c>
      <c r="AG60" s="97">
        <v>154.99955792201928</v>
      </c>
      <c r="AH60" s="97">
        <v>35943.905532633296</v>
      </c>
      <c r="AI60" s="97">
        <v>338.2483417080166</v>
      </c>
      <c r="AJ60" s="97">
        <v>38573.163061799583</v>
      </c>
      <c r="AK60" s="97">
        <v>38943.265988235755</v>
      </c>
      <c r="AL60" s="97">
        <v>370.10292643617396</v>
      </c>
      <c r="AM60" s="97">
        <v>36282.153874341311</v>
      </c>
    </row>
    <row r="61" spans="1:39" x14ac:dyDescent="0.25">
      <c r="A61" s="97">
        <v>59</v>
      </c>
      <c r="B61" s="97">
        <v>3.2916666666666668E-4</v>
      </c>
      <c r="C61" s="97">
        <v>701.59608730504476</v>
      </c>
      <c r="D61" s="97">
        <v>1338.5799748904601</v>
      </c>
      <c r="E61" s="97">
        <v>922.47135368113777</v>
      </c>
      <c r="F61" s="97">
        <v>1218.4934770244975</v>
      </c>
      <c r="G61" s="97">
        <v>4427.095825532122</v>
      </c>
      <c r="H61" s="97">
        <v>5744.2072388482302</v>
      </c>
      <c r="I61" s="97">
        <v>49</v>
      </c>
      <c r="J61" s="97">
        <v>45</v>
      </c>
      <c r="K61" s="97">
        <v>3821.3600221881434</v>
      </c>
      <c r="L61" s="97">
        <v>7290.7989299033725</v>
      </c>
      <c r="M61" s="97">
        <v>5024.3939730499296</v>
      </c>
      <c r="N61" s="97">
        <v>6201.1163868238382</v>
      </c>
      <c r="O61" s="97">
        <v>71763.223331875706</v>
      </c>
      <c r="P61" s="97">
        <v>150191.26006640893</v>
      </c>
      <c r="Q61" s="97">
        <v>12896.286815038939</v>
      </c>
      <c r="R61" s="97">
        <v>257188.43952528885</v>
      </c>
      <c r="S61" s="97">
        <v>11901759.3130883</v>
      </c>
      <c r="T61" s="97">
        <v>10390533.687974131</v>
      </c>
      <c r="U61" s="45">
        <v>0</v>
      </c>
      <c r="V61">
        <v>0</v>
      </c>
      <c r="W61">
        <v>3.2916666666666668E-4</v>
      </c>
      <c r="X61" s="97">
        <v>5744.2072388482302</v>
      </c>
      <c r="Y61" s="97">
        <v>14.681175690878737</v>
      </c>
      <c r="Z61" s="97">
        <v>916.03355766699542</v>
      </c>
      <c r="AA61" s="97">
        <v>162.7906969787085</v>
      </c>
      <c r="AB61" s="97">
        <v>11.221784734233374</v>
      </c>
      <c r="AC61" s="97">
        <v>387.27312707757898</v>
      </c>
      <c r="AD61" s="97">
        <v>162.02383083157156</v>
      </c>
      <c r="AE61" s="97">
        <v>436.93112029569494</v>
      </c>
      <c r="AF61" s="97">
        <v>521.60258406838921</v>
      </c>
      <c r="AG61" s="97">
        <v>158.07304261049072</v>
      </c>
      <c r="AH61" s="97">
        <v>35943.905532633296</v>
      </c>
      <c r="AI61" s="97">
        <v>338.2483417080166</v>
      </c>
      <c r="AJ61" s="97">
        <v>38573.163061799583</v>
      </c>
      <c r="AK61" s="97">
        <v>38943.265988235755</v>
      </c>
      <c r="AL61" s="97">
        <v>370.10292643617396</v>
      </c>
      <c r="AM61" s="97">
        <v>36282.153874341311</v>
      </c>
    </row>
    <row r="62" spans="1:39" x14ac:dyDescent="0.25">
      <c r="A62" s="97">
        <v>60</v>
      </c>
      <c r="B62" s="97">
        <v>3.2916666666666668E-4</v>
      </c>
      <c r="C62" s="97">
        <v>694.12776160421242</v>
      </c>
      <c r="D62" s="97">
        <v>1335.5043547439932</v>
      </c>
      <c r="E62" s="97">
        <v>922.26536594226206</v>
      </c>
      <c r="F62" s="97">
        <v>1215.4113790550784</v>
      </c>
      <c r="G62" s="97">
        <v>4418.2440818969571</v>
      </c>
      <c r="H62" s="97">
        <v>5756.6629781932443</v>
      </c>
      <c r="I62" s="97">
        <v>50</v>
      </c>
      <c r="J62" s="97">
        <v>45</v>
      </c>
      <c r="K62" s="97">
        <v>3780.6825415376102</v>
      </c>
      <c r="L62" s="97">
        <v>7274.0470521722827</v>
      </c>
      <c r="M62" s="97">
        <v>5023.2720264988538</v>
      </c>
      <c r="N62" s="97">
        <v>6185.4310765744694</v>
      </c>
      <c r="O62" s="97">
        <v>71619.736567549684</v>
      </c>
      <c r="P62" s="97">
        <v>151484.11910593265</v>
      </c>
      <c r="Q62" s="97">
        <v>12977.204462507618</v>
      </c>
      <c r="R62" s="97">
        <v>258344.49283277316</v>
      </c>
      <c r="S62" s="97">
        <v>12160103.805921072</v>
      </c>
      <c r="T62" s="97">
        <v>10591837.109348131</v>
      </c>
      <c r="U62" s="45">
        <v>0</v>
      </c>
      <c r="V62">
        <v>0</v>
      </c>
      <c r="W62">
        <v>3.2916666666666668E-4</v>
      </c>
      <c r="X62" s="97">
        <v>5756.6629781932443</v>
      </c>
      <c r="Y62" s="97">
        <v>14.651844249191043</v>
      </c>
      <c r="Z62" s="97">
        <v>930.68540191618649</v>
      </c>
      <c r="AA62" s="97">
        <v>162.53895841318092</v>
      </c>
      <c r="AB62" s="97">
        <v>11.194845350354981</v>
      </c>
      <c r="AC62" s="97">
        <v>392.25986145399264</v>
      </c>
      <c r="AD62" s="97">
        <v>163.04044804959631</v>
      </c>
      <c r="AE62" s="97">
        <v>445.34812395752323</v>
      </c>
      <c r="AF62" s="97">
        <v>535.46680612401872</v>
      </c>
      <c r="AG62" s="97">
        <v>161.14098271670892</v>
      </c>
      <c r="AH62" s="97">
        <v>43477.953483587582</v>
      </c>
      <c r="AI62" s="97">
        <v>458.12418683398005</v>
      </c>
      <c r="AJ62" s="97">
        <v>47730.845433984214</v>
      </c>
      <c r="AK62" s="97">
        <v>48246.658199395031</v>
      </c>
      <c r="AL62" s="97">
        <v>515.81276541081468</v>
      </c>
      <c r="AM62" s="97">
        <v>43936.07767042156</v>
      </c>
    </row>
    <row r="63" spans="1:39" x14ac:dyDescent="0.25">
      <c r="A63" s="97">
        <v>61</v>
      </c>
      <c r="B63" s="97">
        <v>3.5916666666666665E-4</v>
      </c>
      <c r="C63" s="97">
        <v>686.7181106449724</v>
      </c>
      <c r="D63" s="97">
        <v>1332.3353251350238</v>
      </c>
      <c r="E63" s="97">
        <v>922.01127721536454</v>
      </c>
      <c r="F63" s="97">
        <v>1212.323156534273</v>
      </c>
      <c r="G63" s="97">
        <v>4409.2708881612652</v>
      </c>
      <c r="H63" s="97">
        <v>5769.0872115764569</v>
      </c>
      <c r="I63" s="97">
        <v>50</v>
      </c>
      <c r="J63" s="97">
        <v>45</v>
      </c>
      <c r="K63" s="97">
        <v>3740.3246426462829</v>
      </c>
      <c r="L63" s="97">
        <v>7256.7864042354295</v>
      </c>
      <c r="M63" s="97">
        <v>5021.8880898996849</v>
      </c>
      <c r="N63" s="97">
        <v>6169.7145974623372</v>
      </c>
      <c r="O63" s="97">
        <v>71474.281097094106</v>
      </c>
      <c r="P63" s="97">
        <v>152744.17381446032</v>
      </c>
      <c r="Q63" s="97">
        <v>13055.414873317737</v>
      </c>
      <c r="R63" s="97">
        <v>259462.5835191159</v>
      </c>
      <c r="S63" s="97">
        <v>12419566.389440188</v>
      </c>
      <c r="T63" s="97">
        <v>10793172.85407543</v>
      </c>
      <c r="U63" s="45">
        <v>0</v>
      </c>
      <c r="V63">
        <v>0</v>
      </c>
      <c r="W63">
        <v>3.5916666666666665E-4</v>
      </c>
      <c r="X63" s="97">
        <v>5769.0872115764569</v>
      </c>
      <c r="Y63" s="97">
        <v>14.622548662606215</v>
      </c>
      <c r="Z63" s="97">
        <v>945.30795057879266</v>
      </c>
      <c r="AA63" s="97">
        <v>162.28059450659603</v>
      </c>
      <c r="AB63" s="97">
        <v>11.173034105630368</v>
      </c>
      <c r="AC63" s="97">
        <v>397.13307785723009</v>
      </c>
      <c r="AD63" s="97">
        <v>164.02305262036231</v>
      </c>
      <c r="AE63" s="97">
        <v>453.78243985050932</v>
      </c>
      <c r="AF63" s="97">
        <v>549.42206623902962</v>
      </c>
      <c r="AG63" s="97">
        <v>164.48245108588361</v>
      </c>
      <c r="AH63" s="97">
        <v>43477.953483587582</v>
      </c>
      <c r="AI63" s="97">
        <v>458.12418683398005</v>
      </c>
      <c r="AJ63" s="97">
        <v>47730.845433984214</v>
      </c>
      <c r="AK63" s="97">
        <v>48246.658199395031</v>
      </c>
      <c r="AL63" s="97">
        <v>515.81276541081468</v>
      </c>
      <c r="AM63" s="97">
        <v>43936.07767042156</v>
      </c>
    </row>
    <row r="64" spans="1:39" x14ac:dyDescent="0.25">
      <c r="A64" s="97">
        <v>62</v>
      </c>
      <c r="B64" s="97">
        <v>3.5916666666666665E-4</v>
      </c>
      <c r="C64" s="97">
        <v>679.38755597084685</v>
      </c>
      <c r="D64" s="97">
        <v>1329.1143711973978</v>
      </c>
      <c r="E64" s="97">
        <v>921.73659968704226</v>
      </c>
      <c r="F64" s="97">
        <v>1209.264919383131</v>
      </c>
      <c r="G64" s="97">
        <v>4400.3095827724364</v>
      </c>
      <c r="H64" s="97">
        <v>5781.4798763912004</v>
      </c>
      <c r="I64" s="97">
        <v>50</v>
      </c>
      <c r="J64" s="97">
        <v>45</v>
      </c>
      <c r="K64" s="97">
        <v>3700.3975548545454</v>
      </c>
      <c r="L64" s="97">
        <v>7239.2429417884923</v>
      </c>
      <c r="M64" s="97">
        <v>5020.3920129620901</v>
      </c>
      <c r="N64" s="97">
        <v>6154.150718893984</v>
      </c>
      <c r="O64" s="97">
        <v>71329.018336741196</v>
      </c>
      <c r="P64" s="97">
        <v>153976.3592424494</v>
      </c>
      <c r="Q64" s="97">
        <v>13131.361363122705</v>
      </c>
      <c r="R64" s="97">
        <v>260550.92217081241</v>
      </c>
      <c r="S64" s="97">
        <v>12680117.311611</v>
      </c>
      <c r="T64" s="97">
        <v>10994514.19704878</v>
      </c>
      <c r="U64" s="45">
        <v>0</v>
      </c>
      <c r="V64">
        <v>0</v>
      </c>
      <c r="W64">
        <v>3.5916666666666665E-4</v>
      </c>
      <c r="X64" s="97">
        <v>5781.4798763912004</v>
      </c>
      <c r="Y64" s="97">
        <v>14.592851126746492</v>
      </c>
      <c r="Z64" s="97">
        <v>959.90080170553915</v>
      </c>
      <c r="AA64" s="97">
        <v>162.02053754713876</v>
      </c>
      <c r="AB64" s="97">
        <v>11.150923483255527</v>
      </c>
      <c r="AC64" s="97">
        <v>401.90591823808234</v>
      </c>
      <c r="AD64" s="97">
        <v>164.97721418584968</v>
      </c>
      <c r="AE64" s="97">
        <v>462.23322236458762</v>
      </c>
      <c r="AF64" s="97">
        <v>563.46559397133137</v>
      </c>
      <c r="AG64" s="97">
        <v>167.81770704674443</v>
      </c>
      <c r="AH64" s="97">
        <v>43477.953483587582</v>
      </c>
      <c r="AI64" s="97">
        <v>458.12418683398005</v>
      </c>
      <c r="AJ64" s="97">
        <v>47730.845433984214</v>
      </c>
      <c r="AK64" s="97">
        <v>48246.658199395031</v>
      </c>
      <c r="AL64" s="97">
        <v>515.81276541081468</v>
      </c>
      <c r="AM64" s="97">
        <v>43936.07767042156</v>
      </c>
    </row>
    <row r="65" spans="1:39" x14ac:dyDescent="0.25">
      <c r="A65" s="97">
        <v>63</v>
      </c>
      <c r="B65" s="97">
        <v>3.5916666666666665E-4</v>
      </c>
      <c r="C65" s="97">
        <v>672.13525324755437</v>
      </c>
      <c r="D65" s="97">
        <v>1325.8427104620464</v>
      </c>
      <c r="E65" s="97">
        <v>921.44117596009801</v>
      </c>
      <c r="F65" s="97">
        <v>1206.2361321501971</v>
      </c>
      <c r="G65" s="97">
        <v>4391.3604146733605</v>
      </c>
      <c r="H65" s="97">
        <v>5793.8412791552819</v>
      </c>
      <c r="I65" s="97">
        <v>50</v>
      </c>
      <c r="J65" s="97">
        <v>45</v>
      </c>
      <c r="K65" s="97">
        <v>3660.8966793550126</v>
      </c>
      <c r="L65" s="97">
        <v>7221.4232963166123</v>
      </c>
      <c r="M65" s="97">
        <v>5018.7829383959997</v>
      </c>
      <c r="N65" s="97">
        <v>6138.7367158677116</v>
      </c>
      <c r="O65" s="97">
        <v>71183.952321855177</v>
      </c>
      <c r="P65" s="97">
        <v>155181.13684365884</v>
      </c>
      <c r="Q65" s="97">
        <v>13205.100977326974</v>
      </c>
      <c r="R65" s="97">
        <v>261610.02977277632</v>
      </c>
      <c r="S65" s="97">
        <v>12941727.341383778</v>
      </c>
      <c r="T65" s="97">
        <v>11195835.13070951</v>
      </c>
      <c r="U65" s="45">
        <v>0</v>
      </c>
      <c r="V65">
        <v>0</v>
      </c>
      <c r="W65">
        <v>3.5916666666666665E-4</v>
      </c>
      <c r="X65" s="97">
        <v>5793.8412791552819</v>
      </c>
      <c r="Y65" s="97">
        <v>14.563192936365946</v>
      </c>
      <c r="Z65" s="97">
        <v>974.46399464190506</v>
      </c>
      <c r="AA65" s="97">
        <v>161.75884621922731</v>
      </c>
      <c r="AB65" s="97">
        <v>11.128832144277773</v>
      </c>
      <c r="AC65" s="97">
        <v>406.58001395068032</v>
      </c>
      <c r="AD65" s="97">
        <v>165.90364944188673</v>
      </c>
      <c r="AE65" s="97">
        <v>470.69988821716385</v>
      </c>
      <c r="AF65" s="97">
        <v>577.59508276715439</v>
      </c>
      <c r="AG65" s="97">
        <v>171.14672112779544</v>
      </c>
      <c r="AH65" s="97">
        <v>43477.953483587582</v>
      </c>
      <c r="AI65" s="97">
        <v>458.12418683398005</v>
      </c>
      <c r="AJ65" s="97">
        <v>47730.845433984214</v>
      </c>
      <c r="AK65" s="97">
        <v>48246.658199395031</v>
      </c>
      <c r="AL65" s="97">
        <v>515.81276541081468</v>
      </c>
      <c r="AM65" s="97">
        <v>43936.07767042156</v>
      </c>
    </row>
    <row r="66" spans="1:39" x14ac:dyDescent="0.25">
      <c r="A66" s="97">
        <v>64</v>
      </c>
      <c r="B66" s="97">
        <v>3.5916666666666665E-4</v>
      </c>
      <c r="C66" s="97">
        <v>664.96036715388368</v>
      </c>
      <c r="D66" s="97">
        <v>1322.5215423331724</v>
      </c>
      <c r="E66" s="97">
        <v>921.1248593413037</v>
      </c>
      <c r="F66" s="97">
        <v>1203.2362633820303</v>
      </c>
      <c r="G66" s="97">
        <v>4382.4236261277892</v>
      </c>
      <c r="H66" s="97">
        <v>5806.171720912992</v>
      </c>
      <c r="I66" s="97">
        <v>50</v>
      </c>
      <c r="J66" s="97">
        <v>45</v>
      </c>
      <c r="K66" s="97">
        <v>3621.8174664314861</v>
      </c>
      <c r="L66" s="97">
        <v>7203.3340005746786</v>
      </c>
      <c r="M66" s="97">
        <v>5017.060067212301</v>
      </c>
      <c r="N66" s="97">
        <v>6123.4698837283822</v>
      </c>
      <c r="O66" s="97">
        <v>71039.086979531465</v>
      </c>
      <c r="P66" s="97">
        <v>156358.9607775248</v>
      </c>
      <c r="Q66" s="97">
        <v>13276.688964475676</v>
      </c>
      <c r="R66" s="97">
        <v>262640.41813947877</v>
      </c>
      <c r="S66" s="97">
        <v>13204367.759523256</v>
      </c>
      <c r="T66" s="97">
        <v>11397110.34880211</v>
      </c>
      <c r="U66" s="45">
        <v>0</v>
      </c>
      <c r="V66">
        <v>0</v>
      </c>
      <c r="W66">
        <v>3.5916666666666665E-4</v>
      </c>
      <c r="X66" s="97">
        <v>5806.171720912992</v>
      </c>
      <c r="Y66" s="97">
        <v>14.533574915361909</v>
      </c>
      <c r="Z66" s="97">
        <v>988.99756955726696</v>
      </c>
      <c r="AA66" s="97">
        <v>161.49557786476461</v>
      </c>
      <c r="AB66" s="97">
        <v>11.106760916386405</v>
      </c>
      <c r="AC66" s="97">
        <v>411.15697097677992</v>
      </c>
      <c r="AD66" s="97">
        <v>166.80305250927415</v>
      </c>
      <c r="AE66" s="97">
        <v>479.18186430696886</v>
      </c>
      <c r="AF66" s="97">
        <v>591.80827561443937</v>
      </c>
      <c r="AG66" s="97">
        <v>174.46946469656319</v>
      </c>
      <c r="AH66" s="97">
        <v>43477.953483587582</v>
      </c>
      <c r="AI66" s="97">
        <v>458.12418683398005</v>
      </c>
      <c r="AJ66" s="97">
        <v>47730.845433984214</v>
      </c>
      <c r="AK66" s="97">
        <v>48246.658199395031</v>
      </c>
      <c r="AL66" s="97">
        <v>515.81276541081468</v>
      </c>
      <c r="AM66" s="97">
        <v>43936.07767042156</v>
      </c>
    </row>
    <row r="67" spans="1:39" x14ac:dyDescent="0.25">
      <c r="A67" s="97">
        <v>65</v>
      </c>
      <c r="B67" s="97">
        <v>3.5916666666666665E-4</v>
      </c>
      <c r="C67" s="97">
        <v>657.86207128548153</v>
      </c>
      <c r="D67" s="97">
        <v>1319.1520483214251</v>
      </c>
      <c r="E67" s="97">
        <v>920.78751359044429</v>
      </c>
      <c r="F67" s="97">
        <v>1200.2647856943204</v>
      </c>
      <c r="G67" s="97">
        <v>4373.4994527935496</v>
      </c>
      <c r="H67" s="97">
        <v>5818.4714972759757</v>
      </c>
      <c r="I67" s="97">
        <v>50</v>
      </c>
      <c r="J67" s="97">
        <v>45</v>
      </c>
      <c r="K67" s="97">
        <v>3583.1554149349226</v>
      </c>
      <c r="L67" s="97">
        <v>7184.9814898573613</v>
      </c>
      <c r="M67" s="97">
        <v>5015.2226573559528</v>
      </c>
      <c r="N67" s="97">
        <v>6108.347538529345</v>
      </c>
      <c r="O67" s="97">
        <v>70894.426129783446</v>
      </c>
      <c r="P67" s="97">
        <v>157510.27802274929</v>
      </c>
      <c r="Q67" s="97">
        <v>13346.178845313101</v>
      </c>
      <c r="R67" s="97">
        <v>263642.59009852342</v>
      </c>
      <c r="S67" s="97">
        <v>13468010.349621778</v>
      </c>
      <c r="T67" s="97">
        <v>11598315.230501214</v>
      </c>
      <c r="U67" s="45">
        <v>0</v>
      </c>
      <c r="V67">
        <v>0</v>
      </c>
      <c r="W67">
        <v>3.5916666666666665E-4</v>
      </c>
      <c r="X67" s="97">
        <v>5818.4714972759757</v>
      </c>
      <c r="Y67" s="97">
        <v>14.503997865526552</v>
      </c>
      <c r="Z67" s="97">
        <v>1003.5015674227935</v>
      </c>
      <c r="AA67" s="97">
        <v>161.2307885101055</v>
      </c>
      <c r="AB67" s="97">
        <v>11.084710608824169</v>
      </c>
      <c r="AC67" s="97">
        <v>415.63837031480364</v>
      </c>
      <c r="AD67" s="97">
        <v>167.67609580140839</v>
      </c>
      <c r="AE67" s="97">
        <v>487.67858754989743</v>
      </c>
      <c r="AF67" s="97">
        <v>606.10296374696054</v>
      </c>
      <c r="AG67" s="97">
        <v>177.7859099415015</v>
      </c>
      <c r="AH67" s="97">
        <v>43477.953483587582</v>
      </c>
      <c r="AI67" s="97">
        <v>458.12418683398005</v>
      </c>
      <c r="AJ67" s="97">
        <v>47730.845433984214</v>
      </c>
      <c r="AK67" s="97">
        <v>48246.658199395031</v>
      </c>
      <c r="AL67" s="97">
        <v>515.81276541081468</v>
      </c>
      <c r="AM67" s="97">
        <v>43936.07767042156</v>
      </c>
    </row>
    <row r="68" spans="1:39" x14ac:dyDescent="0.25">
      <c r="A68" s="97">
        <v>66</v>
      </c>
      <c r="B68" s="97">
        <v>3.5916666666666665E-4</v>
      </c>
      <c r="C68" s="97">
        <v>650.8395480596671</v>
      </c>
      <c r="D68" s="97">
        <v>1315.7353922742795</v>
      </c>
      <c r="E68" s="97">
        <v>920.42901267383127</v>
      </c>
      <c r="F68" s="97">
        <v>1197.3211758395939</v>
      </c>
      <c r="G68" s="97">
        <v>4364.588123796133</v>
      </c>
      <c r="H68" s="97">
        <v>5830.7408984648237</v>
      </c>
      <c r="I68" s="97">
        <v>50</v>
      </c>
      <c r="J68" s="97">
        <v>45</v>
      </c>
      <c r="K68" s="97">
        <v>3544.9060717649863</v>
      </c>
      <c r="L68" s="97">
        <v>7166.3721032539088</v>
      </c>
      <c r="M68" s="97">
        <v>5013.2700223634674</v>
      </c>
      <c r="N68" s="97">
        <v>6093.3670173769997</v>
      </c>
      <c r="O68" s="97">
        <v>70749.973486735325</v>
      </c>
      <c r="P68" s="97">
        <v>158635.52848908069</v>
      </c>
      <c r="Q68" s="97">
        <v>13413.622478885471</v>
      </c>
      <c r="R68" s="97">
        <v>264617.03966946085</v>
      </c>
      <c r="S68" s="97">
        <v>13732627.38929124</v>
      </c>
      <c r="T68" s="97">
        <v>11799425.824901372</v>
      </c>
      <c r="U68" s="45">
        <v>0</v>
      </c>
      <c r="V68">
        <v>0</v>
      </c>
      <c r="W68">
        <v>3.5916666666666665E-4</v>
      </c>
      <c r="X68" s="97">
        <v>5830.7408984648237</v>
      </c>
      <c r="Y68" s="97">
        <v>14.47446256678918</v>
      </c>
      <c r="Z68" s="97">
        <v>1017.9760299895827</v>
      </c>
      <c r="AA68" s="97">
        <v>160.96453289249217</v>
      </c>
      <c r="AB68" s="97">
        <v>11.06268201254613</v>
      </c>
      <c r="AC68" s="97">
        <v>420.02576836279337</v>
      </c>
      <c r="AD68" s="97">
        <v>168.52343085477065</v>
      </c>
      <c r="AE68" s="97">
        <v>496.18950471736753</v>
      </c>
      <c r="AF68" s="97">
        <v>620.4769853920709</v>
      </c>
      <c r="AG68" s="97">
        <v>181.0960298543684</v>
      </c>
      <c r="AH68" s="97">
        <v>43477.953483587582</v>
      </c>
      <c r="AI68" s="97">
        <v>458.12418683398005</v>
      </c>
      <c r="AJ68" s="97">
        <v>47730.845433984214</v>
      </c>
      <c r="AK68" s="97">
        <v>48246.658199395031</v>
      </c>
      <c r="AL68" s="97">
        <v>515.81276541081468</v>
      </c>
      <c r="AM68" s="97">
        <v>43936.07767042156</v>
      </c>
    </row>
    <row r="69" spans="1:39" x14ac:dyDescent="0.25">
      <c r="A69" s="97">
        <v>67</v>
      </c>
      <c r="B69" s="97">
        <v>3.5916666666666665E-4</v>
      </c>
      <c r="C69" s="97">
        <v>643.89198862126295</v>
      </c>
      <c r="D69" s="97">
        <v>1312.2727206036518</v>
      </c>
      <c r="E69" s="97">
        <v>920.0492405222152</v>
      </c>
      <c r="F69" s="97">
        <v>1194.4049147715909</v>
      </c>
      <c r="G69" s="97">
        <v>4355.6898618026189</v>
      </c>
      <c r="H69" s="97">
        <v>5842.9802093513636</v>
      </c>
      <c r="I69" s="97">
        <v>50</v>
      </c>
      <c r="J69" s="97">
        <v>45</v>
      </c>
      <c r="K69" s="97">
        <v>3507.0650313571455</v>
      </c>
      <c r="L69" s="97">
        <v>7147.5120848878896</v>
      </c>
      <c r="M69" s="97">
        <v>5011.2015300443318</v>
      </c>
      <c r="N69" s="97">
        <v>6078.5256787584212</v>
      </c>
      <c r="O69" s="97">
        <v>70605.732659820453</v>
      </c>
      <c r="P69" s="97">
        <v>159735.14512731708</v>
      </c>
      <c r="Q69" s="97">
        <v>13479.070125820066</v>
      </c>
      <c r="R69" s="97">
        <v>265564.2522380054</v>
      </c>
      <c r="S69" s="97">
        <v>13998191.641529245</v>
      </c>
      <c r="T69" s="97">
        <v>12000418.835860325</v>
      </c>
      <c r="U69" s="45">
        <v>0</v>
      </c>
      <c r="V69">
        <v>0</v>
      </c>
      <c r="W69">
        <v>3.5916666666666665E-4</v>
      </c>
      <c r="X69" s="97">
        <v>5842.9802093513636</v>
      </c>
      <c r="Y69" s="97">
        <v>14.444969777459789</v>
      </c>
      <c r="Z69" s="97">
        <v>1032.4209997670425</v>
      </c>
      <c r="AA69" s="97">
        <v>160.69686448596903</v>
      </c>
      <c r="AB69" s="97">
        <v>11.040675900380744</v>
      </c>
      <c r="AC69" s="97">
        <v>424.32069729537363</v>
      </c>
      <c r="AD69" s="97">
        <v>169.34568912394079</v>
      </c>
      <c r="AE69" s="97">
        <v>504.71407227716145</v>
      </c>
      <c r="AF69" s="97">
        <v>634.92822456031763</v>
      </c>
      <c r="AG69" s="97">
        <v>184.39979821305906</v>
      </c>
      <c r="AH69" s="97">
        <v>43477.953483587582</v>
      </c>
      <c r="AI69" s="97">
        <v>458.12418683398005</v>
      </c>
      <c r="AJ69" s="97">
        <v>47730.845433984214</v>
      </c>
      <c r="AK69" s="97">
        <v>48246.658199395031</v>
      </c>
      <c r="AL69" s="97">
        <v>515.81276541081468</v>
      </c>
      <c r="AM69" s="97">
        <v>43936.07767042156</v>
      </c>
    </row>
    <row r="70" spans="1:39" x14ac:dyDescent="0.25">
      <c r="A70" s="97">
        <v>68</v>
      </c>
      <c r="B70" s="97">
        <v>3.5916666666666665E-4</v>
      </c>
      <c r="C70" s="97">
        <v>637.0185927494307</v>
      </c>
      <c r="D70" s="97">
        <v>1308.7651625107835</v>
      </c>
      <c r="E70" s="97">
        <v>919.64809079302927</v>
      </c>
      <c r="F70" s="97">
        <v>1191.5154877063965</v>
      </c>
      <c r="G70" s="97">
        <v>4346.8048830958987</v>
      </c>
      <c r="H70" s="97">
        <v>5855.1897095016047</v>
      </c>
      <c r="I70" s="97">
        <v>50</v>
      </c>
      <c r="J70" s="97">
        <v>45</v>
      </c>
      <c r="K70" s="97">
        <v>3469.6279351752323</v>
      </c>
      <c r="L70" s="97">
        <v>7128.4075851420666</v>
      </c>
      <c r="M70" s="97">
        <v>5009.0166011860329</v>
      </c>
      <c r="N70" s="97">
        <v>6063.8209028524689</v>
      </c>
      <c r="O70" s="97">
        <v>70461.707154984528</v>
      </c>
      <c r="P70" s="97">
        <v>160809.55403756164</v>
      </c>
      <c r="Q70" s="97">
        <v>13542.570508906738</v>
      </c>
      <c r="R70" s="97">
        <v>266484.7047258087</v>
      </c>
      <c r="S70" s="97">
        <v>14264676.346255055</v>
      </c>
      <c r="T70" s="97">
        <v>12201271.607186753</v>
      </c>
      <c r="U70" s="45">
        <v>0</v>
      </c>
      <c r="V70">
        <v>0</v>
      </c>
      <c r="W70">
        <v>3.5916666666666665E-4</v>
      </c>
      <c r="X70" s="97">
        <v>5855.1897095016047</v>
      </c>
      <c r="Y70" s="97">
        <v>14.415520234473718</v>
      </c>
      <c r="Z70" s="97">
        <v>1046.8365200015162</v>
      </c>
      <c r="AA70" s="97">
        <v>160.42783552678767</v>
      </c>
      <c r="AB70" s="97">
        <v>11.018693027193112</v>
      </c>
      <c r="AC70" s="97">
        <v>428.52466543482387</v>
      </c>
      <c r="AD70" s="97">
        <v>170.14348274271924</v>
      </c>
      <c r="AE70" s="97">
        <v>513.25175623671078</v>
      </c>
      <c r="AF70" s="97">
        <v>649.45460987525109</v>
      </c>
      <c r="AG70" s="97">
        <v>187.69718956487961</v>
      </c>
      <c r="AH70" s="97">
        <v>43477.953483587582</v>
      </c>
      <c r="AI70" s="97">
        <v>458.12418683398005</v>
      </c>
      <c r="AJ70" s="97">
        <v>47730.845433984214</v>
      </c>
      <c r="AK70" s="97">
        <v>48246.658199395031</v>
      </c>
      <c r="AL70" s="97">
        <v>515.81276541081468</v>
      </c>
      <c r="AM70" s="97">
        <v>43936.07767042156</v>
      </c>
    </row>
    <row r="71" spans="1:39" x14ac:dyDescent="0.25">
      <c r="A71" s="97">
        <v>69</v>
      </c>
      <c r="B71" s="97">
        <v>3.5916666666666665E-4</v>
      </c>
      <c r="C71" s="97">
        <v>630.21856876550169</v>
      </c>
      <c r="D71" s="97">
        <v>1305.2138302084243</v>
      </c>
      <c r="E71" s="97">
        <v>919.22546663689616</v>
      </c>
      <c r="F71" s="97">
        <v>1188.6523841804044</v>
      </c>
      <c r="G71" s="97">
        <v>4337.9333976491635</v>
      </c>
      <c r="H71" s="97">
        <v>5867.3696732193093</v>
      </c>
      <c r="I71" s="97">
        <v>50</v>
      </c>
      <c r="J71" s="97">
        <v>45</v>
      </c>
      <c r="K71" s="97">
        <v>3432.5904712094325</v>
      </c>
      <c r="L71" s="97">
        <v>7109.0646618685505</v>
      </c>
      <c r="M71" s="97">
        <v>5006.7147082822939</v>
      </c>
      <c r="N71" s="97">
        <v>6049.2500918247742</v>
      </c>
      <c r="O71" s="97">
        <v>70317.900375892947</v>
      </c>
      <c r="P71" s="97">
        <v>161859.17457575985</v>
      </c>
      <c r="Q71" s="97">
        <v>13604.170871102149</v>
      </c>
      <c r="R71" s="97">
        <v>267378.86575593997</v>
      </c>
      <c r="S71" s="97">
        <v>14532055.212010995</v>
      </c>
      <c r="T71" s="97">
        <v>12401962.108163785</v>
      </c>
      <c r="U71" s="45">
        <v>0</v>
      </c>
      <c r="V71">
        <v>0</v>
      </c>
      <c r="W71">
        <v>3.5916666666666665E-4</v>
      </c>
      <c r="X71" s="97">
        <v>5867.3696732193093</v>
      </c>
      <c r="Y71" s="97">
        <v>14.386114653637302</v>
      </c>
      <c r="Z71" s="97">
        <v>1061.2226346551536</v>
      </c>
      <c r="AA71" s="97">
        <v>160.15749703831298</v>
      </c>
      <c r="AB71" s="97">
        <v>10.996734130050182</v>
      </c>
      <c r="AC71" s="97">
        <v>432.63915761635661</v>
      </c>
      <c r="AD71" s="97">
        <v>170.91740525286951</v>
      </c>
      <c r="AE71" s="97">
        <v>521.80203198878905</v>
      </c>
      <c r="AF71" s="97">
        <v>664.05411344182357</v>
      </c>
      <c r="AG71" s="97">
        <v>190.98817921024738</v>
      </c>
      <c r="AH71" s="97">
        <v>43477.953483587582</v>
      </c>
      <c r="AI71" s="97">
        <v>458.12418683398005</v>
      </c>
      <c r="AJ71" s="97">
        <v>47730.845433984214</v>
      </c>
      <c r="AK71" s="97">
        <v>48246.658199395031</v>
      </c>
      <c r="AL71" s="97">
        <v>515.81276541081468</v>
      </c>
      <c r="AM71" s="97">
        <v>43936.07767042156</v>
      </c>
    </row>
    <row r="72" spans="1:39" x14ac:dyDescent="0.25">
      <c r="A72" s="97">
        <v>70</v>
      </c>
      <c r="B72" s="97">
        <v>3.5916666666666665E-4</v>
      </c>
      <c r="C72" s="97">
        <v>623.49113344179125</v>
      </c>
      <c r="D72" s="97">
        <v>1301.619819140346</v>
      </c>
      <c r="E72" s="97">
        <v>918.7812804683316</v>
      </c>
      <c r="F72" s="97">
        <v>1185.8150981051954</v>
      </c>
      <c r="G72" s="97">
        <v>4329.0756092006268</v>
      </c>
      <c r="H72" s="97">
        <v>5879.5203695901546</v>
      </c>
      <c r="I72" s="97">
        <v>50</v>
      </c>
      <c r="J72" s="97">
        <v>45</v>
      </c>
      <c r="K72" s="97">
        <v>3395.9483734796227</v>
      </c>
      <c r="L72" s="97">
        <v>7089.4892815844169</v>
      </c>
      <c r="M72" s="97">
        <v>5004.2953742841792</v>
      </c>
      <c r="N72" s="97">
        <v>6034.8106701070228</v>
      </c>
      <c r="O72" s="97">
        <v>70174.315625142161</v>
      </c>
      <c r="P72" s="97">
        <v>162884.41945854708</v>
      </c>
      <c r="Q72" s="97">
        <v>13663.917031071645</v>
      </c>
      <c r="R72" s="97">
        <v>268247.1958142161</v>
      </c>
      <c r="S72" s="97">
        <v>14800302.407825211</v>
      </c>
      <c r="T72" s="97">
        <v>12602468.919399776</v>
      </c>
      <c r="U72" s="45">
        <v>0</v>
      </c>
      <c r="V72">
        <v>0</v>
      </c>
      <c r="W72">
        <v>3.5916666666666665E-4</v>
      </c>
      <c r="X72" s="97">
        <v>5879.5203695901546</v>
      </c>
      <c r="Y72" s="97">
        <v>14.356753729874395</v>
      </c>
      <c r="Z72" s="97">
        <v>1075.5793883850279</v>
      </c>
      <c r="AA72" s="97">
        <v>159.88589885544027</v>
      </c>
      <c r="AB72" s="97">
        <v>10.974799928387899</v>
      </c>
      <c r="AC72" s="97">
        <v>436.66563554769624</v>
      </c>
      <c r="AD72" s="97">
        <v>171.66803230192406</v>
      </c>
      <c r="AE72" s="97">
        <v>530.36438415957446</v>
      </c>
      <c r="AF72" s="97">
        <v>678.72474975184537</v>
      </c>
      <c r="AG72" s="97">
        <v>194.27274318680318</v>
      </c>
      <c r="AH72" s="97">
        <v>43477.953483587582</v>
      </c>
      <c r="AI72" s="97">
        <v>458.12418683398005</v>
      </c>
      <c r="AJ72" s="97">
        <v>47730.845433984214</v>
      </c>
      <c r="AK72" s="97">
        <v>48246.658199395031</v>
      </c>
      <c r="AL72" s="97">
        <v>515.81276541081468</v>
      </c>
      <c r="AM72" s="97">
        <v>43936.07767042156</v>
      </c>
    </row>
    <row r="73" spans="1:39" x14ac:dyDescent="0.25">
      <c r="A73" s="97">
        <v>71</v>
      </c>
      <c r="B73" s="97">
        <v>3.5916666666666665E-4</v>
      </c>
      <c r="C73" s="97">
        <v>616.83551191138645</v>
      </c>
      <c r="D73" s="97">
        <v>1297.9842081982179</v>
      </c>
      <c r="E73" s="97">
        <v>918.31545374057896</v>
      </c>
      <c r="F73" s="97">
        <v>1183.0031278194033</v>
      </c>
      <c r="G73" s="97">
        <v>4320.2317153284439</v>
      </c>
      <c r="H73" s="97">
        <v>5891.6420625264591</v>
      </c>
      <c r="I73" s="97">
        <v>50</v>
      </c>
      <c r="J73" s="97">
        <v>45</v>
      </c>
      <c r="K73" s="97">
        <v>3359.6974215440182</v>
      </c>
      <c r="L73" s="97">
        <v>7069.6873206529599</v>
      </c>
      <c r="M73" s="97">
        <v>5001.7581713736863</v>
      </c>
      <c r="N73" s="97">
        <v>6020.5000846609128</v>
      </c>
      <c r="O73" s="97">
        <v>70030.956105474077</v>
      </c>
      <c r="P73" s="97">
        <v>163885.6948664347</v>
      </c>
      <c r="Q73" s="97">
        <v>13721.85343637842</v>
      </c>
      <c r="R73" s="97">
        <v>269090.14740651875</v>
      </c>
      <c r="S73" s="97">
        <v>15069392.55523173</v>
      </c>
      <c r="T73" s="97">
        <v>12802771.218998179</v>
      </c>
      <c r="U73" s="45">
        <v>0</v>
      </c>
      <c r="V73">
        <v>0</v>
      </c>
      <c r="W73">
        <v>3.5916666666666665E-4</v>
      </c>
      <c r="X73" s="97">
        <v>5891.6420625264591</v>
      </c>
      <c r="Y73" s="97">
        <v>14.327438137473672</v>
      </c>
      <c r="Z73" s="97">
        <v>1089.9068265225014</v>
      </c>
      <c r="AA73" s="97">
        <v>159.61308964853393</v>
      </c>
      <c r="AB73" s="97">
        <v>10.952891124180082</v>
      </c>
      <c r="AC73" s="97">
        <v>440.60553816305162</v>
      </c>
      <c r="AD73" s="97">
        <v>172.39592231143189</v>
      </c>
      <c r="AE73" s="97">
        <v>538.93830645904723</v>
      </c>
      <c r="AF73" s="97">
        <v>693.46457462502974</v>
      </c>
      <c r="AG73" s="97">
        <v>197.55085825392271</v>
      </c>
      <c r="AH73" s="97">
        <v>43477.953483587582</v>
      </c>
      <c r="AI73" s="97">
        <v>458.12418683398005</v>
      </c>
      <c r="AJ73" s="97">
        <v>47730.845433984214</v>
      </c>
      <c r="AK73" s="97">
        <v>48246.658199395031</v>
      </c>
      <c r="AL73" s="97">
        <v>515.81276541081468</v>
      </c>
      <c r="AM73" s="97">
        <v>43936.07767042156</v>
      </c>
    </row>
    <row r="74" spans="1:39" x14ac:dyDescent="0.25">
      <c r="A74" s="97">
        <v>72</v>
      </c>
      <c r="B74" s="97">
        <v>3.5916666666666665E-4</v>
      </c>
      <c r="C74" s="97">
        <v>610.25093757889681</v>
      </c>
      <c r="D74" s="97">
        <v>1294.308059935875</v>
      </c>
      <c r="E74" s="97">
        <v>917.82791672450992</v>
      </c>
      <c r="F74" s="97">
        <v>1180.215976137647</v>
      </c>
      <c r="G74" s="97">
        <v>4311.4019075257984</v>
      </c>
      <c r="H74" s="97">
        <v>5903.7350108124338</v>
      </c>
      <c r="I74" s="97">
        <v>51</v>
      </c>
      <c r="J74" s="97">
        <v>45</v>
      </c>
      <c r="K74" s="97">
        <v>3323.833440013058</v>
      </c>
      <c r="L74" s="97">
        <v>7049.6645664507323</v>
      </c>
      <c r="M74" s="97">
        <v>4999.1027197594967</v>
      </c>
      <c r="N74" s="97">
        <v>6006.3158052271747</v>
      </c>
      <c r="O74" s="97">
        <v>69887.824920993196</v>
      </c>
      <c r="P74" s="97">
        <v>164863.40054536253</v>
      </c>
      <c r="Q74" s="97">
        <v>13778.023214424704</v>
      </c>
      <c r="R74" s="97">
        <v>269908.16521223087</v>
      </c>
      <c r="S74" s="97">
        <v>15339300.72044396</v>
      </c>
      <c r="T74" s="97">
        <v>13002848.769038521</v>
      </c>
      <c r="U74" s="45">
        <v>0</v>
      </c>
      <c r="V74">
        <v>0</v>
      </c>
      <c r="W74">
        <v>3.5916666666666665E-4</v>
      </c>
      <c r="X74" s="97">
        <v>5903.7350108124338</v>
      </c>
      <c r="Y74" s="97">
        <v>14.298168530336577</v>
      </c>
      <c r="Z74" s="97">
        <v>1104.2049950528381</v>
      </c>
      <c r="AA74" s="97">
        <v>159.34439161082688</v>
      </c>
      <c r="AB74" s="97">
        <v>10.92573373817927</v>
      </c>
      <c r="AC74" s="97">
        <v>444.45500730764462</v>
      </c>
      <c r="AD74" s="97">
        <v>173.10161711696344</v>
      </c>
      <c r="AE74" s="97">
        <v>547.52330153368678</v>
      </c>
      <c r="AF74" s="97">
        <v>708.27168418422423</v>
      </c>
      <c r="AG74" s="97">
        <v>200.82250187761369</v>
      </c>
      <c r="AH74" s="97">
        <v>50477.644239678863</v>
      </c>
      <c r="AI74" s="97">
        <v>581.39601286349182</v>
      </c>
      <c r="AJ74" s="97">
        <v>56664.421689185205</v>
      </c>
      <c r="AK74" s="97">
        <v>57337.564013333191</v>
      </c>
      <c r="AL74" s="97">
        <v>673.14232414798812</v>
      </c>
      <c r="AM74" s="97">
        <v>51059.040252542356</v>
      </c>
    </row>
    <row r="75" spans="1:39" x14ac:dyDescent="0.25">
      <c r="A75" s="97">
        <v>73</v>
      </c>
      <c r="B75" s="97">
        <v>3.925E-4</v>
      </c>
      <c r="C75" s="97">
        <v>603.71631033423853</v>
      </c>
      <c r="D75" s="97">
        <v>1290.5492771790096</v>
      </c>
      <c r="E75" s="97">
        <v>917.28801402763736</v>
      </c>
      <c r="F75" s="97">
        <v>1177.4138098640642</v>
      </c>
      <c r="G75" s="97">
        <v>4302.4426578792109</v>
      </c>
      <c r="H75" s="97">
        <v>5915.7994681499404</v>
      </c>
      <c r="I75" s="97">
        <v>51</v>
      </c>
      <c r="J75" s="97">
        <v>45</v>
      </c>
      <c r="K75" s="97">
        <v>3288.2415036204857</v>
      </c>
      <c r="L75" s="97">
        <v>7029.1917297016716</v>
      </c>
      <c r="M75" s="97">
        <v>4996.1620497371978</v>
      </c>
      <c r="N75" s="97">
        <v>5992.0551140332</v>
      </c>
      <c r="O75" s="97">
        <v>69742.595484222009</v>
      </c>
      <c r="P75" s="97">
        <v>165812.42473575435</v>
      </c>
      <c r="Q75" s="97">
        <v>13832.008953804449</v>
      </c>
      <c r="R75" s="97">
        <v>270692.67957087338</v>
      </c>
      <c r="S75" s="97">
        <v>15609993.400014834</v>
      </c>
      <c r="T75" s="97">
        <v>13202675.253603911</v>
      </c>
      <c r="U75" s="45">
        <v>0</v>
      </c>
      <c r="V75">
        <v>0</v>
      </c>
      <c r="W75">
        <v>3.925E-4</v>
      </c>
      <c r="X75" s="97">
        <v>5915.7994681499404</v>
      </c>
      <c r="Y75" s="97">
        <v>14.268945542225833</v>
      </c>
      <c r="Z75" s="97">
        <v>1118.4739405950638</v>
      </c>
      <c r="AA75" s="97">
        <v>159.06913413658773</v>
      </c>
      <c r="AB75" s="97">
        <v>10.903888312218829</v>
      </c>
      <c r="AC75" s="97">
        <v>448.20599216480883</v>
      </c>
      <c r="AD75" s="97">
        <v>173.77987252722468</v>
      </c>
      <c r="AE75" s="97">
        <v>556.11888082143253</v>
      </c>
      <c r="AF75" s="97">
        <v>723.14424947763382</v>
      </c>
      <c r="AG75" s="97">
        <v>204.39068240958443</v>
      </c>
      <c r="AH75" s="97">
        <v>50477.644239678863</v>
      </c>
      <c r="AI75" s="97">
        <v>581.39601286349182</v>
      </c>
      <c r="AJ75" s="97">
        <v>56664.421689185205</v>
      </c>
      <c r="AK75" s="97">
        <v>57337.564013333191</v>
      </c>
      <c r="AL75" s="97">
        <v>673.14232414798812</v>
      </c>
      <c r="AM75" s="97">
        <v>51059.040252542356</v>
      </c>
    </row>
    <row r="76" spans="1:39" x14ac:dyDescent="0.25">
      <c r="A76" s="97">
        <v>74</v>
      </c>
      <c r="B76" s="97">
        <v>3.925E-4</v>
      </c>
      <c r="C76" s="97">
        <v>597.25165652279782</v>
      </c>
      <c r="D76" s="97">
        <v>1286.7522831877022</v>
      </c>
      <c r="E76" s="97">
        <v>916.72632214633461</v>
      </c>
      <c r="F76" s="97">
        <v>1174.6356669329427</v>
      </c>
      <c r="G76" s="97">
        <v>4293.4984518274832</v>
      </c>
      <c r="H76" s="97">
        <v>5927.8352810561364</v>
      </c>
      <c r="I76" s="97">
        <v>51</v>
      </c>
      <c r="J76" s="97">
        <v>45</v>
      </c>
      <c r="K76" s="97">
        <v>3253.0306891941718</v>
      </c>
      <c r="L76" s="97">
        <v>7008.5107690956847</v>
      </c>
      <c r="M76" s="97">
        <v>4993.1027012903687</v>
      </c>
      <c r="N76" s="97">
        <v>5977.9166816329007</v>
      </c>
      <c r="O76" s="97">
        <v>69597.609904123514</v>
      </c>
      <c r="P76" s="97">
        <v>166738.58700533755</v>
      </c>
      <c r="Q76" s="97">
        <v>13884.306922420295</v>
      </c>
      <c r="R76" s="97">
        <v>271453.06467309449</v>
      </c>
      <c r="S76" s="97">
        <v>15881446.464687929</v>
      </c>
      <c r="T76" s="97">
        <v>13402231.573013747</v>
      </c>
      <c r="U76" s="45">
        <v>0</v>
      </c>
      <c r="V76">
        <v>0</v>
      </c>
      <c r="W76">
        <v>3.925E-4</v>
      </c>
      <c r="X76" s="97">
        <v>5927.8352810561364</v>
      </c>
      <c r="Y76" s="97">
        <v>14.23929415549633</v>
      </c>
      <c r="Z76" s="97">
        <v>1132.7132347505601</v>
      </c>
      <c r="AA76" s="97">
        <v>158.79265884719211</v>
      </c>
      <c r="AB76" s="97">
        <v>10.881743156703592</v>
      </c>
      <c r="AC76" s="97">
        <v>451.87446482794206</v>
      </c>
      <c r="AD76" s="97">
        <v>174.43692345524587</v>
      </c>
      <c r="AE76" s="97">
        <v>564.72427768117518</v>
      </c>
      <c r="AF76" s="97">
        <v>738.07994730354051</v>
      </c>
      <c r="AG76" s="97">
        <v>207.9516249488187</v>
      </c>
      <c r="AH76" s="97">
        <v>50477.644239678863</v>
      </c>
      <c r="AI76" s="97">
        <v>581.39601286349182</v>
      </c>
      <c r="AJ76" s="97">
        <v>56664.421689185205</v>
      </c>
      <c r="AK76" s="97">
        <v>57337.564013333191</v>
      </c>
      <c r="AL76" s="97">
        <v>673.14232414798812</v>
      </c>
      <c r="AM76" s="97">
        <v>51059.040252542356</v>
      </c>
    </row>
    <row r="77" spans="1:39" x14ac:dyDescent="0.25">
      <c r="A77" s="97">
        <v>75</v>
      </c>
      <c r="B77" s="97">
        <v>3.925E-4</v>
      </c>
      <c r="C77" s="97">
        <v>590.85622686214845</v>
      </c>
      <c r="D77" s="97">
        <v>1282.9180965958637</v>
      </c>
      <c r="E77" s="97">
        <v>916.14279869815971</v>
      </c>
      <c r="F77" s="97">
        <v>1171.8810614591684</v>
      </c>
      <c r="G77" s="97">
        <v>4284.5694615859738</v>
      </c>
      <c r="H77" s="97">
        <v>5939.8426951035235</v>
      </c>
      <c r="I77" s="97">
        <v>51</v>
      </c>
      <c r="J77" s="97">
        <v>45</v>
      </c>
      <c r="K77" s="97">
        <v>3218.1969156425016</v>
      </c>
      <c r="L77" s="97">
        <v>6987.6272327921379</v>
      </c>
      <c r="M77" s="97">
        <v>4989.9244435759765</v>
      </c>
      <c r="N77" s="97">
        <v>5963.8980352759509</v>
      </c>
      <c r="O77" s="97">
        <v>69452.870972308636</v>
      </c>
      <c r="P77" s="97">
        <v>167642.27112528804</v>
      </c>
      <c r="Q77" s="97">
        <v>13934.956725277256</v>
      </c>
      <c r="R77" s="97">
        <v>272189.74545016052</v>
      </c>
      <c r="S77" s="97">
        <v>16153636.21013809</v>
      </c>
      <c r="T77" s="97">
        <v>13601499.175105298</v>
      </c>
      <c r="U77" s="45">
        <v>0</v>
      </c>
      <c r="V77">
        <v>0</v>
      </c>
      <c r="W77">
        <v>3.925E-4</v>
      </c>
      <c r="X77" s="97">
        <v>5939.8426951035235</v>
      </c>
      <c r="Y77" s="97">
        <v>14.209692556803391</v>
      </c>
      <c r="Z77" s="97">
        <v>1146.9229273073636</v>
      </c>
      <c r="AA77" s="97">
        <v>158.51501401283721</v>
      </c>
      <c r="AB77" s="97">
        <v>10.859627340718722</v>
      </c>
      <c r="AC77" s="97">
        <v>455.46178255896962</v>
      </c>
      <c r="AD77" s="97">
        <v>175.07326748259635</v>
      </c>
      <c r="AE77" s="97">
        <v>573.33901984361637</v>
      </c>
      <c r="AF77" s="97">
        <v>753.07698318757321</v>
      </c>
      <c r="AG77" s="97">
        <v>211.50530755670965</v>
      </c>
      <c r="AH77" s="97">
        <v>50477.644239678863</v>
      </c>
      <c r="AI77" s="97">
        <v>581.39601286349182</v>
      </c>
      <c r="AJ77" s="97">
        <v>56664.421689185205</v>
      </c>
      <c r="AK77" s="97">
        <v>57337.564013333191</v>
      </c>
      <c r="AL77" s="97">
        <v>673.14232414798812</v>
      </c>
      <c r="AM77" s="97">
        <v>51059.040252542356</v>
      </c>
    </row>
    <row r="78" spans="1:39" x14ac:dyDescent="0.25">
      <c r="A78" s="97">
        <v>76</v>
      </c>
      <c r="B78" s="97">
        <v>3.925E-4</v>
      </c>
      <c r="C78" s="97">
        <v>584.52928009325433</v>
      </c>
      <c r="D78" s="97">
        <v>1279.0477203955941</v>
      </c>
      <c r="E78" s="97">
        <v>915.53740927909973</v>
      </c>
      <c r="F78" s="97">
        <v>1169.1495122660795</v>
      </c>
      <c r="G78" s="97">
        <v>4275.6558535634285</v>
      </c>
      <c r="H78" s="97">
        <v>5951.8219508977672</v>
      </c>
      <c r="I78" s="97">
        <v>51</v>
      </c>
      <c r="J78" s="97">
        <v>45</v>
      </c>
      <c r="K78" s="97">
        <v>3183.7361455745918</v>
      </c>
      <c r="L78" s="97">
        <v>6966.546583754669</v>
      </c>
      <c r="M78" s="97">
        <v>4986.6270892068296</v>
      </c>
      <c r="N78" s="97">
        <v>5949.9967261741222</v>
      </c>
      <c r="O78" s="97">
        <v>69308.38138626318</v>
      </c>
      <c r="P78" s="97">
        <v>168523.85475713722</v>
      </c>
      <c r="Q78" s="97">
        <v>13983.996826632019</v>
      </c>
      <c r="R78" s="97">
        <v>272903.13951474265</v>
      </c>
      <c r="S78" s="97">
        <v>16426539.349652832</v>
      </c>
      <c r="T78" s="97">
        <v>13800460.042796133</v>
      </c>
      <c r="U78" s="45">
        <v>0</v>
      </c>
      <c r="V78">
        <v>0</v>
      </c>
      <c r="W78">
        <v>3.925E-4</v>
      </c>
      <c r="X78" s="97">
        <v>5951.8219508977672</v>
      </c>
      <c r="Y78" s="97">
        <v>14.180141316108163</v>
      </c>
      <c r="Z78" s="97">
        <v>1161.1030686234717</v>
      </c>
      <c r="AA78" s="97">
        <v>158.23624675654881</v>
      </c>
      <c r="AB78" s="97">
        <v>10.837541478636222</v>
      </c>
      <c r="AC78" s="97">
        <v>458.9692813908901</v>
      </c>
      <c r="AD78" s="97">
        <v>175.6893878589361</v>
      </c>
      <c r="AE78" s="97">
        <v>581.96264346594035</v>
      </c>
      <c r="AF78" s="97">
        <v>768.13359938857627</v>
      </c>
      <c r="AG78" s="97">
        <v>215.05170900759254</v>
      </c>
      <c r="AH78" s="97">
        <v>50477.644239678863</v>
      </c>
      <c r="AI78" s="97">
        <v>581.39601286349182</v>
      </c>
      <c r="AJ78" s="97">
        <v>56664.421689185205</v>
      </c>
      <c r="AK78" s="97">
        <v>57337.564013333191</v>
      </c>
      <c r="AL78" s="97">
        <v>673.14232414798812</v>
      </c>
      <c r="AM78" s="97">
        <v>51059.040252542356</v>
      </c>
    </row>
    <row r="79" spans="1:39" x14ac:dyDescent="0.25">
      <c r="A79" s="97">
        <v>77</v>
      </c>
      <c r="B79" s="97">
        <v>3.925E-4</v>
      </c>
      <c r="C79" s="97">
        <v>578.27008289455432</v>
      </c>
      <c r="D79" s="97">
        <v>1275.1421421414516</v>
      </c>
      <c r="E79" s="97">
        <v>914.91012726053555</v>
      </c>
      <c r="F79" s="97">
        <v>1166.4405429200283</v>
      </c>
      <c r="G79" s="97">
        <v>4266.7577884384291</v>
      </c>
      <c r="H79" s="97">
        <v>5963.7732841258266</v>
      </c>
      <c r="I79" s="97">
        <v>51</v>
      </c>
      <c r="J79" s="97">
        <v>45</v>
      </c>
      <c r="K79" s="97">
        <v>3149.6443848323388</v>
      </c>
      <c r="L79" s="97">
        <v>6945.2742008637724</v>
      </c>
      <c r="M79" s="97">
        <v>4983.210493145717</v>
      </c>
      <c r="N79" s="97">
        <v>5936.2103296771766</v>
      </c>
      <c r="O79" s="97">
        <v>69164.14375058694</v>
      </c>
      <c r="P79" s="97">
        <v>169383.70954796622</v>
      </c>
      <c r="Q79" s="97">
        <v>14031.464591204411</v>
      </c>
      <c r="R79" s="97">
        <v>273593.65729827655</v>
      </c>
      <c r="S79" s="97">
        <v>16700133.006951109</v>
      </c>
      <c r="T79" s="97">
        <v>13999096.681923827</v>
      </c>
      <c r="U79" s="45">
        <v>0</v>
      </c>
      <c r="V79">
        <v>0</v>
      </c>
      <c r="W79">
        <v>3.925E-4</v>
      </c>
      <c r="X79" s="97">
        <v>5963.7732841258266</v>
      </c>
      <c r="Y79" s="97">
        <v>14.150640984154318</v>
      </c>
      <c r="Z79" s="97">
        <v>1175.253709607626</v>
      </c>
      <c r="AA79" s="97">
        <v>157.95640307765512</v>
      </c>
      <c r="AB79" s="97">
        <v>10.815486168344494</v>
      </c>
      <c r="AC79" s="97">
        <v>462.3982764529427</v>
      </c>
      <c r="AD79" s="97">
        <v>176.28575401978028</v>
      </c>
      <c r="AE79" s="97">
        <v>590.59469299406533</v>
      </c>
      <c r="AF79" s="97">
        <v>783.24807402057581</v>
      </c>
      <c r="AG79" s="97">
        <v>218.59080877404705</v>
      </c>
      <c r="AH79" s="97">
        <v>50477.644239678863</v>
      </c>
      <c r="AI79" s="97">
        <v>581.39601286349182</v>
      </c>
      <c r="AJ79" s="97">
        <v>56664.421689185205</v>
      </c>
      <c r="AK79" s="97">
        <v>57337.564013333191</v>
      </c>
      <c r="AL79" s="97">
        <v>673.14232414798812</v>
      </c>
      <c r="AM79" s="97">
        <v>51059.040252542356</v>
      </c>
    </row>
    <row r="80" spans="1:39" x14ac:dyDescent="0.25">
      <c r="A80" s="97">
        <v>78</v>
      </c>
      <c r="B80" s="97">
        <v>3.925E-4</v>
      </c>
      <c r="C80" s="97">
        <v>572.07790979696688</v>
      </c>
      <c r="D80" s="97">
        <v>1271.2023341522474</v>
      </c>
      <c r="E80" s="97">
        <v>914.26093358994387</v>
      </c>
      <c r="F80" s="97">
        <v>1163.7536817624264</v>
      </c>
      <c r="G80" s="97">
        <v>4257.8754212358172</v>
      </c>
      <c r="H80" s="97">
        <v>5975.6969256044395</v>
      </c>
      <c r="I80" s="97">
        <v>51</v>
      </c>
      <c r="J80" s="97">
        <v>45</v>
      </c>
      <c r="K80" s="97">
        <v>3115.9176820274793</v>
      </c>
      <c r="L80" s="97">
        <v>6923.8153800159071</v>
      </c>
      <c r="M80" s="97">
        <v>4979.6745516198944</v>
      </c>
      <c r="N80" s="97">
        <v>5922.5364454359478</v>
      </c>
      <c r="O80" s="97">
        <v>69020.160578232593</v>
      </c>
      <c r="P80" s="97">
        <v>170222.20122409385</v>
      </c>
      <c r="Q80" s="97">
        <v>14077.396323673438</v>
      </c>
      <c r="R80" s="97">
        <v>274261.70218509913</v>
      </c>
      <c r="S80" s="97">
        <v>16974394.709136207</v>
      </c>
      <c r="T80" s="97">
        <v>14197392.109356215</v>
      </c>
      <c r="U80" s="45">
        <v>0</v>
      </c>
      <c r="V80">
        <v>0</v>
      </c>
      <c r="W80">
        <v>3.925E-4</v>
      </c>
      <c r="X80" s="97">
        <v>5975.6969256044395</v>
      </c>
      <c r="Y80" s="97">
        <v>14.121192092721078</v>
      </c>
      <c r="Z80" s="97">
        <v>1189.374901700347</v>
      </c>
      <c r="AA80" s="97">
        <v>157.67552787479698</v>
      </c>
      <c r="AB80" s="97">
        <v>10.793461991429023</v>
      </c>
      <c r="AC80" s="97">
        <v>465.75006229072193</v>
      </c>
      <c r="AD80" s="97">
        <v>176.86282208271172</v>
      </c>
      <c r="AE80" s="97">
        <v>599.23472102702465</v>
      </c>
      <c r="AF80" s="97">
        <v>798.41872020181711</v>
      </c>
      <c r="AG80" s="97">
        <v>222.12258701255016</v>
      </c>
      <c r="AH80" s="97">
        <v>50477.644239678863</v>
      </c>
      <c r="AI80" s="97">
        <v>581.39601286349182</v>
      </c>
      <c r="AJ80" s="97">
        <v>56664.421689185205</v>
      </c>
      <c r="AK80" s="97">
        <v>57337.564013333191</v>
      </c>
      <c r="AL80" s="97">
        <v>673.14232414798812</v>
      </c>
      <c r="AM80" s="97">
        <v>51059.040252542356</v>
      </c>
    </row>
    <row r="81" spans="1:39" x14ac:dyDescent="0.25">
      <c r="A81" s="97">
        <v>79</v>
      </c>
      <c r="B81" s="97">
        <v>3.925E-4</v>
      </c>
      <c r="C81" s="97">
        <v>565.95204309980488</v>
      </c>
      <c r="D81" s="97">
        <v>1267.2292537103967</v>
      </c>
      <c r="E81" s="97">
        <v>913.58981659527774</v>
      </c>
      <c r="F81" s="97">
        <v>1161.0884619393353</v>
      </c>
      <c r="G81" s="97">
        <v>4249.0089014030773</v>
      </c>
      <c r="H81" s="97">
        <v>5987.5931013289337</v>
      </c>
      <c r="I81" s="97">
        <v>51</v>
      </c>
      <c r="J81" s="97">
        <v>45</v>
      </c>
      <c r="K81" s="97">
        <v>3082.5521280836037</v>
      </c>
      <c r="L81" s="97">
        <v>6902.1753352092937</v>
      </c>
      <c r="M81" s="97">
        <v>4976.019201055612</v>
      </c>
      <c r="N81" s="97">
        <v>5908.9726975529338</v>
      </c>
      <c r="O81" s="97">
        <v>68876.434291743892</v>
      </c>
      <c r="P81" s="97">
        <v>171039.68968328345</v>
      </c>
      <c r="Q81" s="97">
        <v>14121.827306533814</v>
      </c>
      <c r="R81" s="97">
        <v>274907.67064346257</v>
      </c>
      <c r="S81" s="97">
        <v>17249302.37977967</v>
      </c>
      <c r="T81" s="97">
        <v>14395329.841365676</v>
      </c>
      <c r="U81" s="45">
        <v>0</v>
      </c>
      <c r="V81">
        <v>0</v>
      </c>
      <c r="W81">
        <v>3.925E-4</v>
      </c>
      <c r="X81" s="97">
        <v>5987.5931013289337</v>
      </c>
      <c r="Y81" s="97">
        <v>14.091795154876131</v>
      </c>
      <c r="Z81" s="97">
        <v>1203.4666968552231</v>
      </c>
      <c r="AA81" s="97">
        <v>157.39366496848325</v>
      </c>
      <c r="AB81" s="97">
        <v>10.77146951335399</v>
      </c>
      <c r="AC81" s="97">
        <v>469.02591318132244</v>
      </c>
      <c r="AD81" s="97">
        <v>177.42103532299535</v>
      </c>
      <c r="AE81" s="97">
        <v>607.88228818344521</v>
      </c>
      <c r="AF81" s="97">
        <v>813.64388522983825</v>
      </c>
      <c r="AG81" s="97">
        <v>225.64702454946851</v>
      </c>
      <c r="AH81" s="97">
        <v>50477.644239678863</v>
      </c>
      <c r="AI81" s="97">
        <v>581.39601286349182</v>
      </c>
      <c r="AJ81" s="97">
        <v>56664.421689185205</v>
      </c>
      <c r="AK81" s="97">
        <v>57337.564013333191</v>
      </c>
      <c r="AL81" s="97">
        <v>673.14232414798812</v>
      </c>
      <c r="AM81" s="97">
        <v>51059.040252542356</v>
      </c>
    </row>
    <row r="82" spans="1:39" x14ac:dyDescent="0.25">
      <c r="A82" s="97">
        <v>80</v>
      </c>
      <c r="B82" s="97">
        <v>3.925E-4</v>
      </c>
      <c r="C82" s="97">
        <v>559.89177278759109</v>
      </c>
      <c r="D82" s="97">
        <v>1263.2238432588531</v>
      </c>
      <c r="E82" s="97">
        <v>912.89677179296712</v>
      </c>
      <c r="F82" s="97">
        <v>1158.444421428673</v>
      </c>
      <c r="G82" s="97">
        <v>4240.1583728866453</v>
      </c>
      <c r="H82" s="97">
        <v>5999.4620325223414</v>
      </c>
      <c r="I82" s="97">
        <v>51</v>
      </c>
      <c r="J82" s="97">
        <v>45</v>
      </c>
      <c r="K82" s="97">
        <v>3049.5438557830794</v>
      </c>
      <c r="L82" s="97">
        <v>6880.3591996165524</v>
      </c>
      <c r="M82" s="97">
        <v>4972.2444170323606</v>
      </c>
      <c r="N82" s="97">
        <v>5895.5167347207544</v>
      </c>
      <c r="O82" s="97">
        <v>68732.967224492531</v>
      </c>
      <c r="P82" s="97">
        <v>171836.52908549321</v>
      </c>
      <c r="Q82" s="97">
        <v>14164.791836385417</v>
      </c>
      <c r="R82" s="97">
        <v>275531.95235352393</v>
      </c>
      <c r="S82" s="97">
        <v>17524834.332133193</v>
      </c>
      <c r="T82" s="97">
        <v>14592893.882261107</v>
      </c>
      <c r="U82" s="45">
        <v>0</v>
      </c>
      <c r="V82">
        <v>0</v>
      </c>
      <c r="W82">
        <v>3.925E-4</v>
      </c>
      <c r="X82" s="97">
        <v>5999.4620325223414</v>
      </c>
      <c r="Y82" s="97">
        <v>14.062450665228438</v>
      </c>
      <c r="Z82" s="97">
        <v>1217.5291475204515</v>
      </c>
      <c r="AA82" s="97">
        <v>157.11085712320164</v>
      </c>
      <c r="AB82" s="97">
        <v>10.749509283644706</v>
      </c>
      <c r="AC82" s="97">
        <v>472.22708344359432</v>
      </c>
      <c r="AD82" s="97">
        <v>177.96082462950457</v>
      </c>
      <c r="AE82" s="97">
        <v>616.53696297009196</v>
      </c>
      <c r="AF82" s="97">
        <v>828.92194978158909</v>
      </c>
      <c r="AG82" s="97">
        <v>229.16410286738014</v>
      </c>
      <c r="AH82" s="97">
        <v>50477.644239678863</v>
      </c>
      <c r="AI82" s="97">
        <v>581.39601286349182</v>
      </c>
      <c r="AJ82" s="97">
        <v>56664.421689185205</v>
      </c>
      <c r="AK82" s="97">
        <v>57337.564013333191</v>
      </c>
      <c r="AL82" s="97">
        <v>673.14232414798812</v>
      </c>
      <c r="AM82" s="97">
        <v>51059.040252542356</v>
      </c>
    </row>
    <row r="83" spans="1:39" x14ac:dyDescent="0.25">
      <c r="A83" s="97">
        <v>81</v>
      </c>
      <c r="B83" s="97">
        <v>3.925E-4</v>
      </c>
      <c r="C83" s="97">
        <v>553.896396447764</v>
      </c>
      <c r="D83" s="97">
        <v>1259.1870305956563</v>
      </c>
      <c r="E83" s="97">
        <v>912.1818016994813</v>
      </c>
      <c r="F83" s="97">
        <v>1155.821103065095</v>
      </c>
      <c r="G83" s="97">
        <v>4231.3239742081296</v>
      </c>
      <c r="H83" s="97">
        <v>6011.3039356847912</v>
      </c>
      <c r="I83" s="97">
        <v>51</v>
      </c>
      <c r="J83" s="97">
        <v>45</v>
      </c>
      <c r="K83" s="97">
        <v>3016.8890393188212</v>
      </c>
      <c r="L83" s="97">
        <v>6858.3720266443406</v>
      </c>
      <c r="M83" s="97">
        <v>4968.3502132565081</v>
      </c>
      <c r="N83" s="97">
        <v>5882.1662303487792</v>
      </c>
      <c r="O83" s="97">
        <v>68589.761621913785</v>
      </c>
      <c r="P83" s="97">
        <v>172613.06794219406</v>
      </c>
      <c r="Q83" s="97">
        <v>14206.323258724864</v>
      </c>
      <c r="R83" s="97">
        <v>276134.93033240119</v>
      </c>
      <c r="S83" s="97">
        <v>17800969.262465592</v>
      </c>
      <c r="T83" s="97">
        <v>14790068.71327143</v>
      </c>
      <c r="U83" s="45">
        <v>0</v>
      </c>
      <c r="V83">
        <v>0</v>
      </c>
      <c r="W83">
        <v>3.925E-4</v>
      </c>
      <c r="X83" s="97">
        <v>6011.3039356847912</v>
      </c>
      <c r="Y83" s="97">
        <v>14.03315910018078</v>
      </c>
      <c r="Z83" s="97">
        <v>1231.5623066206322</v>
      </c>
      <c r="AA83" s="97">
        <v>156.82714606909354</v>
      </c>
      <c r="AB83" s="97">
        <v>10.727581836070799</v>
      </c>
      <c r="AC83" s="97">
        <v>475.35480774358837</v>
      </c>
      <c r="AD83" s="97">
        <v>178.4826089418288</v>
      </c>
      <c r="AE83" s="97">
        <v>625.19832165244634</v>
      </c>
      <c r="AF83" s="97">
        <v>844.25132713764742</v>
      </c>
      <c r="AG83" s="97">
        <v>232.67380409171543</v>
      </c>
      <c r="AH83" s="97">
        <v>50477.644239678863</v>
      </c>
      <c r="AI83" s="97">
        <v>581.39601286349182</v>
      </c>
      <c r="AJ83" s="97">
        <v>56664.421689185205</v>
      </c>
      <c r="AK83" s="97">
        <v>57337.564013333191</v>
      </c>
      <c r="AL83" s="97">
        <v>673.14232414798812</v>
      </c>
      <c r="AM83" s="97">
        <v>51059.040252542356</v>
      </c>
    </row>
    <row r="84" spans="1:39" x14ac:dyDescent="0.25">
      <c r="A84" s="97">
        <v>82</v>
      </c>
      <c r="B84" s="97">
        <v>3.925E-4</v>
      </c>
      <c r="C84" s="97">
        <v>547.96521918926499</v>
      </c>
      <c r="D84" s="97">
        <v>1255.1197290661187</v>
      </c>
      <c r="E84" s="97">
        <v>911.44491564639713</v>
      </c>
      <c r="F84" s="97">
        <v>1153.2180545626159</v>
      </c>
      <c r="G84" s="97">
        <v>4222.5058385404063</v>
      </c>
      <c r="H84" s="97">
        <v>6023.1190226431563</v>
      </c>
      <c r="I84" s="97">
        <v>51</v>
      </c>
      <c r="J84" s="97">
        <v>45</v>
      </c>
      <c r="K84" s="97">
        <v>2984.5838938508632</v>
      </c>
      <c r="L84" s="97">
        <v>6836.218790980126</v>
      </c>
      <c r="M84" s="97">
        <v>4964.3366405540428</v>
      </c>
      <c r="N84" s="97">
        <v>5868.9188826782456</v>
      </c>
      <c r="O84" s="97">
        <v>68446.819642739996</v>
      </c>
      <c r="P84" s="97">
        <v>173369.64920427927</v>
      </c>
      <c r="Q84" s="97">
        <v>14246.454001305283</v>
      </c>
      <c r="R84" s="97">
        <v>276716.98105638783</v>
      </c>
      <c r="S84" s="97">
        <v>18077686.243521981</v>
      </c>
      <c r="T84" s="97">
        <v>14986839.281674651</v>
      </c>
      <c r="U84" s="45">
        <v>0</v>
      </c>
      <c r="V84">
        <v>0</v>
      </c>
      <c r="W84">
        <v>3.925E-4</v>
      </c>
      <c r="X84" s="97">
        <v>6023.1190226431563</v>
      </c>
      <c r="Y84" s="97">
        <v>14.003920918182018</v>
      </c>
      <c r="Z84" s="97">
        <v>1245.5662275388142</v>
      </c>
      <c r="AA84" s="97">
        <v>156.54257252320232</v>
      </c>
      <c r="AB84" s="97">
        <v>10.705687688830038</v>
      </c>
      <c r="AC84" s="97">
        <v>478.41030139526947</v>
      </c>
      <c r="AD84" s="97">
        <v>178.98679566939234</v>
      </c>
      <c r="AE84" s="97">
        <v>633.86594812728879</v>
      </c>
      <c r="AF84" s="97">
        <v>859.6304624296248</v>
      </c>
      <c r="AG84" s="97">
        <v>236.17611097770791</v>
      </c>
      <c r="AH84" s="97">
        <v>50477.644239678863</v>
      </c>
      <c r="AI84" s="97">
        <v>581.39601286349182</v>
      </c>
      <c r="AJ84" s="97">
        <v>56664.421689185205</v>
      </c>
      <c r="AK84" s="97">
        <v>57337.564013333191</v>
      </c>
      <c r="AL84" s="97">
        <v>673.14232414798812</v>
      </c>
      <c r="AM84" s="97">
        <v>51059.040252542356</v>
      </c>
    </row>
    <row r="85" spans="1:39" x14ac:dyDescent="0.25">
      <c r="A85" s="97">
        <v>83</v>
      </c>
      <c r="B85" s="97">
        <v>3.925E-4</v>
      </c>
      <c r="C85" s="97">
        <v>542.09755356199764</v>
      </c>
      <c r="D85" s="97">
        <v>1251.0228377526794</v>
      </c>
      <c r="E85" s="97">
        <v>910.6861295989172</v>
      </c>
      <c r="F85" s="97">
        <v>1150.63482853503</v>
      </c>
      <c r="G85" s="97">
        <v>4213.7040937835836</v>
      </c>
      <c r="H85" s="97">
        <v>6034.9075006009316</v>
      </c>
      <c r="I85" s="97">
        <v>51</v>
      </c>
      <c r="J85" s="97">
        <v>45</v>
      </c>
      <c r="K85" s="97">
        <v>2952.6246750676805</v>
      </c>
      <c r="L85" s="97">
        <v>6813.9043896262601</v>
      </c>
      <c r="M85" s="97">
        <v>4960.2037858821022</v>
      </c>
      <c r="N85" s="97">
        <v>5855.7724148861898</v>
      </c>
      <c r="O85" s="97">
        <v>68304.143360231901</v>
      </c>
      <c r="P85" s="97">
        <v>174106.61034858867</v>
      </c>
      <c r="Q85" s="97">
        <v>14285.215606127316</v>
      </c>
      <c r="R85" s="97">
        <v>277278.47458041011</v>
      </c>
      <c r="S85" s="97">
        <v>18354964.718102392</v>
      </c>
      <c r="T85" s="97">
        <v>15183190.990166647</v>
      </c>
      <c r="U85" s="45">
        <v>0</v>
      </c>
      <c r="V85">
        <v>0</v>
      </c>
      <c r="W85">
        <v>3.925E-4</v>
      </c>
      <c r="X85" s="97">
        <v>6034.9075006009316</v>
      </c>
      <c r="Y85" s="97">
        <v>13.974736559978933</v>
      </c>
      <c r="Z85" s="97">
        <v>1259.5409640987932</v>
      </c>
      <c r="AA85" s="97">
        <v>156.25717621030333</v>
      </c>
      <c r="AB85" s="97">
        <v>10.683827344732743</v>
      </c>
      <c r="AC85" s="97">
        <v>481.39476065657487</v>
      </c>
      <c r="AD85" s="97">
        <v>179.47378109337669</v>
      </c>
      <c r="AE85" s="97">
        <v>642.53943379725411</v>
      </c>
      <c r="AF85" s="97">
        <v>875.05783190989166</v>
      </c>
      <c r="AG85" s="97">
        <v>239.67100689764553</v>
      </c>
      <c r="AH85" s="97">
        <v>50477.644239678863</v>
      </c>
      <c r="AI85" s="97">
        <v>581.39601286349182</v>
      </c>
      <c r="AJ85" s="97">
        <v>56664.421689185205</v>
      </c>
      <c r="AK85" s="97">
        <v>57337.564013333191</v>
      </c>
      <c r="AL85" s="97">
        <v>673.14232414798812</v>
      </c>
      <c r="AM85" s="97">
        <v>51059.040252542356</v>
      </c>
    </row>
    <row r="86" spans="1:39" x14ac:dyDescent="0.25">
      <c r="A86" s="97">
        <v>84</v>
      </c>
      <c r="B86" s="97">
        <v>3.925E-4</v>
      </c>
      <c r="C86" s="97">
        <v>536.29271947714892</v>
      </c>
      <c r="D86" s="97">
        <v>1246.8972416624533</v>
      </c>
      <c r="E86" s="97">
        <v>909.90546597778155</v>
      </c>
      <c r="F86" s="97">
        <v>1148.0709825141939</v>
      </c>
      <c r="G86" s="97">
        <v>4204.9188626407977</v>
      </c>
      <c r="H86" s="97">
        <v>6046.6695721883198</v>
      </c>
      <c r="I86" s="97">
        <v>52</v>
      </c>
      <c r="J86" s="97">
        <v>45</v>
      </c>
      <c r="K86" s="97">
        <v>2921.0076787522044</v>
      </c>
      <c r="L86" s="97">
        <v>6791.4336429214954</v>
      </c>
      <c r="M86" s="97">
        <v>4955.951771358983</v>
      </c>
      <c r="N86" s="97">
        <v>5842.7245751784849</v>
      </c>
      <c r="O86" s="97">
        <v>68161.734763407338</v>
      </c>
      <c r="P86" s="97">
        <v>174824.28346307061</v>
      </c>
      <c r="Q86" s="97">
        <v>14322.638760121614</v>
      </c>
      <c r="R86" s="97">
        <v>277819.77465481072</v>
      </c>
      <c r="S86" s="97">
        <v>18632784.492757201</v>
      </c>
      <c r="T86" s="97">
        <v>15379109.686464028</v>
      </c>
      <c r="U86" s="45">
        <v>0</v>
      </c>
      <c r="V86">
        <v>0</v>
      </c>
      <c r="W86">
        <v>3.925E-4</v>
      </c>
      <c r="X86" s="97">
        <v>6046.6695721883198</v>
      </c>
      <c r="Y86" s="97">
        <v>13.945606448867636</v>
      </c>
      <c r="Z86" s="97">
        <v>1273.4865705476609</v>
      </c>
      <c r="AA86" s="97">
        <v>155.97671515073699</v>
      </c>
      <c r="AB86" s="97">
        <v>10.656282023974548</v>
      </c>
      <c r="AC86" s="97">
        <v>484.30364375348063</v>
      </c>
      <c r="AD86" s="97">
        <v>179.94395075220319</v>
      </c>
      <c r="AE86" s="97">
        <v>651.21837744733045</v>
      </c>
      <c r="AF86" s="97">
        <v>890.53194224279025</v>
      </c>
      <c r="AG86" s="97">
        <v>243.15847582841357</v>
      </c>
      <c r="AH86" s="97">
        <v>56970.103103412963</v>
      </c>
      <c r="AI86" s="97">
        <v>705.11387051151883</v>
      </c>
      <c r="AJ86" s="97">
        <v>65364.937509412419</v>
      </c>
      <c r="AK86" s="97">
        <v>66203.87359526199</v>
      </c>
      <c r="AL86" s="97">
        <v>838.93608584957337</v>
      </c>
      <c r="AM86" s="97">
        <v>57675.216973924486</v>
      </c>
    </row>
    <row r="87" spans="1:39" x14ac:dyDescent="0.25">
      <c r="A87" s="97">
        <v>85</v>
      </c>
      <c r="B87" s="97">
        <v>4.2916666666666667E-4</v>
      </c>
      <c r="C87" s="97">
        <v>530.53038006198312</v>
      </c>
      <c r="D87" s="97">
        <v>1242.6980923469735</v>
      </c>
      <c r="E87" s="97">
        <v>909.0695902841012</v>
      </c>
      <c r="F87" s="97">
        <v>1145.483983030201</v>
      </c>
      <c r="G87" s="97">
        <v>4195.9960823355314</v>
      </c>
      <c r="H87" s="97">
        <v>6058.4054355125054</v>
      </c>
      <c r="I87" s="97">
        <v>52</v>
      </c>
      <c r="J87" s="97">
        <v>45</v>
      </c>
      <c r="K87" s="97">
        <v>2889.6221367376011</v>
      </c>
      <c r="L87" s="97">
        <v>6768.5622763165147</v>
      </c>
      <c r="M87" s="97">
        <v>4951.3990350807371</v>
      </c>
      <c r="N87" s="97">
        <v>5829.5589036378642</v>
      </c>
      <c r="O87" s="97">
        <v>68017.096494658967</v>
      </c>
      <c r="P87" s="97">
        <v>175516.57456301441</v>
      </c>
      <c r="Q87" s="97">
        <v>14358.228161159112</v>
      </c>
      <c r="R87" s="97">
        <v>278331.04157060519</v>
      </c>
      <c r="S87" s="97">
        <v>18911115.534327805</v>
      </c>
      <c r="T87" s="97">
        <v>15574574.491853189</v>
      </c>
      <c r="U87" s="45">
        <v>0</v>
      </c>
      <c r="V87">
        <v>0</v>
      </c>
      <c r="W87">
        <v>4.2916666666666667E-4</v>
      </c>
      <c r="X87" s="97">
        <v>6058.4054355125054</v>
      </c>
      <c r="Y87" s="97">
        <v>13.916530990944436</v>
      </c>
      <c r="Z87" s="97">
        <v>1287.4031015386054</v>
      </c>
      <c r="AA87" s="97">
        <v>155.68964638280585</v>
      </c>
      <c r="AB87" s="97">
        <v>10.634502423165491</v>
      </c>
      <c r="AC87" s="97">
        <v>487.12617490202462</v>
      </c>
      <c r="AD87" s="97">
        <v>180.39108186643773</v>
      </c>
      <c r="AE87" s="97">
        <v>659.90238512327255</v>
      </c>
      <c r="AF87" s="97">
        <v>906.05136843261675</v>
      </c>
      <c r="AG87" s="97">
        <v>246.96360035732468</v>
      </c>
      <c r="AH87" s="97">
        <v>56970.103103412963</v>
      </c>
      <c r="AI87" s="97">
        <v>705.11387051151883</v>
      </c>
      <c r="AJ87" s="97">
        <v>65364.937509412419</v>
      </c>
      <c r="AK87" s="97">
        <v>66203.87359526199</v>
      </c>
      <c r="AL87" s="97">
        <v>838.93608584957337</v>
      </c>
      <c r="AM87" s="97">
        <v>57675.216973924486</v>
      </c>
    </row>
    <row r="88" spans="1:39" x14ac:dyDescent="0.25">
      <c r="A88" s="97">
        <v>86</v>
      </c>
      <c r="B88" s="97">
        <v>4.2916666666666667E-4</v>
      </c>
      <c r="C88" s="97">
        <v>524.82995563154418</v>
      </c>
      <c r="D88" s="97">
        <v>1238.4722730430237</v>
      </c>
      <c r="E88" s="97">
        <v>908.21196060338843</v>
      </c>
      <c r="F88" s="97">
        <v>1142.9156816034122</v>
      </c>
      <c r="G88" s="97">
        <v>4187.090694445862</v>
      </c>
      <c r="H88" s="97">
        <v>6070.1148538931056</v>
      </c>
      <c r="I88" s="97">
        <v>52</v>
      </c>
      <c r="J88" s="97">
        <v>45</v>
      </c>
      <c r="K88" s="97">
        <v>2858.5738250064769</v>
      </c>
      <c r="L88" s="97">
        <v>6745.5456471743355</v>
      </c>
      <c r="M88" s="97">
        <v>4946.7278120864557</v>
      </c>
      <c r="N88" s="97">
        <v>5816.4883896266983</v>
      </c>
      <c r="O88" s="97">
        <v>67872.740156967426</v>
      </c>
      <c r="P88" s="97">
        <v>176190.16486152614</v>
      </c>
      <c r="Q88" s="97">
        <v>14392.535389419649</v>
      </c>
      <c r="R88" s="97">
        <v>278822.77608180715</v>
      </c>
      <c r="S88" s="97">
        <v>19189938.310409613</v>
      </c>
      <c r="T88" s="97">
        <v>15769572.139672881</v>
      </c>
      <c r="U88" s="45">
        <v>0</v>
      </c>
      <c r="V88">
        <v>0</v>
      </c>
      <c r="W88">
        <v>4.2916666666666667E-4</v>
      </c>
      <c r="X88" s="97">
        <v>6070.1148538931056</v>
      </c>
      <c r="Y88" s="97">
        <v>13.887000302553067</v>
      </c>
      <c r="Z88" s="97">
        <v>1301.2901018411585</v>
      </c>
      <c r="AA88" s="97">
        <v>155.40171458624118</v>
      </c>
      <c r="AB88" s="97">
        <v>10.61240354114986</v>
      </c>
      <c r="AC88" s="97">
        <v>489.88107884652084</v>
      </c>
      <c r="AD88" s="97">
        <v>180.8221042706156</v>
      </c>
      <c r="AE88" s="97">
        <v>668.59075137232844</v>
      </c>
      <c r="AF88" s="97">
        <v>921.61410553617259</v>
      </c>
      <c r="AG88" s="97">
        <v>250.760431433219</v>
      </c>
      <c r="AH88" s="97">
        <v>56970.103103412963</v>
      </c>
      <c r="AI88" s="97">
        <v>705.11387051151883</v>
      </c>
      <c r="AJ88" s="97">
        <v>65364.937509412419</v>
      </c>
      <c r="AK88" s="97">
        <v>66203.87359526199</v>
      </c>
      <c r="AL88" s="97">
        <v>838.93608584957337</v>
      </c>
      <c r="AM88" s="97">
        <v>57675.216973924486</v>
      </c>
    </row>
    <row r="89" spans="1:39" x14ac:dyDescent="0.25">
      <c r="A89" s="97">
        <v>87</v>
      </c>
      <c r="B89" s="97">
        <v>4.2916666666666667E-4</v>
      </c>
      <c r="C89" s="97">
        <v>519.19078092385121</v>
      </c>
      <c r="D89" s="97">
        <v>1234.2206305849566</v>
      </c>
      <c r="E89" s="97">
        <v>907.33262008387021</v>
      </c>
      <c r="F89" s="97">
        <v>1140.3656485626252</v>
      </c>
      <c r="G89" s="97">
        <v>4178.2028046594887</v>
      </c>
      <c r="H89" s="97">
        <v>6081.7980184662511</v>
      </c>
      <c r="I89" s="97">
        <v>52</v>
      </c>
      <c r="J89" s="97">
        <v>45</v>
      </c>
      <c r="K89" s="97">
        <v>2827.8591200985761</v>
      </c>
      <c r="L89" s="97">
        <v>6722.3883679193959</v>
      </c>
      <c r="M89" s="97">
        <v>4941.9383373901464</v>
      </c>
      <c r="N89" s="97">
        <v>5803.5108464766263</v>
      </c>
      <c r="O89" s="97">
        <v>67728.667463530321</v>
      </c>
      <c r="P89" s="97">
        <v>176845.37331633907</v>
      </c>
      <c r="Q89" s="97">
        <v>14425.588862950319</v>
      </c>
      <c r="R89" s="97">
        <v>279295.32631470443</v>
      </c>
      <c r="S89" s="97">
        <v>19469233.636724316</v>
      </c>
      <c r="T89" s="97">
        <v>15964089.780310281</v>
      </c>
      <c r="U89" s="45">
        <v>0</v>
      </c>
      <c r="V89">
        <v>0</v>
      </c>
      <c r="W89">
        <v>4.2916666666666667E-4</v>
      </c>
      <c r="X89" s="97">
        <v>6081.7980184662511</v>
      </c>
      <c r="Y89" s="97">
        <v>13.857527175817125</v>
      </c>
      <c r="Z89" s="97">
        <v>1315.1476290169755</v>
      </c>
      <c r="AA89" s="97">
        <v>155.11295996420489</v>
      </c>
      <c r="AB89" s="97">
        <v>10.59034176566</v>
      </c>
      <c r="AC89" s="97">
        <v>492.5694835417309</v>
      </c>
      <c r="AD89" s="97">
        <v>181.23737499780538</v>
      </c>
      <c r="AE89" s="97">
        <v>677.28309585653665</v>
      </c>
      <c r="AF89" s="97">
        <v>937.21874265369706</v>
      </c>
      <c r="AG89" s="97">
        <v>254.54895402776964</v>
      </c>
      <c r="AH89" s="97">
        <v>56970.103103412963</v>
      </c>
      <c r="AI89" s="97">
        <v>705.11387051151883</v>
      </c>
      <c r="AJ89" s="97">
        <v>65364.937509412419</v>
      </c>
      <c r="AK89" s="97">
        <v>66203.87359526199</v>
      </c>
      <c r="AL89" s="97">
        <v>838.93608584957337</v>
      </c>
      <c r="AM89" s="97">
        <v>57675.216973924486</v>
      </c>
    </row>
    <row r="90" spans="1:39" x14ac:dyDescent="0.25">
      <c r="A90" s="97">
        <v>88</v>
      </c>
      <c r="B90" s="97">
        <v>4.2916666666666667E-4</v>
      </c>
      <c r="C90" s="97">
        <v>513.61219782500734</v>
      </c>
      <c r="D90" s="97">
        <v>1229.9439983354844</v>
      </c>
      <c r="E90" s="97">
        <v>906.43161764367824</v>
      </c>
      <c r="F90" s="97">
        <v>1137.8334592704521</v>
      </c>
      <c r="G90" s="97">
        <v>4169.3325137526654</v>
      </c>
      <c r="H90" s="97">
        <v>6093.4551159758657</v>
      </c>
      <c r="I90" s="97">
        <v>52</v>
      </c>
      <c r="J90" s="97">
        <v>45</v>
      </c>
      <c r="K90" s="97">
        <v>2797.4744374868733</v>
      </c>
      <c r="L90" s="97">
        <v>6699.0949776006046</v>
      </c>
      <c r="M90" s="97">
        <v>4937.0308774325667</v>
      </c>
      <c r="N90" s="97">
        <v>5790.624113137209</v>
      </c>
      <c r="O90" s="97">
        <v>67584.88004793071</v>
      </c>
      <c r="P90" s="97">
        <v>177482.51376168564</v>
      </c>
      <c r="Q90" s="97">
        <v>14457.416252905032</v>
      </c>
      <c r="R90" s="97">
        <v>279749.03446817864</v>
      </c>
      <c r="S90" s="97">
        <v>19748982.671192493</v>
      </c>
      <c r="T90" s="97">
        <v>16158114.971610084</v>
      </c>
      <c r="U90" s="45">
        <v>0</v>
      </c>
      <c r="V90">
        <v>0</v>
      </c>
      <c r="W90">
        <v>4.2916666666666667E-4</v>
      </c>
      <c r="X90" s="97">
        <v>6093.4551159758657</v>
      </c>
      <c r="Y90" s="97">
        <v>13.828111960518898</v>
      </c>
      <c r="Z90" s="97">
        <v>1328.9757409774945</v>
      </c>
      <c r="AA90" s="97">
        <v>154.82342172491624</v>
      </c>
      <c r="AB90" s="97">
        <v>10.568317521482253</v>
      </c>
      <c r="AC90" s="97">
        <v>495.19249917293496</v>
      </c>
      <c r="AD90" s="97">
        <v>181.63724169740601</v>
      </c>
      <c r="AE90" s="97">
        <v>685.97904519734016</v>
      </c>
      <c r="AF90" s="97">
        <v>952.86389685284496</v>
      </c>
      <c r="AG90" s="97">
        <v>258.32915372461053</v>
      </c>
      <c r="AH90" s="97">
        <v>56970.103103412963</v>
      </c>
      <c r="AI90" s="97">
        <v>705.11387051151883</v>
      </c>
      <c r="AJ90" s="97">
        <v>65364.937509412419</v>
      </c>
      <c r="AK90" s="97">
        <v>66203.87359526199</v>
      </c>
      <c r="AL90" s="97">
        <v>838.93608584957337</v>
      </c>
      <c r="AM90" s="97">
        <v>57675.216973924486</v>
      </c>
    </row>
    <row r="91" spans="1:39" x14ac:dyDescent="0.25">
      <c r="A91" s="97">
        <v>89</v>
      </c>
      <c r="B91" s="97">
        <v>4.2916666666666667E-4</v>
      </c>
      <c r="C91" s="97">
        <v>508.09355529239485</v>
      </c>
      <c r="D91" s="97">
        <v>1225.6431963645546</v>
      </c>
      <c r="E91" s="97">
        <v>905.5090078078764</v>
      </c>
      <c r="F91" s="97">
        <v>1135.3186941308404</v>
      </c>
      <c r="G91" s="97">
        <v>4160.479917665788</v>
      </c>
      <c r="H91" s="97">
        <v>6105.0863288251267</v>
      </c>
      <c r="I91" s="97">
        <v>52</v>
      </c>
      <c r="J91" s="97">
        <v>45</v>
      </c>
      <c r="K91" s="97">
        <v>2767.4162311592436</v>
      </c>
      <c r="L91" s="97">
        <v>6675.6699428656066</v>
      </c>
      <c r="M91" s="97">
        <v>4932.0057291935664</v>
      </c>
      <c r="N91" s="97">
        <v>5777.8260542142016</v>
      </c>
      <c r="O91" s="97">
        <v>67441.379465362421</v>
      </c>
      <c r="P91" s="97">
        <v>178101.89498833692</v>
      </c>
      <c r="Q91" s="97">
        <v>14488.044508534953</v>
      </c>
      <c r="R91" s="97">
        <v>280184.23691966693</v>
      </c>
      <c r="S91" s="97">
        <v>20029166.908112161</v>
      </c>
      <c r="T91" s="97">
        <v>16351635.669493882</v>
      </c>
      <c r="U91" s="45">
        <v>0</v>
      </c>
      <c r="V91">
        <v>0</v>
      </c>
      <c r="W91">
        <v>4.2916666666666667E-4</v>
      </c>
      <c r="X91" s="97">
        <v>6105.0863288251267</v>
      </c>
      <c r="Y91" s="97">
        <v>13.798754990185831</v>
      </c>
      <c r="Z91" s="97">
        <v>1342.7744959676804</v>
      </c>
      <c r="AA91" s="97">
        <v>154.53313810248605</v>
      </c>
      <c r="AB91" s="97">
        <v>10.546331219080372</v>
      </c>
      <c r="AC91" s="97">
        <v>497.75121842823648</v>
      </c>
      <c r="AD91" s="97">
        <v>182.02204294911681</v>
      </c>
      <c r="AE91" s="97">
        <v>694.67823286002204</v>
      </c>
      <c r="AF91" s="97">
        <v>968.54821255163597</v>
      </c>
      <c r="AG91" s="97">
        <v>262.10101670707104</v>
      </c>
      <c r="AH91" s="97">
        <v>56970.103103412963</v>
      </c>
      <c r="AI91" s="97">
        <v>705.11387051151883</v>
      </c>
      <c r="AJ91" s="97">
        <v>65364.937509412419</v>
      </c>
      <c r="AK91" s="97">
        <v>66203.87359526199</v>
      </c>
      <c r="AL91" s="97">
        <v>838.93608584957337</v>
      </c>
      <c r="AM91" s="97">
        <v>57675.216973924486</v>
      </c>
    </row>
    <row r="92" spans="1:39" x14ac:dyDescent="0.25">
      <c r="A92" s="97">
        <v>90</v>
      </c>
      <c r="B92" s="97">
        <v>4.2916666666666667E-4</v>
      </c>
      <c r="C92" s="97">
        <v>502.63420927869635</v>
      </c>
      <c r="D92" s="97">
        <v>1221.3190316260368</v>
      </c>
      <c r="E92" s="97">
        <v>904.56485054860423</v>
      </c>
      <c r="F92" s="97">
        <v>1132.8209385947894</v>
      </c>
      <c r="G92" s="97">
        <v>4151.6451075786854</v>
      </c>
      <c r="H92" s="97">
        <v>6116.6918351279983</v>
      </c>
      <c r="I92" s="97">
        <v>52</v>
      </c>
      <c r="J92" s="97">
        <v>45</v>
      </c>
      <c r="K92" s="97">
        <v>2737.6809932046326</v>
      </c>
      <c r="L92" s="97">
        <v>6652.1176589231463</v>
      </c>
      <c r="M92" s="97">
        <v>4926.8632193213971</v>
      </c>
      <c r="N92" s="97">
        <v>5765.1145599986485</v>
      </c>
      <c r="O92" s="97">
        <v>67298.167193850488</v>
      </c>
      <c r="P92" s="97">
        <v>178703.82082238139</v>
      </c>
      <c r="Q92" s="97">
        <v>14517.499881178623</v>
      </c>
      <c r="R92" s="97">
        <v>280601.26432885835</v>
      </c>
      <c r="S92" s="97">
        <v>20309768.172441021</v>
      </c>
      <c r="T92" s="97">
        <v>16544640.218784949</v>
      </c>
      <c r="U92" s="45">
        <v>0</v>
      </c>
      <c r="V92">
        <v>0</v>
      </c>
      <c r="W92">
        <v>4.2916666666666667E-4</v>
      </c>
      <c r="X92" s="97">
        <v>6116.6918351279983</v>
      </c>
      <c r="Y92" s="97">
        <v>13.769456582340696</v>
      </c>
      <c r="Z92" s="97">
        <v>1356.5439525500212</v>
      </c>
      <c r="AA92" s="97">
        <v>154.24214637733601</v>
      </c>
      <c r="AB92" s="97">
        <v>10.524383254784093</v>
      </c>
      <c r="AC92" s="97">
        <v>500.24671676666321</v>
      </c>
      <c r="AD92" s="97">
        <v>182.39210856433976</v>
      </c>
      <c r="AE92" s="97">
        <v>703.38029903994504</v>
      </c>
      <c r="AF92" s="97">
        <v>984.27036091866864</v>
      </c>
      <c r="AG92" s="97">
        <v>265.86452974618089</v>
      </c>
      <c r="AH92" s="97">
        <v>56970.103103412963</v>
      </c>
      <c r="AI92" s="97">
        <v>705.11387051151883</v>
      </c>
      <c r="AJ92" s="97">
        <v>65364.937509412419</v>
      </c>
      <c r="AK92" s="97">
        <v>66203.87359526199</v>
      </c>
      <c r="AL92" s="97">
        <v>838.93608584957337</v>
      </c>
      <c r="AM92" s="97">
        <v>57675.216973924486</v>
      </c>
    </row>
    <row r="93" spans="1:39" x14ac:dyDescent="0.25">
      <c r="A93" s="97">
        <v>91</v>
      </c>
      <c r="B93" s="97">
        <v>4.2916666666666667E-4</v>
      </c>
      <c r="C93" s="97">
        <v>497.23352265673157</v>
      </c>
      <c r="D93" s="97">
        <v>1216.9722981322475</v>
      </c>
      <c r="E93" s="97">
        <v>903.59921112828602</v>
      </c>
      <c r="F93" s="97">
        <v>1130.3397831643094</v>
      </c>
      <c r="G93" s="97">
        <v>4142.8281699856025</v>
      </c>
      <c r="H93" s="97">
        <v>6128.2718087608218</v>
      </c>
      <c r="I93" s="97">
        <v>52</v>
      </c>
      <c r="J93" s="97">
        <v>45</v>
      </c>
      <c r="K93" s="97">
        <v>2708.2652534036642</v>
      </c>
      <c r="L93" s="97">
        <v>6628.4424504936405</v>
      </c>
      <c r="M93" s="97">
        <v>4921.6037032787308</v>
      </c>
      <c r="N93" s="97">
        <v>5752.4875464870311</v>
      </c>
      <c r="O93" s="97">
        <v>67155.244635466617</v>
      </c>
      <c r="P93" s="97">
        <v>179288.59020276277</v>
      </c>
      <c r="Q93" s="97">
        <v>14545.807947295336</v>
      </c>
      <c r="R93" s="97">
        <v>281000.44173918781</v>
      </c>
      <c r="S93" s="97">
        <v>20590768.614180207</v>
      </c>
      <c r="T93" s="97">
        <v>16737117.344233742</v>
      </c>
      <c r="U93" s="45">
        <v>0</v>
      </c>
      <c r="V93">
        <v>0</v>
      </c>
      <c r="W93">
        <v>4.2916666666666667E-4</v>
      </c>
      <c r="X93" s="97">
        <v>6128.2718087608218</v>
      </c>
      <c r="Y93" s="97">
        <v>13.740217038750774</v>
      </c>
      <c r="Z93" s="97">
        <v>1370.2841695887721</v>
      </c>
      <c r="AA93" s="97">
        <v>153.95048289621104</v>
      </c>
      <c r="AB93" s="97">
        <v>10.502474010977632</v>
      </c>
      <c r="AC93" s="97">
        <v>502.68005268213216</v>
      </c>
      <c r="AD93" s="97">
        <v>182.74775987556174</v>
      </c>
      <c r="AE93" s="97">
        <v>712.08489055056759</v>
      </c>
      <c r="AF93" s="97">
        <v>1000.0290392899818</v>
      </c>
      <c r="AG93" s="97">
        <v>269.61968018893725</v>
      </c>
      <c r="AH93" s="97">
        <v>56970.103103412963</v>
      </c>
      <c r="AI93" s="97">
        <v>705.11387051151883</v>
      </c>
      <c r="AJ93" s="97">
        <v>65364.937509412419</v>
      </c>
      <c r="AK93" s="97">
        <v>66203.87359526199</v>
      </c>
      <c r="AL93" s="97">
        <v>838.93608584957337</v>
      </c>
      <c r="AM93" s="97">
        <v>57675.216973924486</v>
      </c>
    </row>
    <row r="94" spans="1:39" x14ac:dyDescent="0.25">
      <c r="A94" s="97">
        <v>92</v>
      </c>
      <c r="B94" s="97">
        <v>4.2916666666666667E-4</v>
      </c>
      <c r="C94" s="97">
        <v>491.89086514510234</v>
      </c>
      <c r="D94" s="97">
        <v>1212.6037771263359</v>
      </c>
      <c r="E94" s="97">
        <v>902.61215994585621</v>
      </c>
      <c r="F94" s="97">
        <v>1127.8748233946794</v>
      </c>
      <c r="G94" s="97">
        <v>4134.0291867698497</v>
      </c>
      <c r="H94" s="97">
        <v>6139.8264194139501</v>
      </c>
      <c r="I94" s="97">
        <v>52</v>
      </c>
      <c r="J94" s="97">
        <v>45</v>
      </c>
      <c r="K94" s="97">
        <v>2679.1655788236571</v>
      </c>
      <c r="L94" s="97">
        <v>6604.6485727481095</v>
      </c>
      <c r="M94" s="97">
        <v>4916.2275645050968</v>
      </c>
      <c r="N94" s="97">
        <v>5739.9429553927557</v>
      </c>
      <c r="O94" s="97">
        <v>67012.613117539266</v>
      </c>
      <c r="P94" s="97">
        <v>179856.49725759865</v>
      </c>
      <c r="Q94" s="97">
        <v>14572.99363058344</v>
      </c>
      <c r="R94" s="97">
        <v>281382.08867719094</v>
      </c>
      <c r="S94" s="97">
        <v>20872150.702857397</v>
      </c>
      <c r="T94" s="97">
        <v>16929056.141739495</v>
      </c>
      <c r="U94" s="45">
        <v>0</v>
      </c>
      <c r="V94">
        <v>0</v>
      </c>
      <c r="W94">
        <v>4.2916666666666667E-4</v>
      </c>
      <c r="X94" s="97">
        <v>6139.8264194139501</v>
      </c>
      <c r="Y94" s="97">
        <v>13.711036645676009</v>
      </c>
      <c r="Z94" s="97">
        <v>1383.995206234448</v>
      </c>
      <c r="AA94" s="97">
        <v>153.65818309179389</v>
      </c>
      <c r="AB94" s="97">
        <v>10.480603856288102</v>
      </c>
      <c r="AC94" s="97">
        <v>505.052267963345</v>
      </c>
      <c r="AD94" s="97">
        <v>183.08931001424008</v>
      </c>
      <c r="AE94" s="97">
        <v>720.79166071321026</v>
      </c>
      <c r="AF94" s="97">
        <v>1015.8229706019704</v>
      </c>
      <c r="AG94" s="97">
        <v>273.36645594682756</v>
      </c>
      <c r="AH94" s="97">
        <v>56970.103103412963</v>
      </c>
      <c r="AI94" s="97">
        <v>705.11387051151883</v>
      </c>
      <c r="AJ94" s="97">
        <v>65364.937509412419</v>
      </c>
      <c r="AK94" s="97">
        <v>66203.87359526199</v>
      </c>
      <c r="AL94" s="97">
        <v>838.93608584957337</v>
      </c>
      <c r="AM94" s="97">
        <v>57675.216973924486</v>
      </c>
    </row>
    <row r="95" spans="1:39" x14ac:dyDescent="0.25">
      <c r="A95" s="97">
        <v>93</v>
      </c>
      <c r="B95" s="97">
        <v>4.2916666666666667E-4</v>
      </c>
      <c r="C95" s="97">
        <v>486.60561323463628</v>
      </c>
      <c r="D95" s="97">
        <v>1208.2142372525598</v>
      </c>
      <c r="E95" s="97">
        <v>901.60377238595072</v>
      </c>
      <c r="F95" s="97">
        <v>1125.4256598950494</v>
      </c>
      <c r="G95" s="97">
        <v>4125.2482352781162</v>
      </c>
      <c r="H95" s="97">
        <v>6151.3558326434031</v>
      </c>
      <c r="I95" s="97">
        <v>52</v>
      </c>
      <c r="J95" s="97">
        <v>45</v>
      </c>
      <c r="K95" s="97">
        <v>2650.3785734179855</v>
      </c>
      <c r="L95" s="97">
        <v>6580.7402122356089</v>
      </c>
      <c r="M95" s="97">
        <v>4910.7352135954779</v>
      </c>
      <c r="N95" s="97">
        <v>5727.4787541492224</v>
      </c>
      <c r="O95" s="97">
        <v>66870.273893858262</v>
      </c>
      <c r="P95" s="97">
        <v>180407.83137929888</v>
      </c>
      <c r="Q95" s="97">
        <v>14599.081223223342</v>
      </c>
      <c r="R95" s="97">
        <v>281746.51924977876</v>
      </c>
      <c r="S95" s="97">
        <v>21153897.222107176</v>
      </c>
      <c r="T95" s="97">
        <v>17120446.069763437</v>
      </c>
      <c r="U95" s="45">
        <v>0</v>
      </c>
      <c r="V95">
        <v>0</v>
      </c>
      <c r="W95">
        <v>4.2916666666666667E-4</v>
      </c>
      <c r="X95" s="97">
        <v>6151.3558326434031</v>
      </c>
      <c r="Y95" s="97">
        <v>13.681915674116066</v>
      </c>
      <c r="Z95" s="97">
        <v>1397.677121908564</v>
      </c>
      <c r="AA95" s="97">
        <v>153.36528150192936</v>
      </c>
      <c r="AB95" s="97">
        <v>10.458773145773733</v>
      </c>
      <c r="AC95" s="97">
        <v>507.36438794967978</v>
      </c>
      <c r="AD95" s="97">
        <v>183.41706417769134</v>
      </c>
      <c r="AE95" s="97">
        <v>729.50026924854456</v>
      </c>
      <c r="AF95" s="97">
        <v>1031.6509028397872</v>
      </c>
      <c r="AG95" s="97">
        <v>277.10484548460039</v>
      </c>
      <c r="AH95" s="97">
        <v>56970.103103412963</v>
      </c>
      <c r="AI95" s="97">
        <v>705.11387051151883</v>
      </c>
      <c r="AJ95" s="97">
        <v>65364.937509412419</v>
      </c>
      <c r="AK95" s="97">
        <v>66203.87359526199</v>
      </c>
      <c r="AL95" s="97">
        <v>838.93608584957337</v>
      </c>
      <c r="AM95" s="97">
        <v>57675.216973924486</v>
      </c>
    </row>
    <row r="96" spans="1:39" x14ac:dyDescent="0.25">
      <c r="A96" s="97">
        <v>94</v>
      </c>
      <c r="B96" s="97">
        <v>4.2916666666666667E-4</v>
      </c>
      <c r="C96" s="97">
        <v>481.37715011562062</v>
      </c>
      <c r="D96" s="97">
        <v>1203.8044347244711</v>
      </c>
      <c r="E96" s="97">
        <v>900.57412867101766</v>
      </c>
      <c r="F96" s="97">
        <v>1122.9918983274401</v>
      </c>
      <c r="G96" s="97">
        <v>4116.4853883944161</v>
      </c>
      <c r="H96" s="97">
        <v>6162.8602099225282</v>
      </c>
      <c r="I96" s="97">
        <v>52</v>
      </c>
      <c r="J96" s="97">
        <v>45</v>
      </c>
      <c r="K96" s="97">
        <v>2621.9008776297469</v>
      </c>
      <c r="L96" s="97">
        <v>6556.7214877992856</v>
      </c>
      <c r="M96" s="97">
        <v>4905.1270874948095</v>
      </c>
      <c r="N96" s="97">
        <v>5715.0929359047304</v>
      </c>
      <c r="O96" s="97">
        <v>66728.228145873494</v>
      </c>
      <c r="P96" s="97">
        <v>180942.8772985042</v>
      </c>
      <c r="Q96" s="97">
        <v>14624.094406283199</v>
      </c>
      <c r="R96" s="97">
        <v>282094.04223948944</v>
      </c>
      <c r="S96" s="97">
        <v>21435991.264346667</v>
      </c>
      <c r="T96" s="97">
        <v>17311276.940929282</v>
      </c>
      <c r="U96" s="45">
        <v>0</v>
      </c>
      <c r="V96">
        <v>0</v>
      </c>
      <c r="W96">
        <v>4.2916666666666667E-4</v>
      </c>
      <c r="X96" s="97">
        <v>6162.8602099225282</v>
      </c>
      <c r="Y96" s="97">
        <v>13.652854380056294</v>
      </c>
      <c r="Z96" s="97">
        <v>1411.3299762886204</v>
      </c>
      <c r="AA96" s="97">
        <v>153.0718117884669</v>
      </c>
      <c r="AB96" s="97">
        <v>10.436982221111876</v>
      </c>
      <c r="AC96" s="97">
        <v>509.61742178314267</v>
      </c>
      <c r="AD96" s="97">
        <v>183.73131988546012</v>
      </c>
      <c r="AE96" s="97">
        <v>738.21038216977922</v>
      </c>
      <c r="AF96" s="97">
        <v>1047.5116085006873</v>
      </c>
      <c r="AG96" s="97">
        <v>280.83483780927787</v>
      </c>
      <c r="AH96" s="97">
        <v>56970.103103412963</v>
      </c>
      <c r="AI96" s="97">
        <v>705.11387051151883</v>
      </c>
      <c r="AJ96" s="97">
        <v>65364.937509412419</v>
      </c>
      <c r="AK96" s="97">
        <v>66203.87359526199</v>
      </c>
      <c r="AL96" s="97">
        <v>838.93608584957337</v>
      </c>
      <c r="AM96" s="97">
        <v>57675.216973924486</v>
      </c>
    </row>
    <row r="97" spans="1:39" x14ac:dyDescent="0.25">
      <c r="A97" s="97">
        <v>95</v>
      </c>
      <c r="B97" s="97">
        <v>4.2916666666666667E-4</v>
      </c>
      <c r="C97" s="97">
        <v>476.20486560581827</v>
      </c>
      <c r="D97" s="97">
        <v>1199.3751134910401</v>
      </c>
      <c r="E97" s="97">
        <v>899.52331371629862</v>
      </c>
      <c r="F97" s="97">
        <v>1120.5731494041847</v>
      </c>
      <c r="G97" s="97">
        <v>4107.7407146136675</v>
      </c>
      <c r="H97" s="97">
        <v>6174.3397086936557</v>
      </c>
      <c r="I97" s="97">
        <v>52</v>
      </c>
      <c r="J97" s="97">
        <v>45</v>
      </c>
      <c r="K97" s="97">
        <v>2593.7291679996902</v>
      </c>
      <c r="L97" s="97">
        <v>6532.5964514811976</v>
      </c>
      <c r="M97" s="97">
        <v>4899.4036487081057</v>
      </c>
      <c r="N97" s="97">
        <v>5702.7835195094631</v>
      </c>
      <c r="O97" s="97">
        <v>66586.476983887551</v>
      </c>
      <c r="P97" s="97">
        <v>181461.9151568643</v>
      </c>
      <c r="Q97" s="97">
        <v>14648.056269323561</v>
      </c>
      <c r="R97" s="97">
        <v>282424.96119777387</v>
      </c>
      <c r="S97" s="97">
        <v>21718416.225544441</v>
      </c>
      <c r="T97" s="97">
        <v>17501538.91380674</v>
      </c>
      <c r="U97" s="45">
        <v>0</v>
      </c>
      <c r="V97">
        <v>0</v>
      </c>
      <c r="W97">
        <v>4.2916666666666667E-4</v>
      </c>
      <c r="X97" s="97">
        <v>6174.3397086936557</v>
      </c>
      <c r="Y97" s="97">
        <v>13.623853004712435</v>
      </c>
      <c r="Z97" s="97">
        <v>1424.9538292933328</v>
      </c>
      <c r="AA97" s="97">
        <v>152.77780675572879</v>
      </c>
      <c r="AB97" s="97">
        <v>10.415231410786699</v>
      </c>
      <c r="AC97" s="97">
        <v>511.81236265644367</v>
      </c>
      <c r="AD97" s="97">
        <v>184.03236722562423</v>
      </c>
      <c r="AE97" s="97">
        <v>746.92167167751791</v>
      </c>
      <c r="AF97" s="97">
        <v>1063.4038840717915</v>
      </c>
      <c r="AG97" s="97">
        <v>284.55642245940322</v>
      </c>
      <c r="AH97" s="97">
        <v>56970.103103412963</v>
      </c>
      <c r="AI97" s="97">
        <v>705.11387051151883</v>
      </c>
      <c r="AJ97" s="97">
        <v>65364.937509412419</v>
      </c>
      <c r="AK97" s="97">
        <v>66203.87359526199</v>
      </c>
      <c r="AL97" s="97">
        <v>838.93608584957337</v>
      </c>
      <c r="AM97" s="97">
        <v>57675.216973924486</v>
      </c>
    </row>
    <row r="98" spans="1:39" x14ac:dyDescent="0.25">
      <c r="A98" s="97">
        <v>96</v>
      </c>
      <c r="B98" s="97">
        <v>4.2916666666666667E-4</v>
      </c>
      <c r="C98" s="97">
        <v>471.08815607925703</v>
      </c>
      <c r="D98" s="97">
        <v>1194.9270054007402</v>
      </c>
      <c r="E98" s="97">
        <v>898.45141698763405</v>
      </c>
      <c r="F98" s="97">
        <v>1118.169028883862</v>
      </c>
      <c r="G98" s="97">
        <v>4099.0142781148807</v>
      </c>
      <c r="H98" s="97">
        <v>6185.7944824197193</v>
      </c>
      <c r="I98" s="97">
        <v>53</v>
      </c>
      <c r="J98" s="97">
        <v>45</v>
      </c>
      <c r="K98" s="97">
        <v>2565.860156778353</v>
      </c>
      <c r="L98" s="97">
        <v>6508.3690894160309</v>
      </c>
      <c r="M98" s="97">
        <v>4893.5653845259794</v>
      </c>
      <c r="N98" s="97">
        <v>5690.548549494787</v>
      </c>
      <c r="O98" s="97">
        <v>66445.021448242216</v>
      </c>
      <c r="P98" s="97">
        <v>181965.22057867431</v>
      </c>
      <c r="Q98" s="97">
        <v>14670.989329235652</v>
      </c>
      <c r="R98" s="97">
        <v>282739.57453636732</v>
      </c>
      <c r="S98" s="97">
        <v>22001155.80008081</v>
      </c>
      <c r="T98" s="97">
        <v>17691222.484873891</v>
      </c>
      <c r="U98" s="45">
        <v>0</v>
      </c>
      <c r="V98">
        <v>0</v>
      </c>
      <c r="W98">
        <v>4.2916666666666667E-4</v>
      </c>
      <c r="X98" s="97">
        <v>6185.7944824197193</v>
      </c>
      <c r="Y98" s="97">
        <v>13.594911774774159</v>
      </c>
      <c r="Z98" s="97">
        <v>1438.5487410681069</v>
      </c>
      <c r="AA98" s="97">
        <v>152.48943443544965</v>
      </c>
      <c r="AB98" s="97">
        <v>10.387384963439059</v>
      </c>
      <c r="AC98" s="97">
        <v>513.94405199042035</v>
      </c>
      <c r="AD98" s="97">
        <v>184.32048909147122</v>
      </c>
      <c r="AE98" s="97">
        <v>755.6338160562625</v>
      </c>
      <c r="AF98" s="97">
        <v>1079.3265495217684</v>
      </c>
      <c r="AG98" s="97">
        <v>288.26958949451694</v>
      </c>
      <c r="AH98" s="97">
        <v>62982.960653103633</v>
      </c>
      <c r="AI98" s="97">
        <v>827.14457896515182</v>
      </c>
      <c r="AJ98" s="97">
        <v>73825.63190895399</v>
      </c>
      <c r="AK98" s="97">
        <v>74836.277456245705</v>
      </c>
      <c r="AL98" s="97">
        <v>1010.645547291722</v>
      </c>
      <c r="AM98" s="97">
        <v>63810.105232068789</v>
      </c>
    </row>
    <row r="99" spans="1:39" x14ac:dyDescent="0.25">
      <c r="A99" s="97">
        <v>97</v>
      </c>
      <c r="B99" s="97">
        <v>4.7166666666666668E-4</v>
      </c>
      <c r="C99" s="97">
        <v>466.0064031491508</v>
      </c>
      <c r="D99" s="97">
        <v>1190.4100459658871</v>
      </c>
      <c r="E99" s="97">
        <v>897.32034817682472</v>
      </c>
      <c r="F99" s="97">
        <v>1115.7316353820388</v>
      </c>
      <c r="G99" s="97">
        <v>4090.1319307271265</v>
      </c>
      <c r="H99" s="97">
        <v>6197.2246806358435</v>
      </c>
      <c r="I99" s="97">
        <v>53</v>
      </c>
      <c r="J99" s="97">
        <v>45</v>
      </c>
      <c r="K99" s="97">
        <v>2538.1815424857077</v>
      </c>
      <c r="L99" s="97">
        <v>6483.7667170275317</v>
      </c>
      <c r="M99" s="97">
        <v>4887.4048297364379</v>
      </c>
      <c r="N99" s="97">
        <v>5678.1442477317587</v>
      </c>
      <c r="O99" s="97">
        <v>66301.038597086721</v>
      </c>
      <c r="P99" s="97">
        <v>182445.31990725268</v>
      </c>
      <c r="Q99" s="97">
        <v>14692.292031299867</v>
      </c>
      <c r="R99" s="97">
        <v>283026.14787262073</v>
      </c>
      <c r="S99" s="97">
        <v>22284181.947953429</v>
      </c>
      <c r="T99" s="97">
        <v>17880310.444995429</v>
      </c>
      <c r="U99" s="45">
        <v>0</v>
      </c>
      <c r="V99">
        <v>0</v>
      </c>
      <c r="W99">
        <v>4.7166666666666668E-4</v>
      </c>
      <c r="X99" s="97">
        <v>6197.2246806358435</v>
      </c>
      <c r="Y99" s="97">
        <v>13.566030902647269</v>
      </c>
      <c r="Z99" s="97">
        <v>1452.1147719707542</v>
      </c>
      <c r="AA99" s="97">
        <v>152.19395590286001</v>
      </c>
      <c r="AB99" s="97">
        <v>10.365728108604962</v>
      </c>
      <c r="AC99" s="97">
        <v>515.99785702275369</v>
      </c>
      <c r="AD99" s="97">
        <v>184.58812778817597</v>
      </c>
      <c r="AE99" s="97">
        <v>764.34649957253816</v>
      </c>
      <c r="AF99" s="97">
        <v>1095.2784892362354</v>
      </c>
      <c r="AG99" s="97">
        <v>292.3412066489476</v>
      </c>
      <c r="AH99" s="97">
        <v>62982.960653103633</v>
      </c>
      <c r="AI99" s="97">
        <v>827.14457896515182</v>
      </c>
      <c r="AJ99" s="97">
        <v>73825.63190895399</v>
      </c>
      <c r="AK99" s="97">
        <v>74836.277456245705</v>
      </c>
      <c r="AL99" s="97">
        <v>1010.645547291722</v>
      </c>
      <c r="AM99" s="97">
        <v>63810.105232068789</v>
      </c>
    </row>
    <row r="100" spans="1:39" x14ac:dyDescent="0.25">
      <c r="A100" s="97">
        <v>98</v>
      </c>
      <c r="B100" s="97">
        <v>4.7166666666666668E-4</v>
      </c>
      <c r="C100" s="97">
        <v>460.97946843620707</v>
      </c>
      <c r="D100" s="97">
        <v>1185.8761094991205</v>
      </c>
      <c r="E100" s="97">
        <v>896.16848413863443</v>
      </c>
      <c r="F100" s="97">
        <v>1113.3083220742581</v>
      </c>
      <c r="G100" s="97">
        <v>4081.2686839180533</v>
      </c>
      <c r="H100" s="97">
        <v>6208.6299632174469</v>
      </c>
      <c r="I100" s="97">
        <v>53</v>
      </c>
      <c r="J100" s="97">
        <v>45</v>
      </c>
      <c r="K100" s="97">
        <v>2510.8015047492077</v>
      </c>
      <c r="L100" s="97">
        <v>6459.071876405209</v>
      </c>
      <c r="M100" s="97">
        <v>4881.1310102750949</v>
      </c>
      <c r="N100" s="97">
        <v>5665.8116024229112</v>
      </c>
      <c r="O100" s="97">
        <v>66157.365366311642</v>
      </c>
      <c r="P100" s="97">
        <v>182910.17279228489</v>
      </c>
      <c r="Q100" s="97">
        <v>14712.607461203748</v>
      </c>
      <c r="R100" s="97">
        <v>283296.9616136527</v>
      </c>
      <c r="S100" s="97">
        <v>22567478.90956708</v>
      </c>
      <c r="T100" s="97">
        <v>18068793.9859588</v>
      </c>
      <c r="U100" s="45">
        <v>0</v>
      </c>
      <c r="V100">
        <v>0</v>
      </c>
      <c r="W100">
        <v>4.7166666666666668E-4</v>
      </c>
      <c r="X100" s="97">
        <v>6208.6299632174469</v>
      </c>
      <c r="Y100" s="97">
        <v>13.536634030381252</v>
      </c>
      <c r="Z100" s="97">
        <v>1465.6514060011355</v>
      </c>
      <c r="AA100" s="97">
        <v>151.89785020112382</v>
      </c>
      <c r="AB100" s="97">
        <v>10.343732175356653</v>
      </c>
      <c r="AC100" s="97">
        <v>517.99645030899626</v>
      </c>
      <c r="AD100" s="97">
        <v>184.843362789167</v>
      </c>
      <c r="AE100" s="97">
        <v>773.05904184314159</v>
      </c>
      <c r="AF100" s="97">
        <v>1111.257889275385</v>
      </c>
      <c r="AG100" s="97">
        <v>296.40337935905512</v>
      </c>
      <c r="AH100" s="97">
        <v>62982.960653103633</v>
      </c>
      <c r="AI100" s="97">
        <v>827.14457896515182</v>
      </c>
      <c r="AJ100" s="97">
        <v>73825.63190895399</v>
      </c>
      <c r="AK100" s="97">
        <v>74836.277456245705</v>
      </c>
      <c r="AL100" s="97">
        <v>1010.645547291722</v>
      </c>
      <c r="AM100" s="97">
        <v>63810.105232068789</v>
      </c>
    </row>
    <row r="101" spans="1:39" x14ac:dyDescent="0.25">
      <c r="A101" s="97">
        <v>99</v>
      </c>
      <c r="B101" s="97">
        <v>4.7166666666666668E-4</v>
      </c>
      <c r="C101" s="97">
        <v>456.00676060177284</v>
      </c>
      <c r="D101" s="97">
        <v>1181.3258947008512</v>
      </c>
      <c r="E101" s="97">
        <v>894.99592982253694</v>
      </c>
      <c r="F101" s="97">
        <v>1110.8987180369213</v>
      </c>
      <c r="G101" s="97">
        <v>4072.4245869664996</v>
      </c>
      <c r="H101" s="97">
        <v>6220.0104740957277</v>
      </c>
      <c r="I101" s="97">
        <v>53</v>
      </c>
      <c r="J101" s="97">
        <v>45</v>
      </c>
      <c r="K101" s="97">
        <v>2483.7168227443226</v>
      </c>
      <c r="L101" s="97">
        <v>6434.2883731373022</v>
      </c>
      <c r="M101" s="97">
        <v>4874.744497766751</v>
      </c>
      <c r="N101" s="97">
        <v>5653.5487258762314</v>
      </c>
      <c r="O101" s="97">
        <v>66014.002554726962</v>
      </c>
      <c r="P101" s="97">
        <v>183360.04422836567</v>
      </c>
      <c r="Q101" s="97">
        <v>14731.956631825222</v>
      </c>
      <c r="R101" s="97">
        <v>283552.30183444248</v>
      </c>
      <c r="S101" s="97">
        <v>22851031.211401522</v>
      </c>
      <c r="T101" s="97">
        <v>18256664.615952577</v>
      </c>
      <c r="U101" s="45">
        <v>0</v>
      </c>
      <c r="V101">
        <v>0</v>
      </c>
      <c r="W101">
        <v>4.7166666666666668E-4</v>
      </c>
      <c r="X101" s="97">
        <v>6220.0104740957277</v>
      </c>
      <c r="Y101" s="97">
        <v>13.507300373079387</v>
      </c>
      <c r="Z101" s="97">
        <v>1479.1587063742149</v>
      </c>
      <c r="AA101" s="97">
        <v>151.60115204809864</v>
      </c>
      <c r="AB101" s="97">
        <v>10.321779116907386</v>
      </c>
      <c r="AC101" s="97">
        <v>519.94076765341026</v>
      </c>
      <c r="AD101" s="97">
        <v>185.08645809190554</v>
      </c>
      <c r="AE101" s="97">
        <v>781.77113856318886</v>
      </c>
      <c r="AF101" s="97">
        <v>1127.2636329506549</v>
      </c>
      <c r="AG101" s="97">
        <v>300.4560991273492</v>
      </c>
      <c r="AH101" s="97">
        <v>62982.960653103633</v>
      </c>
      <c r="AI101" s="97">
        <v>827.14457896515182</v>
      </c>
      <c r="AJ101" s="97">
        <v>73825.63190895399</v>
      </c>
      <c r="AK101" s="97">
        <v>74836.277456245705</v>
      </c>
      <c r="AL101" s="97">
        <v>1010.645547291722</v>
      </c>
      <c r="AM101" s="97">
        <v>63810.105232068789</v>
      </c>
    </row>
    <row r="102" spans="1:39" x14ac:dyDescent="0.25">
      <c r="A102" s="97">
        <v>100</v>
      </c>
      <c r="B102" s="97">
        <v>4.7166666666666668E-4</v>
      </c>
      <c r="C102" s="97">
        <v>451.08769468612195</v>
      </c>
      <c r="D102" s="97">
        <v>1176.7600886888206</v>
      </c>
      <c r="E102" s="97">
        <v>893.80279416953863</v>
      </c>
      <c r="F102" s="97">
        <v>1108.502457425124</v>
      </c>
      <c r="G102" s="97">
        <v>4063.5996851154323</v>
      </c>
      <c r="H102" s="97">
        <v>6231.3663534102134</v>
      </c>
      <c r="I102" s="97">
        <v>53</v>
      </c>
      <c r="J102" s="97">
        <v>45</v>
      </c>
      <c r="K102" s="97">
        <v>2456.9243103904109</v>
      </c>
      <c r="L102" s="97">
        <v>6409.4199497251093</v>
      </c>
      <c r="M102" s="97">
        <v>4868.2458855767536</v>
      </c>
      <c r="N102" s="97">
        <v>5641.3537562460269</v>
      </c>
      <c r="O102" s="97">
        <v>65870.950895721166</v>
      </c>
      <c r="P102" s="97">
        <v>183795.19490490708</v>
      </c>
      <c r="Q102" s="97">
        <v>14750.360049906547</v>
      </c>
      <c r="R102" s="97">
        <v>283792.4497524731</v>
      </c>
      <c r="S102" s="97">
        <v>23134823.661153995</v>
      </c>
      <c r="T102" s="97">
        <v>18443914.15213386</v>
      </c>
      <c r="U102" s="45">
        <v>0</v>
      </c>
      <c r="V102">
        <v>0</v>
      </c>
      <c r="W102">
        <v>4.7166666666666668E-4</v>
      </c>
      <c r="X102" s="97">
        <v>6231.3663534102134</v>
      </c>
      <c r="Y102" s="97">
        <v>13.478030093834112</v>
      </c>
      <c r="Z102" s="97">
        <v>1492.6367364680491</v>
      </c>
      <c r="AA102" s="97">
        <v>151.30389526830112</v>
      </c>
      <c r="AB102" s="97">
        <v>10.299869193792501</v>
      </c>
      <c r="AC102" s="97">
        <v>521.83172998620205</v>
      </c>
      <c r="AD102" s="97">
        <v>185.3176713349651</v>
      </c>
      <c r="AE102" s="97">
        <v>790.48249116452712</v>
      </c>
      <c r="AF102" s="97">
        <v>1143.2946253384423</v>
      </c>
      <c r="AG102" s="97">
        <v>304.49935798705241</v>
      </c>
      <c r="AH102" s="97">
        <v>62982.960653103633</v>
      </c>
      <c r="AI102" s="97">
        <v>827.14457896515182</v>
      </c>
      <c r="AJ102" s="97">
        <v>73825.63190895399</v>
      </c>
      <c r="AK102" s="97">
        <v>74836.277456245705</v>
      </c>
      <c r="AL102" s="97">
        <v>1010.645547291722</v>
      </c>
      <c r="AM102" s="97">
        <v>63810.105232068789</v>
      </c>
    </row>
    <row r="103" spans="1:39" x14ac:dyDescent="0.25">
      <c r="A103" s="97">
        <v>101</v>
      </c>
      <c r="B103" s="97">
        <v>4.7166666666666668E-4</v>
      </c>
      <c r="C103" s="97">
        <v>446.22169203964404</v>
      </c>
      <c r="D103" s="97">
        <v>1172.1793671547912</v>
      </c>
      <c r="E103" s="97">
        <v>892.58918998257548</v>
      </c>
      <c r="F103" s="97">
        <v>1106.11917946064</v>
      </c>
      <c r="G103" s="97">
        <v>4054.7940196438617</v>
      </c>
      <c r="H103" s="97">
        <v>6242.6977375606739</v>
      </c>
      <c r="I103" s="97">
        <v>53</v>
      </c>
      <c r="J103" s="97">
        <v>45</v>
      </c>
      <c r="K103" s="97">
        <v>2430.4208159759278</v>
      </c>
      <c r="L103" s="97">
        <v>6384.470286436429</v>
      </c>
      <c r="M103" s="97">
        <v>4861.6357881050944</v>
      </c>
      <c r="N103" s="97">
        <v>5629.2248574717732</v>
      </c>
      <c r="O103" s="97">
        <v>65728.211058426998</v>
      </c>
      <c r="P103" s="97">
        <v>184215.8812737655</v>
      </c>
      <c r="Q103" s="97">
        <v>14767.837731523345</v>
      </c>
      <c r="R103" s="97">
        <v>284017.68181170506</v>
      </c>
      <c r="S103" s="97">
        <v>23418841.3429657</v>
      </c>
      <c r="T103" s="97">
        <v>18630534.713357516</v>
      </c>
      <c r="U103" s="45">
        <v>0</v>
      </c>
      <c r="V103">
        <v>0</v>
      </c>
      <c r="W103">
        <v>4.7166666666666668E-4</v>
      </c>
      <c r="X103" s="97">
        <v>6242.6977375606739</v>
      </c>
      <c r="Y103" s="97">
        <v>13.448823342380818</v>
      </c>
      <c r="Z103" s="97">
        <v>1506.0855598104299</v>
      </c>
      <c r="AA103" s="97">
        <v>151.00611281213696</v>
      </c>
      <c r="AB103" s="97">
        <v>10.278002654439916</v>
      </c>
      <c r="AC103" s="97">
        <v>523.67024359197035</v>
      </c>
      <c r="AD103" s="97">
        <v>185.53725399237823</v>
      </c>
      <c r="AE103" s="97">
        <v>799.19280671873514</v>
      </c>
      <c r="AF103" s="97">
        <v>1159.3497928304187</v>
      </c>
      <c r="AG103" s="97">
        <v>308.53314849158392</v>
      </c>
      <c r="AH103" s="97">
        <v>62982.960653103633</v>
      </c>
      <c r="AI103" s="97">
        <v>827.14457896515182</v>
      </c>
      <c r="AJ103" s="97">
        <v>73825.63190895399</v>
      </c>
      <c r="AK103" s="97">
        <v>74836.277456245705</v>
      </c>
      <c r="AL103" s="97">
        <v>1010.645547291722</v>
      </c>
      <c r="AM103" s="97">
        <v>63810.105232068789</v>
      </c>
    </row>
    <row r="104" spans="1:39" x14ac:dyDescent="0.25">
      <c r="A104" s="97">
        <v>102</v>
      </c>
      <c r="B104" s="97">
        <v>4.7166666666666668E-4</v>
      </c>
      <c r="C104" s="97">
        <v>441.40818025477569</v>
      </c>
      <c r="D104" s="97">
        <v>1167.5843945192983</v>
      </c>
      <c r="E104" s="97">
        <v>891.3552337994995</v>
      </c>
      <c r="F104" s="97">
        <v>1103.748528418661</v>
      </c>
      <c r="G104" s="97">
        <v>4046.0076279382774</v>
      </c>
      <c r="H104" s="97">
        <v>6254.0047592589162</v>
      </c>
      <c r="I104" s="97">
        <v>53</v>
      </c>
      <c r="J104" s="97">
        <v>45</v>
      </c>
      <c r="K104" s="97">
        <v>2404.2032217876781</v>
      </c>
      <c r="L104" s="97">
        <v>6359.4430021484441</v>
      </c>
      <c r="M104" s="97">
        <v>4854.9148400946069</v>
      </c>
      <c r="N104" s="97">
        <v>5617.1602192106348</v>
      </c>
      <c r="O104" s="97">
        <v>65585.783648879486</v>
      </c>
      <c r="P104" s="97">
        <v>184622.35561580426</v>
      </c>
      <c r="Q104" s="97">
        <v>14784.409216966947</v>
      </c>
      <c r="R104" s="97">
        <v>284228.26976489206</v>
      </c>
      <c r="S104" s="97">
        <v>23703069.612730592</v>
      </c>
      <c r="T104" s="97">
        <v>18816518.713063661</v>
      </c>
      <c r="U104" s="45">
        <v>0</v>
      </c>
      <c r="V104">
        <v>0</v>
      </c>
      <c r="W104">
        <v>4.7166666666666668E-4</v>
      </c>
      <c r="X104" s="97">
        <v>6254.0047592589162</v>
      </c>
      <c r="Y104" s="97">
        <v>13.419680255335843</v>
      </c>
      <c r="Z104" s="97">
        <v>1519.5052400657657</v>
      </c>
      <c r="AA104" s="97">
        <v>150.70783677474179</v>
      </c>
      <c r="AB104" s="97">
        <v>10.256179735356469</v>
      </c>
      <c r="AC104" s="97">
        <v>525.4572003346459</v>
      </c>
      <c r="AD104" s="97">
        <v>185.74545156061245</v>
      </c>
      <c r="AE104" s="97">
        <v>807.90179784165753</v>
      </c>
      <c r="AF104" s="97">
        <v>1175.4280826952283</v>
      </c>
      <c r="AG104" s="97">
        <v>312.55746370426039</v>
      </c>
      <c r="AH104" s="97">
        <v>62982.960653103633</v>
      </c>
      <c r="AI104" s="97">
        <v>827.14457896515182</v>
      </c>
      <c r="AJ104" s="97">
        <v>73825.63190895399</v>
      </c>
      <c r="AK104" s="97">
        <v>74836.277456245705</v>
      </c>
      <c r="AL104" s="97">
        <v>1010.645547291722</v>
      </c>
      <c r="AM104" s="97">
        <v>63810.105232068789</v>
      </c>
    </row>
    <row r="105" spans="1:39" x14ac:dyDescent="0.25">
      <c r="A105" s="97">
        <v>103</v>
      </c>
      <c r="B105" s="97">
        <v>4.7166666666666668E-4</v>
      </c>
      <c r="C105" s="97">
        <v>436.64659309866562</v>
      </c>
      <c r="D105" s="97">
        <v>1162.9758240844851</v>
      </c>
      <c r="E105" s="97">
        <v>890.10104576861306</v>
      </c>
      <c r="F105" s="97">
        <v>1101.3901536133317</v>
      </c>
      <c r="G105" s="97">
        <v>4037.2405435635951</v>
      </c>
      <c r="H105" s="97">
        <v>6265.2875475804403</v>
      </c>
      <c r="I105" s="97">
        <v>53</v>
      </c>
      <c r="J105" s="97">
        <v>45</v>
      </c>
      <c r="K105" s="97">
        <v>2378.2684437440653</v>
      </c>
      <c r="L105" s="97">
        <v>6334.341655180162</v>
      </c>
      <c r="M105" s="97">
        <v>4848.0836959530452</v>
      </c>
      <c r="N105" s="97">
        <v>5605.1580567638466</v>
      </c>
      <c r="O105" s="97">
        <v>65443.669211165878</v>
      </c>
      <c r="P105" s="97">
        <v>185014.86610640952</v>
      </c>
      <c r="Q105" s="97">
        <v>14800.093585065097</v>
      </c>
      <c r="R105" s="97">
        <v>284424.48075428163</v>
      </c>
      <c r="S105" s="97">
        <v>23987494.093484875</v>
      </c>
      <c r="T105" s="97">
        <v>19001858.852319885</v>
      </c>
      <c r="U105" s="45">
        <v>0</v>
      </c>
      <c r="V105">
        <v>0</v>
      </c>
      <c r="W105">
        <v>4.7166666666666668E-4</v>
      </c>
      <c r="X105" s="97">
        <v>6265.2875475804403</v>
      </c>
      <c r="Y105" s="97">
        <v>13.390600956432904</v>
      </c>
      <c r="Z105" s="97">
        <v>1532.8958410221987</v>
      </c>
      <c r="AA105" s="97">
        <v>150.40909841444073</v>
      </c>
      <c r="AB105" s="97">
        <v>10.234400661313515</v>
      </c>
      <c r="AC105" s="97">
        <v>527.19347787897857</v>
      </c>
      <c r="AD105" s="97">
        <v>185.94250373848982</v>
      </c>
      <c r="AE105" s="97">
        <v>816.60918259944879</v>
      </c>
      <c r="AF105" s="97">
        <v>1191.5284626511925</v>
      </c>
      <c r="AG105" s="97">
        <v>316.57229718820861</v>
      </c>
      <c r="AH105" s="97">
        <v>62982.960653103633</v>
      </c>
      <c r="AI105" s="97">
        <v>827.14457896515182</v>
      </c>
      <c r="AJ105" s="97">
        <v>73825.63190895399</v>
      </c>
      <c r="AK105" s="97">
        <v>74836.277456245705</v>
      </c>
      <c r="AL105" s="97">
        <v>1010.645547291722</v>
      </c>
      <c r="AM105" s="97">
        <v>63810.105232068789</v>
      </c>
    </row>
    <row r="106" spans="1:39" x14ac:dyDescent="0.25">
      <c r="A106" s="97">
        <v>104</v>
      </c>
      <c r="B106" s="97">
        <v>4.7166666666666668E-4</v>
      </c>
      <c r="C106" s="97">
        <v>431.93637044656668</v>
      </c>
      <c r="D106" s="97">
        <v>1158.3542981850437</v>
      </c>
      <c r="E106" s="97">
        <v>888.82674952670743</v>
      </c>
      <c r="F106" s="97">
        <v>1099.0437093821208</v>
      </c>
      <c r="G106" s="97">
        <v>4028.492796333604</v>
      </c>
      <c r="H106" s="97">
        <v>6276.5462280159509</v>
      </c>
      <c r="I106" s="97">
        <v>53</v>
      </c>
      <c r="J106" s="97">
        <v>45</v>
      </c>
      <c r="K106" s="97">
        <v>2352.6134310322996</v>
      </c>
      <c r="L106" s="97">
        <v>6309.1697441145379</v>
      </c>
      <c r="M106" s="97">
        <v>4841.1430290887993</v>
      </c>
      <c r="N106" s="97">
        <v>5593.2166109971758</v>
      </c>
      <c r="O106" s="97">
        <v>65301.868228567728</v>
      </c>
      <c r="P106" s="97">
        <v>185393.65687997674</v>
      </c>
      <c r="Q106" s="97">
        <v>14814.909466964898</v>
      </c>
      <c r="R106" s="97">
        <v>284606.5773907422</v>
      </c>
      <c r="S106" s="97">
        <v>24272100.670875616</v>
      </c>
      <c r="T106" s="97">
        <v>19186548.113014746</v>
      </c>
      <c r="U106" s="45">
        <v>0</v>
      </c>
      <c r="V106">
        <v>0</v>
      </c>
      <c r="W106">
        <v>4.7166666666666668E-4</v>
      </c>
      <c r="X106" s="97">
        <v>6276.5462280159509</v>
      </c>
      <c r="Y106" s="97">
        <v>13.361585556757898</v>
      </c>
      <c r="Z106" s="97">
        <v>1546.2574265789567</v>
      </c>
      <c r="AA106" s="97">
        <v>150.10992817083502</v>
      </c>
      <c r="AB106" s="97">
        <v>10.212665645531775</v>
      </c>
      <c r="AC106" s="97">
        <v>528.87993990862753</v>
      </c>
      <c r="AD106" s="97">
        <v>186.1286446003505</v>
      </c>
      <c r="AE106" s="97">
        <v>825.31468441610537</v>
      </c>
      <c r="AF106" s="97">
        <v>1207.6499204496608</v>
      </c>
      <c r="AG106" s="97">
        <v>320.57764299648431</v>
      </c>
      <c r="AH106" s="97">
        <v>62982.960653103633</v>
      </c>
      <c r="AI106" s="97">
        <v>827.14457896515182</v>
      </c>
      <c r="AJ106" s="97">
        <v>73825.63190895399</v>
      </c>
      <c r="AK106" s="97">
        <v>74836.277456245705</v>
      </c>
      <c r="AL106" s="97">
        <v>1010.645547291722</v>
      </c>
      <c r="AM106" s="97">
        <v>63810.105232068789</v>
      </c>
    </row>
    <row r="107" spans="1:39" x14ac:dyDescent="0.25">
      <c r="A107" s="97">
        <v>105</v>
      </c>
      <c r="B107" s="97">
        <v>4.7166666666666668E-4</v>
      </c>
      <c r="C107" s="97">
        <v>427.27695821594591</v>
      </c>
      <c r="D107" s="97">
        <v>1153.720448337285</v>
      </c>
      <c r="E107" s="97">
        <v>887.53247207956485</v>
      </c>
      <c r="F107" s="97">
        <v>1096.7088550690671</v>
      </c>
      <c r="G107" s="97">
        <v>4019.7644123809041</v>
      </c>
      <c r="H107" s="97">
        <v>6287.7809225227038</v>
      </c>
      <c r="I107" s="97">
        <v>53</v>
      </c>
      <c r="J107" s="97">
        <v>45</v>
      </c>
      <c r="K107" s="97">
        <v>2327.2351657495187</v>
      </c>
      <c r="L107" s="97">
        <v>6283.9307086104118</v>
      </c>
      <c r="M107" s="97">
        <v>4834.0935312600295</v>
      </c>
      <c r="N107" s="97">
        <v>5581.3341482556607</v>
      </c>
      <c r="O107" s="97">
        <v>65160.381124694461</v>
      </c>
      <c r="P107" s="97">
        <v>185758.96809338449</v>
      </c>
      <c r="Q107" s="97">
        <v>14828.875059400845</v>
      </c>
      <c r="R107" s="97">
        <v>284774.81783135544</v>
      </c>
      <c r="S107" s="97">
        <v>24556875.488706972</v>
      </c>
      <c r="T107" s="97">
        <v>19370579.751199264</v>
      </c>
      <c r="U107" s="45">
        <v>0</v>
      </c>
      <c r="V107">
        <v>0</v>
      </c>
      <c r="W107">
        <v>4.7166666666666668E-4</v>
      </c>
      <c r="X107" s="97">
        <v>6287.7809225227038</v>
      </c>
      <c r="Y107" s="97">
        <v>13.332634154982058</v>
      </c>
      <c r="Z107" s="97">
        <v>1559.5900607339388</v>
      </c>
      <c r="AA107" s="97">
        <v>149.81035568252295</v>
      </c>
      <c r="AB107" s="97">
        <v>10.190974889865352</v>
      </c>
      <c r="AC107" s="97">
        <v>530.5174363409086</v>
      </c>
      <c r="AD107" s="97">
        <v>186.30410276274696</v>
      </c>
      <c r="AE107" s="97">
        <v>834.01803198246216</v>
      </c>
      <c r="AF107" s="97">
        <v>1223.7914634686631</v>
      </c>
      <c r="AG107" s="97">
        <v>324.57349566239219</v>
      </c>
      <c r="AH107" s="97">
        <v>62982.960653103633</v>
      </c>
      <c r="AI107" s="97">
        <v>827.14457896515182</v>
      </c>
      <c r="AJ107" s="97">
        <v>73825.63190895399</v>
      </c>
      <c r="AK107" s="97">
        <v>74836.277456245705</v>
      </c>
      <c r="AL107" s="97">
        <v>1010.645547291722</v>
      </c>
      <c r="AM107" s="97">
        <v>63810.105232068789</v>
      </c>
    </row>
    <row r="108" spans="1:39" x14ac:dyDescent="0.25">
      <c r="A108" s="97">
        <v>106</v>
      </c>
      <c r="B108" s="97">
        <v>4.7166666666666668E-4</v>
      </c>
      <c r="C108" s="97">
        <v>422.66780830130563</v>
      </c>
      <c r="D108" s="97">
        <v>1149.0748953863588</v>
      </c>
      <c r="E108" s="97">
        <v>886.21834368488192</v>
      </c>
      <c r="F108" s="97">
        <v>1094.3852550069378</v>
      </c>
      <c r="G108" s="97">
        <v>4011.0554142263281</v>
      </c>
      <c r="H108" s="97">
        <v>6298.9917495756863</v>
      </c>
      <c r="I108" s="97">
        <v>53</v>
      </c>
      <c r="J108" s="97">
        <v>45</v>
      </c>
      <c r="K108" s="97">
        <v>2302.1306625477778</v>
      </c>
      <c r="L108" s="97">
        <v>6258.6279302043667</v>
      </c>
      <c r="M108" s="97">
        <v>4826.9359119369901</v>
      </c>
      <c r="N108" s="97">
        <v>5569.5089602728076</v>
      </c>
      <c r="O108" s="97">
        <v>65019.20826460878</v>
      </c>
      <c r="P108" s="97">
        <v>186111.03598847234</v>
      </c>
      <c r="Q108" s="97">
        <v>14842.008137469769</v>
      </c>
      <c r="R108" s="97">
        <v>284929.45585551282</v>
      </c>
      <c r="S108" s="97">
        <v>24841804.944562484</v>
      </c>
      <c r="T108" s="97">
        <v>19553947.290573064</v>
      </c>
      <c r="U108" s="45">
        <v>0</v>
      </c>
      <c r="V108">
        <v>0</v>
      </c>
      <c r="W108">
        <v>4.7166666666666668E-4</v>
      </c>
      <c r="X108" s="97">
        <v>6298.9917495756863</v>
      </c>
      <c r="Y108" s="97">
        <v>13.303746837593412</v>
      </c>
      <c r="Z108" s="97">
        <v>1572.8938075715323</v>
      </c>
      <c r="AA108" s="97">
        <v>149.51040980446282</v>
      </c>
      <c r="AB108" s="97">
        <v>10.16932858498493</v>
      </c>
      <c r="AC108" s="97">
        <v>532.1068035382508</v>
      </c>
      <c r="AD108" s="97">
        <v>186.46910154494338</v>
      </c>
      <c r="AE108" s="97">
        <v>842.71895916663095</v>
      </c>
      <c r="AF108" s="97">
        <v>1239.9521183165293</v>
      </c>
      <c r="AG108" s="97">
        <v>328.55985019000207</v>
      </c>
      <c r="AH108" s="97">
        <v>62982.960653103633</v>
      </c>
      <c r="AI108" s="97">
        <v>827.14457896515182</v>
      </c>
      <c r="AJ108" s="97">
        <v>73825.63190895399</v>
      </c>
      <c r="AK108" s="97">
        <v>74836.277456245705</v>
      </c>
      <c r="AL108" s="97">
        <v>1010.645547291722</v>
      </c>
      <c r="AM108" s="97">
        <v>63810.105232068789</v>
      </c>
    </row>
    <row r="109" spans="1:39" x14ac:dyDescent="0.25">
      <c r="A109" s="97">
        <v>107</v>
      </c>
      <c r="B109" s="97">
        <v>4.7166666666666668E-4</v>
      </c>
      <c r="C109" s="97">
        <v>418.10837850970762</v>
      </c>
      <c r="D109" s="97">
        <v>1144.4182496516462</v>
      </c>
      <c r="E109" s="97">
        <v>884.88449773757554</v>
      </c>
      <c r="F109" s="97">
        <v>1092.0725784983383</v>
      </c>
      <c r="G109" s="97">
        <v>4002.3658208478341</v>
      </c>
      <c r="H109" s="97">
        <v>6310.178824218614</v>
      </c>
      <c r="I109" s="97">
        <v>53</v>
      </c>
      <c r="J109" s="97">
        <v>45</v>
      </c>
      <c r="K109" s="97">
        <v>2277.2969682828739</v>
      </c>
      <c r="L109" s="97">
        <v>6233.2647331026328</v>
      </c>
      <c r="M109" s="97">
        <v>4819.670897677328</v>
      </c>
      <c r="N109" s="97">
        <v>5557.7393640744594</v>
      </c>
      <c r="O109" s="97">
        <v>64878.349955943391</v>
      </c>
      <c r="P109" s="97">
        <v>186450.09295353884</v>
      </c>
      <c r="Q109" s="97">
        <v>14854.32606693351</v>
      </c>
      <c r="R109" s="97">
        <v>285070.74093955301</v>
      </c>
      <c r="S109" s="97">
        <v>25126875.685502037</v>
      </c>
      <c r="T109" s="97">
        <v>19736644.516112063</v>
      </c>
      <c r="U109" s="45">
        <v>0</v>
      </c>
      <c r="V109">
        <v>0</v>
      </c>
      <c r="W109">
        <v>4.7166666666666668E-4</v>
      </c>
      <c r="X109" s="97">
        <v>6310.178824218614</v>
      </c>
      <c r="Y109" s="97">
        <v>13.274923679126539</v>
      </c>
      <c r="Z109" s="97">
        <v>1586.1687312506588</v>
      </c>
      <c r="AA109" s="97">
        <v>149.21011862498543</v>
      </c>
      <c r="AB109" s="97">
        <v>10.147726910560058</v>
      </c>
      <c r="AC109" s="97">
        <v>533.64886451641644</v>
      </c>
      <c r="AD109" s="97">
        <v>186.62385912348151</v>
      </c>
      <c r="AE109" s="97">
        <v>851.41720492586001</v>
      </c>
      <c r="AF109" s="97">
        <v>1256.130930445159</v>
      </c>
      <c r="AG109" s="97">
        <v>332.5367020448565</v>
      </c>
      <c r="AH109" s="97">
        <v>62982.960653103633</v>
      </c>
      <c r="AI109" s="97">
        <v>827.14457896515182</v>
      </c>
      <c r="AJ109" s="97">
        <v>73825.63190895399</v>
      </c>
      <c r="AK109" s="97">
        <v>74836.277456245705</v>
      </c>
      <c r="AL109" s="97">
        <v>1010.645547291722</v>
      </c>
      <c r="AM109" s="97">
        <v>63810.105232068789</v>
      </c>
    </row>
    <row r="110" spans="1:39" x14ac:dyDescent="0.25">
      <c r="A110" s="97">
        <v>108</v>
      </c>
      <c r="B110" s="97">
        <v>4.7166666666666668E-4</v>
      </c>
      <c r="C110" s="97">
        <v>413.59813249699278</v>
      </c>
      <c r="D110" s="97">
        <v>1139.7511110703467</v>
      </c>
      <c r="E110" s="97">
        <v>883.53107065742972</v>
      </c>
      <c r="F110" s="97">
        <v>1089.7704997958076</v>
      </c>
      <c r="G110" s="97">
        <v>3993.6956477488652</v>
      </c>
      <c r="H110" s="97">
        <v>6321.3422581147306</v>
      </c>
      <c r="I110" s="97">
        <v>54</v>
      </c>
      <c r="J110" s="97">
        <v>45</v>
      </c>
      <c r="K110" s="97">
        <v>2252.731161666954</v>
      </c>
      <c r="L110" s="97">
        <v>6207.8443849631549</v>
      </c>
      <c r="M110" s="97">
        <v>4812.2992315141337</v>
      </c>
      <c r="N110" s="97">
        <v>5546.0237018774969</v>
      </c>
      <c r="O110" s="97">
        <v>64737.806450009106</v>
      </c>
      <c r="P110" s="97">
        <v>186776.36758387601</v>
      </c>
      <c r="Q110" s="97">
        <v>14865.845816069272</v>
      </c>
      <c r="R110" s="97">
        <v>285198.91832997615</v>
      </c>
      <c r="S110" s="97">
        <v>25412074.603832014</v>
      </c>
      <c r="T110" s="97">
        <v>19918665.467834547</v>
      </c>
      <c r="U110" s="45">
        <v>0</v>
      </c>
      <c r="V110">
        <v>0</v>
      </c>
      <c r="W110">
        <v>4.7166666666666668E-4</v>
      </c>
      <c r="X110" s="97">
        <v>6321.3422581147306</v>
      </c>
      <c r="Y110" s="97">
        <v>13.246164742390583</v>
      </c>
      <c r="Z110" s="97">
        <v>1599.4148959930494</v>
      </c>
      <c r="AA110" s="97">
        <v>148.91644288746824</v>
      </c>
      <c r="AB110" s="97">
        <v>10.119236630435397</v>
      </c>
      <c r="AC110" s="97">
        <v>535.13749574452913</v>
      </c>
      <c r="AD110" s="97">
        <v>186.76858868106379</v>
      </c>
      <c r="AE110" s="97">
        <v>860.11251321979182</v>
      </c>
      <c r="AF110" s="97">
        <v>1272.3269637726323</v>
      </c>
      <c r="AG110" s="97">
        <v>336.50404714486535</v>
      </c>
      <c r="AH110" s="97">
        <v>68543.614322222886</v>
      </c>
      <c r="AI110" s="97">
        <v>945.96437509140674</v>
      </c>
      <c r="AJ110" s="97">
        <v>82041.249943419854</v>
      </c>
      <c r="AK110" s="97">
        <v>83227.446445328213</v>
      </c>
      <c r="AL110" s="97">
        <v>1186.1965019083639</v>
      </c>
      <c r="AM110" s="97">
        <v>69489.578697314297</v>
      </c>
    </row>
    <row r="111" spans="1:39" x14ac:dyDescent="0.25">
      <c r="A111" s="97">
        <v>109</v>
      </c>
      <c r="B111" s="97">
        <v>5.1916666666666669E-4</v>
      </c>
      <c r="C111" s="97">
        <v>409.11689379339504</v>
      </c>
      <c r="D111" s="97">
        <v>1135.0199311615038</v>
      </c>
      <c r="E111" s="97">
        <v>882.11623405318915</v>
      </c>
      <c r="F111" s="97">
        <v>1087.4269339821956</v>
      </c>
      <c r="G111" s="97">
        <v>3984.8552064828996</v>
      </c>
      <c r="H111" s="97">
        <v>6332.4821595974117</v>
      </c>
      <c r="I111" s="97">
        <v>54</v>
      </c>
      <c r="J111" s="97">
        <v>45</v>
      </c>
      <c r="K111" s="97">
        <v>2228.3233481946913</v>
      </c>
      <c r="L111" s="97">
        <v>6182.075225059657</v>
      </c>
      <c r="M111" s="97">
        <v>4804.5930881430368</v>
      </c>
      <c r="N111" s="97">
        <v>5534.0969048577235</v>
      </c>
      <c r="O111" s="97">
        <v>64594.502897087805</v>
      </c>
      <c r="P111" s="97">
        <v>187081.20008168629</v>
      </c>
      <c r="Q111" s="97">
        <v>14875.877839410394</v>
      </c>
      <c r="R111" s="97">
        <v>285300.66938443959</v>
      </c>
      <c r="S111" s="97">
        <v>25697375.273216452</v>
      </c>
      <c r="T111" s="97">
        <v>20099995.816458859</v>
      </c>
      <c r="U111" s="45">
        <v>0</v>
      </c>
      <c r="V111">
        <v>0</v>
      </c>
      <c r="W111">
        <v>5.1916666666666669E-4</v>
      </c>
      <c r="X111" s="97">
        <v>6332.4821595974117</v>
      </c>
      <c r="Y111" s="97">
        <v>13.217470078695484</v>
      </c>
      <c r="Z111" s="97">
        <v>1612.6323660717449</v>
      </c>
      <c r="AA111" s="97">
        <v>148.61522858483244</v>
      </c>
      <c r="AB111" s="97">
        <v>10.097739442076469</v>
      </c>
      <c r="AC111" s="97">
        <v>536.55513539287415</v>
      </c>
      <c r="AD111" s="97">
        <v>186.89462704203021</v>
      </c>
      <c r="AE111" s="97">
        <v>868.80463292509876</v>
      </c>
      <c r="AF111" s="97">
        <v>1288.5393471287173</v>
      </c>
      <c r="AG111" s="97">
        <v>340.86046237836399</v>
      </c>
      <c r="AH111" s="97">
        <v>68543.614322222886</v>
      </c>
      <c r="AI111" s="97">
        <v>945.96437509140674</v>
      </c>
      <c r="AJ111" s="97">
        <v>82041.249943419854</v>
      </c>
      <c r="AK111" s="97">
        <v>83227.446445328213</v>
      </c>
      <c r="AL111" s="97">
        <v>1186.1965019083639</v>
      </c>
      <c r="AM111" s="97">
        <v>69489.578697314297</v>
      </c>
    </row>
    <row r="112" spans="1:39" x14ac:dyDescent="0.25">
      <c r="A112" s="97">
        <v>110</v>
      </c>
      <c r="B112" s="97">
        <v>5.1916666666666669E-4</v>
      </c>
      <c r="C112" s="97">
        <v>404.6842082595067</v>
      </c>
      <c r="D112" s="97">
        <v>1130.2798745898992</v>
      </c>
      <c r="E112" s="97">
        <v>880.68223020835171</v>
      </c>
      <c r="F112" s="97">
        <v>1085.0935494250175</v>
      </c>
      <c r="G112" s="97">
        <v>3976.0350371816658</v>
      </c>
      <c r="H112" s="97">
        <v>6343.598104575226</v>
      </c>
      <c r="I112" s="97">
        <v>54</v>
      </c>
      <c r="J112" s="97">
        <v>45</v>
      </c>
      <c r="K112" s="97">
        <v>2204.1799876534465</v>
      </c>
      <c r="L112" s="97">
        <v>6156.2577169329843</v>
      </c>
      <c r="M112" s="97">
        <v>4796.7825472014883</v>
      </c>
      <c r="N112" s="97">
        <v>5522.2219219488179</v>
      </c>
      <c r="O112" s="97">
        <v>64451.527952714809</v>
      </c>
      <c r="P112" s="97">
        <v>187373.6546579416</v>
      </c>
      <c r="Q112" s="97">
        <v>14885.143463390776</v>
      </c>
      <c r="R112" s="97">
        <v>285389.76824778394</v>
      </c>
      <c r="S112" s="97">
        <v>25982765.041464236</v>
      </c>
      <c r="T112" s="97">
        <v>20280630.151149351</v>
      </c>
      <c r="U112" s="45">
        <v>0</v>
      </c>
      <c r="V112">
        <v>0</v>
      </c>
      <c r="W112">
        <v>5.1916666666666669E-4</v>
      </c>
      <c r="X112" s="97">
        <v>6343.598104575226</v>
      </c>
      <c r="Y112" s="97">
        <v>13.188211898247701</v>
      </c>
      <c r="Z112" s="97">
        <v>1625.8205779699927</v>
      </c>
      <c r="AA112" s="97">
        <v>148.31355693826481</v>
      </c>
      <c r="AB112" s="97">
        <v>10.075858174173982</v>
      </c>
      <c r="AC112" s="97">
        <v>537.9278992088972</v>
      </c>
      <c r="AD112" s="97">
        <v>187.01103666550381</v>
      </c>
      <c r="AE112" s="97">
        <v>877.49290460186501</v>
      </c>
      <c r="AF112" s="97">
        <v>1304.7664085456329</v>
      </c>
      <c r="AG112" s="97">
        <v>345.20619897726158</v>
      </c>
      <c r="AH112" s="97">
        <v>68543.614322222886</v>
      </c>
      <c r="AI112" s="97">
        <v>945.96437509140674</v>
      </c>
      <c r="AJ112" s="97">
        <v>82041.249943419854</v>
      </c>
      <c r="AK112" s="97">
        <v>83227.446445328213</v>
      </c>
      <c r="AL112" s="97">
        <v>1186.1965019083639</v>
      </c>
      <c r="AM112" s="97">
        <v>69489.578697314297</v>
      </c>
    </row>
    <row r="113" spans="1:39" x14ac:dyDescent="0.25">
      <c r="A113" s="97">
        <v>111</v>
      </c>
      <c r="B113" s="97">
        <v>5.1916666666666669E-4</v>
      </c>
      <c r="C113" s="97">
        <v>400.29954983312831</v>
      </c>
      <c r="D113" s="97">
        <v>1125.5315122867914</v>
      </c>
      <c r="E113" s="97">
        <v>879.22920670683209</v>
      </c>
      <c r="F113" s="97">
        <v>1082.7700336625014</v>
      </c>
      <c r="G113" s="97">
        <v>3967.2351425004181</v>
      </c>
      <c r="H113" s="97">
        <v>6354.6901971234756</v>
      </c>
      <c r="I113" s="97">
        <v>54</v>
      </c>
      <c r="J113" s="97">
        <v>45</v>
      </c>
      <c r="K113" s="97">
        <v>2180.2982147577723</v>
      </c>
      <c r="L113" s="97">
        <v>6130.39497025539</v>
      </c>
      <c r="M113" s="97">
        <v>4788.8684125298787</v>
      </c>
      <c r="N113" s="97">
        <v>5510.3971629807465</v>
      </c>
      <c r="O113" s="97">
        <v>64308.88165993178</v>
      </c>
      <c r="P113" s="97">
        <v>187653.95124855684</v>
      </c>
      <c r="Q113" s="97">
        <v>14893.658619929965</v>
      </c>
      <c r="R113" s="97">
        <v>285466.45028894237</v>
      </c>
      <c r="S113" s="97">
        <v>26268231.49175318</v>
      </c>
      <c r="T113" s="97">
        <v>20460563.299448464</v>
      </c>
      <c r="U113" s="45">
        <v>0</v>
      </c>
      <c r="V113">
        <v>0</v>
      </c>
      <c r="W113">
        <v>5.1916666666666669E-4</v>
      </c>
      <c r="X113" s="97">
        <v>6354.6901971234756</v>
      </c>
      <c r="Y113" s="97">
        <v>13.159020809564266</v>
      </c>
      <c r="Z113" s="97">
        <v>1638.9795987795569</v>
      </c>
      <c r="AA113" s="97">
        <v>148.01145849231992</v>
      </c>
      <c r="AB113" s="97">
        <v>10.054023959697911</v>
      </c>
      <c r="AC113" s="97">
        <v>539.25656214624837</v>
      </c>
      <c r="AD113" s="97">
        <v>187.1180177138007</v>
      </c>
      <c r="AE113" s="97">
        <v>886.17708679345344</v>
      </c>
      <c r="AF113" s="97">
        <v>1321.0072617927713</v>
      </c>
      <c r="AG113" s="97">
        <v>349.54125486518927</v>
      </c>
      <c r="AH113" s="97">
        <v>68543.614322222886</v>
      </c>
      <c r="AI113" s="97">
        <v>945.96437509140674</v>
      </c>
      <c r="AJ113" s="97">
        <v>82041.249943419854</v>
      </c>
      <c r="AK113" s="97">
        <v>83227.446445328213</v>
      </c>
      <c r="AL113" s="97">
        <v>1186.1965019083639</v>
      </c>
      <c r="AM113" s="97">
        <v>69489.578697314297</v>
      </c>
    </row>
    <row r="114" spans="1:39" x14ac:dyDescent="0.25">
      <c r="A114" s="97">
        <v>112</v>
      </c>
      <c r="B114" s="97">
        <v>5.1916666666666669E-4</v>
      </c>
      <c r="C114" s="97">
        <v>395.96239815182082</v>
      </c>
      <c r="D114" s="97">
        <v>1120.7754052496123</v>
      </c>
      <c r="E114" s="97">
        <v>877.75731370286155</v>
      </c>
      <c r="F114" s="97">
        <v>1080.4560791529905</v>
      </c>
      <c r="G114" s="97">
        <v>3958.4555218870655</v>
      </c>
      <c r="H114" s="97">
        <v>6365.7585381234012</v>
      </c>
      <c r="I114" s="97">
        <v>54</v>
      </c>
      <c r="J114" s="97">
        <v>45</v>
      </c>
      <c r="K114" s="97">
        <v>2156.6751952669174</v>
      </c>
      <c r="L114" s="97">
        <v>6104.4900405928875</v>
      </c>
      <c r="M114" s="97">
        <v>4780.8515019682527</v>
      </c>
      <c r="N114" s="97">
        <v>5498.62106282276</v>
      </c>
      <c r="O114" s="97">
        <v>64166.564009789334</v>
      </c>
      <c r="P114" s="97">
        <v>187922.30616810496</v>
      </c>
      <c r="Q114" s="97">
        <v>14901.438885634754</v>
      </c>
      <c r="R114" s="97">
        <v>285530.94686417986</v>
      </c>
      <c r="S114" s="97">
        <v>26553762.43861736</v>
      </c>
      <c r="T114" s="97">
        <v>20639790.321503844</v>
      </c>
      <c r="U114" s="45">
        <v>0</v>
      </c>
      <c r="V114">
        <v>0</v>
      </c>
      <c r="W114">
        <v>5.1916666666666669E-4</v>
      </c>
      <c r="X114" s="97">
        <v>6365.7585381234012</v>
      </c>
      <c r="Y114" s="97">
        <v>13.129896821432965</v>
      </c>
      <c r="Z114" s="97">
        <v>1652.1094956009899</v>
      </c>
      <c r="AA114" s="97">
        <v>147.70896297726691</v>
      </c>
      <c r="AB114" s="97">
        <v>10.032236920044483</v>
      </c>
      <c r="AC114" s="97">
        <v>540.5418867099803</v>
      </c>
      <c r="AD114" s="97">
        <v>187.21576588522839</v>
      </c>
      <c r="AE114" s="97">
        <v>894.85694275959884</v>
      </c>
      <c r="AF114" s="97">
        <v>1337.2610378562167</v>
      </c>
      <c r="AG114" s="97">
        <v>353.8656284269577</v>
      </c>
      <c r="AH114" s="97">
        <v>68543.614322222886</v>
      </c>
      <c r="AI114" s="97">
        <v>945.96437509140674</v>
      </c>
      <c r="AJ114" s="97">
        <v>82041.249943419854</v>
      </c>
      <c r="AK114" s="97">
        <v>83227.446445328213</v>
      </c>
      <c r="AL114" s="97">
        <v>1186.1965019083639</v>
      </c>
      <c r="AM114" s="97">
        <v>69489.578697314297</v>
      </c>
    </row>
    <row r="115" spans="1:39" x14ac:dyDescent="0.25">
      <c r="A115" s="97">
        <v>113</v>
      </c>
      <c r="B115" s="97">
        <v>5.1916666666666669E-4</v>
      </c>
      <c r="C115" s="97">
        <v>391.67223849115015</v>
      </c>
      <c r="D115" s="97">
        <v>1116.0121046791853</v>
      </c>
      <c r="E115" s="97">
        <v>876.26670381915301</v>
      </c>
      <c r="F115" s="97">
        <v>1078.1513832493301</v>
      </c>
      <c r="G115" s="97">
        <v>3949.696171648513</v>
      </c>
      <c r="H115" s="97">
        <v>6376.8032253124775</v>
      </c>
      <c r="I115" s="97">
        <v>54</v>
      </c>
      <c r="J115" s="97">
        <v>45</v>
      </c>
      <c r="K115" s="97">
        <v>2133.3081256484643</v>
      </c>
      <c r="L115" s="97">
        <v>6078.5459301526289</v>
      </c>
      <c r="M115" s="97">
        <v>4772.7326468016527</v>
      </c>
      <c r="N115" s="97">
        <v>5486.8920812530487</v>
      </c>
      <c r="O115" s="97">
        <v>64024.574942422398</v>
      </c>
      <c r="P115" s="97">
        <v>188178.93216715936</v>
      </c>
      <c r="Q115" s="97">
        <v>14908.499491618661</v>
      </c>
      <c r="R115" s="97">
        <v>285583.48538505624</v>
      </c>
      <c r="S115" s="97">
        <v>26839345.924002416</v>
      </c>
      <c r="T115" s="97">
        <v>20818306.504421346</v>
      </c>
      <c r="U115" s="45">
        <v>0</v>
      </c>
      <c r="V115">
        <v>0</v>
      </c>
      <c r="W115">
        <v>5.1916666666666669E-4</v>
      </c>
      <c r="X115" s="97">
        <v>6376.8032253124775</v>
      </c>
      <c r="Y115" s="97">
        <v>13.100839932026609</v>
      </c>
      <c r="Z115" s="97">
        <v>1665.2103355330166</v>
      </c>
      <c r="AA115" s="97">
        <v>147.40609932712269</v>
      </c>
      <c r="AB115" s="97">
        <v>10.010497166667738</v>
      </c>
      <c r="AC115" s="97">
        <v>541.78462314852595</v>
      </c>
      <c r="AD115" s="97">
        <v>187.30447253745413</v>
      </c>
      <c r="AE115" s="97">
        <v>903.53224039503573</v>
      </c>
      <c r="AF115" s="97">
        <v>1353.5268846001875</v>
      </c>
      <c r="AG115" s="97">
        <v>358.17931849937906</v>
      </c>
      <c r="AH115" s="97">
        <v>68543.614322222886</v>
      </c>
      <c r="AI115" s="97">
        <v>945.96437509140674</v>
      </c>
      <c r="AJ115" s="97">
        <v>82041.249943419854</v>
      </c>
      <c r="AK115" s="97">
        <v>83227.446445328213</v>
      </c>
      <c r="AL115" s="97">
        <v>1186.1965019083639</v>
      </c>
      <c r="AM115" s="97">
        <v>69489.578697314297</v>
      </c>
    </row>
    <row r="116" spans="1:39" x14ac:dyDescent="0.25">
      <c r="A116" s="97">
        <v>114</v>
      </c>
      <c r="B116" s="97">
        <v>5.1916666666666669E-4</v>
      </c>
      <c r="C116" s="97">
        <v>387.42856170360068</v>
      </c>
      <c r="D116" s="97">
        <v>1111.2421521152235</v>
      </c>
      <c r="E116" s="97">
        <v>874.75753204721013</v>
      </c>
      <c r="F116" s="97">
        <v>1075.8556481724506</v>
      </c>
      <c r="G116" s="97">
        <v>3940.9570850164077</v>
      </c>
      <c r="H116" s="97">
        <v>6387.8243533344457</v>
      </c>
      <c r="I116" s="97">
        <v>54</v>
      </c>
      <c r="J116" s="97">
        <v>45</v>
      </c>
      <c r="K116" s="97">
        <v>2110.1942327456118</v>
      </c>
      <c r="L116" s="97">
        <v>6052.5655885209171</v>
      </c>
      <c r="M116" s="97">
        <v>4764.5126912171372</v>
      </c>
      <c r="N116" s="97">
        <v>5475.2087028242968</v>
      </c>
      <c r="O116" s="97">
        <v>63882.91434811597</v>
      </c>
      <c r="P116" s="97">
        <v>188424.03848873256</v>
      </c>
      <c r="Q116" s="97">
        <v>14914.855332975108</v>
      </c>
      <c r="R116" s="97">
        <v>285624.28938513162</v>
      </c>
      <c r="S116" s="97">
        <v>27124970.213387549</v>
      </c>
      <c r="T116" s="97">
        <v>20996107.356741186</v>
      </c>
      <c r="U116" s="45">
        <v>0</v>
      </c>
      <c r="V116">
        <v>0</v>
      </c>
      <c r="W116">
        <v>5.1916666666666669E-4</v>
      </c>
      <c r="X116" s="97">
        <v>6387.8243533344457</v>
      </c>
      <c r="Y116" s="97">
        <v>13.071850129122589</v>
      </c>
      <c r="Z116" s="97">
        <v>1678.2821856621392</v>
      </c>
      <c r="AA116" s="97">
        <v>147.10289569731322</v>
      </c>
      <c r="AB116" s="97">
        <v>9.9888048012566806</v>
      </c>
      <c r="AC116" s="97">
        <v>542.98550964273977</v>
      </c>
      <c r="AD116" s="97">
        <v>187.38432480652187</v>
      </c>
      <c r="AE116" s="97">
        <v>912.20275214943331</v>
      </c>
      <c r="AF116" s="97">
        <v>1369.8039664362634</v>
      </c>
      <c r="AG116" s="97">
        <v>362.48232436226988</v>
      </c>
      <c r="AH116" s="97">
        <v>68543.614322222886</v>
      </c>
      <c r="AI116" s="97">
        <v>945.96437509140674</v>
      </c>
      <c r="AJ116" s="97">
        <v>82041.249943419854</v>
      </c>
      <c r="AK116" s="97">
        <v>83227.446445328213</v>
      </c>
      <c r="AL116" s="97">
        <v>1186.1965019083639</v>
      </c>
      <c r="AM116" s="97">
        <v>69489.578697314297</v>
      </c>
    </row>
    <row r="117" spans="1:39" x14ac:dyDescent="0.25">
      <c r="A117" s="97">
        <v>115</v>
      </c>
      <c r="B117" s="97">
        <v>5.1916666666666669E-4</v>
      </c>
      <c r="C117" s="97">
        <v>383.23086415815055</v>
      </c>
      <c r="D117" s="97">
        <v>1106.4660795701277</v>
      </c>
      <c r="E117" s="97">
        <v>873.22995564974417</v>
      </c>
      <c r="F117" s="97">
        <v>1073.5685809841773</v>
      </c>
      <c r="G117" s="97">
        <v>3932.2382522122889</v>
      </c>
      <c r="H117" s="97">
        <v>6398.8220137890758</v>
      </c>
      <c r="I117" s="97">
        <v>54</v>
      </c>
      <c r="J117" s="97">
        <v>45</v>
      </c>
      <c r="K117" s="97">
        <v>2087.33077344806</v>
      </c>
      <c r="L117" s="97">
        <v>6026.5519133919615</v>
      </c>
      <c r="M117" s="97">
        <v>4756.1924917722727</v>
      </c>
      <c r="N117" s="97">
        <v>5463.5694367253091</v>
      </c>
      <c r="O117" s="97">
        <v>63741.582068361204</v>
      </c>
      <c r="P117" s="97">
        <v>188657.83092382629</v>
      </c>
      <c r="Q117" s="97">
        <v>14920.520977918486</v>
      </c>
      <c r="R117" s="97">
        <v>285653.57858544355</v>
      </c>
      <c r="S117" s="97">
        <v>27410623.791972991</v>
      </c>
      <c r="T117" s="97">
        <v>21173188.603034534</v>
      </c>
      <c r="U117" s="45">
        <v>0</v>
      </c>
      <c r="V117">
        <v>0</v>
      </c>
      <c r="W117">
        <v>5.1916666666666669E-4</v>
      </c>
      <c r="X117" s="97">
        <v>6398.8220137890758</v>
      </c>
      <c r="Y117" s="97">
        <v>13.042927390320475</v>
      </c>
      <c r="Z117" s="97">
        <v>1691.3251130524598</v>
      </c>
      <c r="AA117" s="97">
        <v>146.79937948197079</v>
      </c>
      <c r="AB117" s="97">
        <v>9.9671599159112674</v>
      </c>
      <c r="AC117" s="97">
        <v>544.145272492049</v>
      </c>
      <c r="AD117" s="97">
        <v>187.45550572169716</v>
      </c>
      <c r="AE117" s="97">
        <v>920.86825494861682</v>
      </c>
      <c r="AF117" s="97">
        <v>1386.0914640001649</v>
      </c>
      <c r="AG117" s="97">
        <v>366.77464572963032</v>
      </c>
      <c r="AH117" s="97">
        <v>68543.614322222886</v>
      </c>
      <c r="AI117" s="97">
        <v>945.96437509140674</v>
      </c>
      <c r="AJ117" s="97">
        <v>82041.249943419854</v>
      </c>
      <c r="AK117" s="97">
        <v>83227.446445328213</v>
      </c>
      <c r="AL117" s="97">
        <v>1186.1965019083639</v>
      </c>
      <c r="AM117" s="97">
        <v>69489.578697314297</v>
      </c>
    </row>
    <row r="118" spans="1:39" x14ac:dyDescent="0.25">
      <c r="A118" s="97">
        <v>116</v>
      </c>
      <c r="B118" s="97">
        <v>5.1916666666666669E-4</v>
      </c>
      <c r="C118" s="97">
        <v>379.07864768050194</v>
      </c>
      <c r="D118" s="97">
        <v>1101.6844096611057</v>
      </c>
      <c r="E118" s="97">
        <v>871.68413406516197</v>
      </c>
      <c r="F118" s="97">
        <v>1071.2898935592984</v>
      </c>
      <c r="G118" s="97">
        <v>3923.5396605121305</v>
      </c>
      <c r="H118" s="97">
        <v>6409.7962952816524</v>
      </c>
      <c r="I118" s="97">
        <v>54</v>
      </c>
      <c r="J118" s="97">
        <v>45</v>
      </c>
      <c r="K118" s="97">
        <v>2064.7150343664671</v>
      </c>
      <c r="L118" s="97">
        <v>6000.5077512874886</v>
      </c>
      <c r="M118" s="97">
        <v>4747.7729168749156</v>
      </c>
      <c r="N118" s="97">
        <v>5451.9728166388622</v>
      </c>
      <c r="O118" s="97">
        <v>63600.577896901639</v>
      </c>
      <c r="P118" s="97">
        <v>188880.5118661077</v>
      </c>
      <c r="Q118" s="97">
        <v>14925.510676606824</v>
      </c>
      <c r="R118" s="97">
        <v>285671.56895878387</v>
      </c>
      <c r="S118" s="97">
        <v>27696295.360931776</v>
      </c>
      <c r="T118" s="97">
        <v>21349546.178617977</v>
      </c>
      <c r="U118" s="45">
        <v>0</v>
      </c>
      <c r="V118">
        <v>0</v>
      </c>
      <c r="W118">
        <v>5.1916666666666669E-4</v>
      </c>
      <c r="X118" s="97">
        <v>6409.7962952816524</v>
      </c>
      <c r="Y118" s="97">
        <v>13.014071683257633</v>
      </c>
      <c r="Z118" s="97">
        <v>1704.3391847357175</v>
      </c>
      <c r="AA118" s="97">
        <v>146.49557733087465</v>
      </c>
      <c r="AB118" s="97">
        <v>9.9455625933171738</v>
      </c>
      <c r="AC118" s="97">
        <v>545.26462629775949</v>
      </c>
      <c r="AD118" s="97">
        <v>187.51819431631162</v>
      </c>
      <c r="AE118" s="97">
        <v>929.52853011705622</v>
      </c>
      <c r="AF118" s="97">
        <v>1402.3885738358606</v>
      </c>
      <c r="AG118" s="97">
        <v>371.05628274099558</v>
      </c>
      <c r="AH118" s="97">
        <v>68543.614322222886</v>
      </c>
      <c r="AI118" s="97">
        <v>945.96437509140674</v>
      </c>
      <c r="AJ118" s="97">
        <v>82041.249943419854</v>
      </c>
      <c r="AK118" s="97">
        <v>83227.446445328213</v>
      </c>
      <c r="AL118" s="97">
        <v>1186.1965019083639</v>
      </c>
      <c r="AM118" s="97">
        <v>69489.578697314297</v>
      </c>
    </row>
    <row r="119" spans="1:39" x14ac:dyDescent="0.25">
      <c r="A119" s="97">
        <v>117</v>
      </c>
      <c r="B119" s="97">
        <v>5.1916666666666669E-4</v>
      </c>
      <c r="C119" s="97">
        <v>374.97141949395854</v>
      </c>
      <c r="D119" s="97">
        <v>1096.8976557406311</v>
      </c>
      <c r="E119" s="97">
        <v>870.12022881409018</v>
      </c>
      <c r="F119" s="97">
        <v>1069.019302556922</v>
      </c>
      <c r="G119" s="97">
        <v>3914.8612943102785</v>
      </c>
      <c r="H119" s="97">
        <v>6420.7472834721739</v>
      </c>
      <c r="I119" s="97">
        <v>54</v>
      </c>
      <c r="J119" s="97">
        <v>45</v>
      </c>
      <c r="K119" s="97">
        <v>2042.3443315104273</v>
      </c>
      <c r="L119" s="97">
        <v>5974.4358982673039</v>
      </c>
      <c r="M119" s="97">
        <v>4739.2548462740779</v>
      </c>
      <c r="N119" s="97">
        <v>5440.4174005959349</v>
      </c>
      <c r="O119" s="97">
        <v>63459.90158076962</v>
      </c>
      <c r="P119" s="97">
        <v>189092.2803657256</v>
      </c>
      <c r="Q119" s="97">
        <v>14929.838369659108</v>
      </c>
      <c r="R119" s="97">
        <v>285678.47279280209</v>
      </c>
      <c r="S119" s="97">
        <v>27981973.833724577</v>
      </c>
      <c r="T119" s="97">
        <v>21525176.22438328</v>
      </c>
      <c r="U119" s="45">
        <v>0</v>
      </c>
      <c r="V119">
        <v>0</v>
      </c>
      <c r="W119">
        <v>5.1916666666666669E-4</v>
      </c>
      <c r="X119" s="97">
        <v>6420.7472834721739</v>
      </c>
      <c r="Y119" s="97">
        <v>12.985282965822833</v>
      </c>
      <c r="Z119" s="97">
        <v>1717.3244677015402</v>
      </c>
      <c r="AA119" s="97">
        <v>146.19151516604262</v>
      </c>
      <c r="AB119" s="97">
        <v>9.9240129069193443</v>
      </c>
      <c r="AC119" s="97">
        <v>546.34427414356242</v>
      </c>
      <c r="AD119" s="97">
        <v>187.57256573477113</v>
      </c>
      <c r="AE119" s="97">
        <v>938.18336330160207</v>
      </c>
      <c r="AF119" s="97">
        <v>1418.6945080867879</v>
      </c>
      <c r="AG119" s="97">
        <v>375.32723595295613</v>
      </c>
      <c r="AH119" s="97">
        <v>68543.614322222886</v>
      </c>
      <c r="AI119" s="97">
        <v>945.96437509140674</v>
      </c>
      <c r="AJ119" s="97">
        <v>82041.249943419854</v>
      </c>
      <c r="AK119" s="97">
        <v>83227.446445328213</v>
      </c>
      <c r="AL119" s="97">
        <v>1186.1965019083639</v>
      </c>
      <c r="AM119" s="97">
        <v>69489.578697314297</v>
      </c>
    </row>
    <row r="120" spans="1:39" x14ac:dyDescent="0.25">
      <c r="A120" s="97">
        <v>118</v>
      </c>
      <c r="B120" s="97">
        <v>5.1916666666666669E-4</v>
      </c>
      <c r="C120" s="97">
        <v>370.90869216094399</v>
      </c>
      <c r="D120" s="97">
        <v>1092.1063220252622</v>
      </c>
      <c r="E120" s="97">
        <v>868.53840340790066</v>
      </c>
      <c r="F120" s="97">
        <v>1066.7565293911487</v>
      </c>
      <c r="G120" s="97">
        <v>3906.2031351827727</v>
      </c>
      <c r="H120" s="97">
        <v>6431.6750611242569</v>
      </c>
      <c r="I120" s="97">
        <v>54</v>
      </c>
      <c r="J120" s="97">
        <v>45</v>
      </c>
      <c r="K120" s="97">
        <v>2020.2160099699415</v>
      </c>
      <c r="L120" s="97">
        <v>5948.3391006309275</v>
      </c>
      <c r="M120" s="97">
        <v>4730.6391705616988</v>
      </c>
      <c r="N120" s="97">
        <v>5428.9017708264537</v>
      </c>
      <c r="O120" s="97">
        <v>63319.552821312747</v>
      </c>
      <c r="P120" s="97">
        <v>189293.33218228107</v>
      </c>
      <c r="Q120" s="97">
        <v>14933.517696379731</v>
      </c>
      <c r="R120" s="97">
        <v>285674.49875196256</v>
      </c>
      <c r="S120" s="97">
        <v>28267648.332476541</v>
      </c>
      <c r="T120" s="97">
        <v>21700075.081739947</v>
      </c>
      <c r="U120" s="45">
        <v>0</v>
      </c>
      <c r="V120">
        <v>0</v>
      </c>
      <c r="W120">
        <v>5.1916666666666669E-4</v>
      </c>
      <c r="X120" s="97">
        <v>6431.6750611242569</v>
      </c>
      <c r="Y120" s="97">
        <v>12.956561186367857</v>
      </c>
      <c r="Z120" s="97">
        <v>1730.2810288879082</v>
      </c>
      <c r="AA120" s="97">
        <v>145.88721819798087</v>
      </c>
      <c r="AB120" s="97">
        <v>9.9025109210942794</v>
      </c>
      <c r="AC120" s="97">
        <v>547.38490777328514</v>
      </c>
      <c r="AD120" s="97">
        <v>187.61879133588457</v>
      </c>
      <c r="AE120" s="97">
        <v>946.83254439644963</v>
      </c>
      <c r="AF120" s="97">
        <v>1435.0084941939795</v>
      </c>
      <c r="AG120" s="97">
        <v>379.58750633084213</v>
      </c>
      <c r="AH120" s="97">
        <v>68543.614322222886</v>
      </c>
      <c r="AI120" s="97">
        <v>945.96437509140674</v>
      </c>
      <c r="AJ120" s="97">
        <v>82041.249943419854</v>
      </c>
      <c r="AK120" s="97">
        <v>83227.446445328213</v>
      </c>
      <c r="AL120" s="97">
        <v>1186.1965019083639</v>
      </c>
      <c r="AM120" s="97">
        <v>69489.578697314297</v>
      </c>
    </row>
    <row r="121" spans="1:39" x14ac:dyDescent="0.25">
      <c r="A121" s="97">
        <v>119</v>
      </c>
      <c r="B121" s="97">
        <v>5.1916666666666669E-4</v>
      </c>
      <c r="C121" s="97">
        <v>366.88998352515358</v>
      </c>
      <c r="D121" s="97">
        <v>1087.3109037228419</v>
      </c>
      <c r="E121" s="97">
        <v>866.93882325920265</v>
      </c>
      <c r="F121" s="97">
        <v>1064.5013002010912</v>
      </c>
      <c r="G121" s="97">
        <v>3897.5651619500541</v>
      </c>
      <c r="H121" s="97">
        <v>6442.5797081537467</v>
      </c>
      <c r="I121" s="97">
        <v>54</v>
      </c>
      <c r="J121" s="97">
        <v>45</v>
      </c>
      <c r="K121" s="97">
        <v>1998.3274436003364</v>
      </c>
      <c r="L121" s="97">
        <v>5922.2200556104117</v>
      </c>
      <c r="M121" s="97">
        <v>4721.9267906851237</v>
      </c>
      <c r="N121" s="97">
        <v>5417.4245336067197</v>
      </c>
      <c r="O121" s="97">
        <v>63179.531275210378</v>
      </c>
      <c r="P121" s="97">
        <v>189483.85983696603</v>
      </c>
      <c r="Q121" s="97">
        <v>14936.562002701989</v>
      </c>
      <c r="R121" s="97">
        <v>285659.85193838098</v>
      </c>
      <c r="S121" s="97">
        <v>28553308.184414923</v>
      </c>
      <c r="T121" s="97">
        <v>21874239.287668165</v>
      </c>
      <c r="U121" s="45">
        <v>0</v>
      </c>
      <c r="V121">
        <v>0</v>
      </c>
      <c r="W121">
        <v>5.1916666666666669E-4</v>
      </c>
      <c r="X121" s="97">
        <v>6442.5797081537467</v>
      </c>
      <c r="Y121" s="97">
        <v>12.927906283917066</v>
      </c>
      <c r="Z121" s="97">
        <v>1743.2089351718253</v>
      </c>
      <c r="AA121" s="97">
        <v>145.58271094159898</v>
      </c>
      <c r="AB121" s="97">
        <v>9.8810566913210476</v>
      </c>
      <c r="AC121" s="97">
        <v>548.38720776592982</v>
      </c>
      <c r="AD121" s="97">
        <v>187.65703879266272</v>
      </c>
      <c r="AE121" s="97">
        <v>955.4758674693129</v>
      </c>
      <c r="AF121" s="97">
        <v>1451.3297746008959</v>
      </c>
      <c r="AG121" s="97">
        <v>383.83709524056962</v>
      </c>
      <c r="AH121" s="97">
        <v>68543.614322222886</v>
      </c>
      <c r="AI121" s="97">
        <v>945.96437509140674</v>
      </c>
      <c r="AJ121" s="97">
        <v>82041.249943419854</v>
      </c>
      <c r="AK121" s="97">
        <v>83227.446445328213</v>
      </c>
      <c r="AL121" s="97">
        <v>1186.1965019083639</v>
      </c>
      <c r="AM121" s="97">
        <v>69489.578697314297</v>
      </c>
    </row>
    <row r="122" spans="1:39" x14ac:dyDescent="0.25">
      <c r="A122" s="97">
        <v>120</v>
      </c>
      <c r="B122" s="97">
        <v>5.1916666666666669E-4</v>
      </c>
      <c r="C122" s="97">
        <v>362.91481665433315</v>
      </c>
      <c r="D122" s="97">
        <v>1082.5118871580951</v>
      </c>
      <c r="E122" s="97">
        <v>865.3216555942679</v>
      </c>
      <c r="F122" s="97">
        <v>1062.2533458202663</v>
      </c>
      <c r="G122" s="97">
        <v>3888.9473507390517</v>
      </c>
      <c r="H122" s="97">
        <v>6453.4613016770145</v>
      </c>
      <c r="I122" s="97">
        <v>55</v>
      </c>
      <c r="J122" s="97">
        <v>45</v>
      </c>
      <c r="K122" s="97">
        <v>1976.676034710601</v>
      </c>
      <c r="L122" s="97">
        <v>5896.0814120544237</v>
      </c>
      <c r="M122" s="97">
        <v>4713.1186174701124</v>
      </c>
      <c r="N122" s="97">
        <v>5405.984319103638</v>
      </c>
      <c r="O122" s="97">
        <v>63039.836555480033</v>
      </c>
      <c r="P122" s="97">
        <v>189664.05266388381</v>
      </c>
      <c r="Q122" s="97">
        <v>14938.984348862052</v>
      </c>
      <c r="R122" s="97">
        <v>285634.73395156465</v>
      </c>
      <c r="S122" s="97">
        <v>28838942.918366488</v>
      </c>
      <c r="T122" s="97">
        <v>22047665.569879733</v>
      </c>
      <c r="U122" s="45">
        <v>0</v>
      </c>
      <c r="V122">
        <v>0</v>
      </c>
      <c r="W122">
        <v>5.1916666666666669E-4</v>
      </c>
      <c r="X122" s="97">
        <v>6453.4613016770145</v>
      </c>
      <c r="Y122" s="97">
        <v>12.899318188374936</v>
      </c>
      <c r="Z122" s="97">
        <v>1756.1082533602003</v>
      </c>
      <c r="AA122" s="97">
        <v>145.28556754570027</v>
      </c>
      <c r="AB122" s="97">
        <v>9.8520999504478439</v>
      </c>
      <c r="AC122" s="97">
        <v>549.34429339413998</v>
      </c>
      <c r="AD122" s="97">
        <v>187.68747218873111</v>
      </c>
      <c r="AE122" s="97">
        <v>964.1131306887894</v>
      </c>
      <c r="AF122" s="97">
        <v>1467.6576064647713</v>
      </c>
      <c r="AG122" s="97">
        <v>388.07600444064354</v>
      </c>
      <c r="AH122" s="97">
        <v>73678.935268365763</v>
      </c>
      <c r="AI122" s="97">
        <v>1060.5101594118198</v>
      </c>
      <c r="AJ122" s="97">
        <v>90007.818225276787</v>
      </c>
      <c r="AK122" s="97">
        <v>91371.712834422797</v>
      </c>
      <c r="AL122" s="97">
        <v>1363.89460914601</v>
      </c>
      <c r="AM122" s="97">
        <v>74739.445427777595</v>
      </c>
    </row>
    <row r="123" spans="1:39" x14ac:dyDescent="0.25">
      <c r="A123" s="97">
        <v>121</v>
      </c>
      <c r="B123" s="97">
        <v>5.7416666666666673E-4</v>
      </c>
      <c r="C123" s="97">
        <v>358.96275946876142</v>
      </c>
      <c r="D123" s="97">
        <v>1077.6502117428522</v>
      </c>
      <c r="E123" s="97">
        <v>863.63947667629827</v>
      </c>
      <c r="F123" s="97">
        <v>1059.9539778113692</v>
      </c>
      <c r="G123" s="97">
        <v>3880.1357829403537</v>
      </c>
      <c r="H123" s="97">
        <v>6464.3199160589447</v>
      </c>
      <c r="I123" s="97">
        <v>55</v>
      </c>
      <c r="J123" s="97">
        <v>45</v>
      </c>
      <c r="K123" s="97">
        <v>1955.1504965731872</v>
      </c>
      <c r="L123" s="97">
        <v>5869.6014866260684</v>
      </c>
      <c r="M123" s="97">
        <v>4703.956349630238</v>
      </c>
      <c r="N123" s="97">
        <v>5394.2824520783597</v>
      </c>
      <c r="O123" s="97">
        <v>62897.00104146314</v>
      </c>
      <c r="P123" s="97">
        <v>189823.65141814423</v>
      </c>
      <c r="Q123" s="97">
        <v>14939.975872675141</v>
      </c>
      <c r="R123" s="97">
        <v>285583.61911719036</v>
      </c>
      <c r="S123" s="97">
        <v>29124526.537483677</v>
      </c>
      <c r="T123" s="97">
        <v>22220341.334801447</v>
      </c>
      <c r="U123" s="45">
        <v>0</v>
      </c>
      <c r="V123">
        <v>0</v>
      </c>
      <c r="W123">
        <v>5.7416666666666673E-4</v>
      </c>
      <c r="X123" s="97">
        <v>6464.3199160589447</v>
      </c>
      <c r="Y123" s="97">
        <v>12.870796820731542</v>
      </c>
      <c r="Z123" s="97">
        <v>1768.9790501809318</v>
      </c>
      <c r="AA123" s="97">
        <v>144.98008035670816</v>
      </c>
      <c r="AB123" s="97">
        <v>9.8307577204313397</v>
      </c>
      <c r="AC123" s="97">
        <v>550.23429862395744</v>
      </c>
      <c r="AD123" s="97">
        <v>187.69992930052317</v>
      </c>
      <c r="AE123" s="97">
        <v>972.74413625289776</v>
      </c>
      <c r="AF123" s="97">
        <v>1483.9913123534614</v>
      </c>
      <c r="AG123" s="97">
        <v>392.75217072571536</v>
      </c>
      <c r="AH123" s="97">
        <v>73678.935268365763</v>
      </c>
      <c r="AI123" s="97">
        <v>1060.5101594118198</v>
      </c>
      <c r="AJ123" s="97">
        <v>90007.818225276787</v>
      </c>
      <c r="AK123" s="97">
        <v>91371.712834422797</v>
      </c>
      <c r="AL123" s="97">
        <v>1363.89460914601</v>
      </c>
      <c r="AM123" s="97">
        <v>74739.445427777595</v>
      </c>
    </row>
    <row r="124" spans="1:39" x14ac:dyDescent="0.25">
      <c r="A124" s="97">
        <v>122</v>
      </c>
      <c r="B124" s="97">
        <v>5.7416666666666673E-4</v>
      </c>
      <c r="C124" s="97">
        <v>355.05373925848329</v>
      </c>
      <c r="D124" s="97">
        <v>1072.7864160695806</v>
      </c>
      <c r="E124" s="97">
        <v>861.9402322168736</v>
      </c>
      <c r="F124" s="97">
        <v>1057.6616099537182</v>
      </c>
      <c r="G124" s="97">
        <v>3871.3452790903093</v>
      </c>
      <c r="H124" s="97">
        <v>6475.1550257368144</v>
      </c>
      <c r="I124" s="97">
        <v>55</v>
      </c>
      <c r="J124" s="97">
        <v>45</v>
      </c>
      <c r="K124" s="97">
        <v>1933.8593664945388</v>
      </c>
      <c r="L124" s="97">
        <v>5843.1100128589815</v>
      </c>
      <c r="M124" s="97">
        <v>4694.7011314745714</v>
      </c>
      <c r="N124" s="97">
        <v>5382.6162099894636</v>
      </c>
      <c r="O124" s="97">
        <v>62754.506974053918</v>
      </c>
      <c r="P124" s="97">
        <v>189973.25317942144</v>
      </c>
      <c r="Q124" s="97">
        <v>14940.370551119224</v>
      </c>
      <c r="R124" s="97">
        <v>285522.41742541216</v>
      </c>
      <c r="S124" s="97">
        <v>29410048.95490909</v>
      </c>
      <c r="T124" s="97">
        <v>22392263.751226436</v>
      </c>
      <c r="U124" s="45">
        <v>0</v>
      </c>
      <c r="V124">
        <v>0</v>
      </c>
      <c r="W124">
        <v>5.7416666666666673E-4</v>
      </c>
      <c r="X124" s="97">
        <v>6475.1550257368144</v>
      </c>
      <c r="Y124" s="97">
        <v>12.841634199440824</v>
      </c>
      <c r="Z124" s="97">
        <v>1781.8206843803728</v>
      </c>
      <c r="AA124" s="97">
        <v>144.67422643149601</v>
      </c>
      <c r="AB124" s="97">
        <v>9.8089963635596931</v>
      </c>
      <c r="AC124" s="97">
        <v>551.08805737969919</v>
      </c>
      <c r="AD124" s="97">
        <v>187.70488788390256</v>
      </c>
      <c r="AE124" s="97">
        <v>981.36821531516671</v>
      </c>
      <c r="AF124" s="97">
        <v>1500.3292778734235</v>
      </c>
      <c r="AG124" s="97">
        <v>397.41627384251404</v>
      </c>
      <c r="AH124" s="97">
        <v>73678.935268365763</v>
      </c>
      <c r="AI124" s="97">
        <v>1060.5101594118198</v>
      </c>
      <c r="AJ124" s="97">
        <v>90007.818225276787</v>
      </c>
      <c r="AK124" s="97">
        <v>91371.712834422797</v>
      </c>
      <c r="AL124" s="97">
        <v>1363.89460914601</v>
      </c>
      <c r="AM124" s="97">
        <v>74739.445427777595</v>
      </c>
    </row>
    <row r="125" spans="1:39" x14ac:dyDescent="0.25">
      <c r="A125" s="97">
        <v>123</v>
      </c>
      <c r="B125" s="97">
        <v>5.7416666666666673E-4</v>
      </c>
      <c r="C125" s="97">
        <v>351.1872873609376</v>
      </c>
      <c r="D125" s="97">
        <v>1067.9209609453003</v>
      </c>
      <c r="E125" s="97">
        <v>860.22409720757548</v>
      </c>
      <c r="F125" s="97">
        <v>1055.3759858402054</v>
      </c>
      <c r="G125" s="97">
        <v>3862.5758042053444</v>
      </c>
      <c r="H125" s="97">
        <v>6485.9667022678877</v>
      </c>
      <c r="I125" s="97">
        <v>55</v>
      </c>
      <c r="J125" s="97">
        <v>45</v>
      </c>
      <c r="K125" s="97">
        <v>1912.8000918259067</v>
      </c>
      <c r="L125" s="97">
        <v>5816.6095006154019</v>
      </c>
      <c r="M125" s="97">
        <v>4685.3539161239278</v>
      </c>
      <c r="N125" s="97">
        <v>5370.984287938445</v>
      </c>
      <c r="O125" s="97">
        <v>62612.353786168635</v>
      </c>
      <c r="P125" s="97">
        <v>190113.04036269136</v>
      </c>
      <c r="Q125" s="97">
        <v>14940.180707644406</v>
      </c>
      <c r="R125" s="97">
        <v>285451.3226530081</v>
      </c>
      <c r="S125" s="97">
        <v>29695500.277562097</v>
      </c>
      <c r="T125" s="97">
        <v>22563430.16576222</v>
      </c>
      <c r="U125" s="45">
        <v>0</v>
      </c>
      <c r="V125">
        <v>0</v>
      </c>
      <c r="W125">
        <v>5.7416666666666673E-4</v>
      </c>
      <c r="X125" s="97">
        <v>6485.9667022678877</v>
      </c>
      <c r="Y125" s="97">
        <v>12.812541291051545</v>
      </c>
      <c r="Z125" s="97">
        <v>1794.6332256714243</v>
      </c>
      <c r="AA125" s="97">
        <v>144.36803402704831</v>
      </c>
      <c r="AB125" s="97">
        <v>9.7872849075296138</v>
      </c>
      <c r="AC125" s="97">
        <v>551.90620948506091</v>
      </c>
      <c r="AD125" s="97">
        <v>187.70250276580697</v>
      </c>
      <c r="AE125" s="97">
        <v>989.98517837251711</v>
      </c>
      <c r="AF125" s="97">
        <v>1516.6707998911504</v>
      </c>
      <c r="AG125" s="97">
        <v>402.06831827157043</v>
      </c>
      <c r="AH125" s="97">
        <v>73678.935268365763</v>
      </c>
      <c r="AI125" s="97">
        <v>1060.5101594118198</v>
      </c>
      <c r="AJ125" s="97">
        <v>90007.818225276787</v>
      </c>
      <c r="AK125" s="97">
        <v>91371.712834422797</v>
      </c>
      <c r="AL125" s="97">
        <v>1363.89460914601</v>
      </c>
      <c r="AM125" s="97">
        <v>74739.445427777595</v>
      </c>
    </row>
    <row r="126" spans="1:39" x14ac:dyDescent="0.25">
      <c r="A126" s="97">
        <v>124</v>
      </c>
      <c r="B126" s="97">
        <v>5.7416666666666673E-4</v>
      </c>
      <c r="C126" s="97">
        <v>347.36294021718851</v>
      </c>
      <c r="D126" s="97">
        <v>1063.0542986793405</v>
      </c>
      <c r="E126" s="97">
        <v>858.49124808383408</v>
      </c>
      <c r="F126" s="97">
        <v>1053.0968536862526</v>
      </c>
      <c r="G126" s="97">
        <v>3853.8273208577752</v>
      </c>
      <c r="H126" s="97">
        <v>6496.7550145883715</v>
      </c>
      <c r="I126" s="97">
        <v>55</v>
      </c>
      <c r="J126" s="97">
        <v>45</v>
      </c>
      <c r="K126" s="97">
        <v>1891.9701477162866</v>
      </c>
      <c r="L126" s="97">
        <v>5790.1024134734744</v>
      </c>
      <c r="M126" s="97">
        <v>4675.9156645632829</v>
      </c>
      <c r="N126" s="97">
        <v>5359.38540455162</v>
      </c>
      <c r="O126" s="97">
        <v>62470.540871104538</v>
      </c>
      <c r="P126" s="97">
        <v>190243.19233036123</v>
      </c>
      <c r="Q126" s="97">
        <v>14939.418407693105</v>
      </c>
      <c r="R126" s="97">
        <v>285370.52523946355</v>
      </c>
      <c r="S126" s="97">
        <v>29980870.802801561</v>
      </c>
      <c r="T126" s="97">
        <v>22733838.098342102</v>
      </c>
      <c r="U126" s="45">
        <v>0</v>
      </c>
      <c r="V126">
        <v>0</v>
      </c>
      <c r="W126">
        <v>5.7416666666666673E-4</v>
      </c>
      <c r="X126" s="97">
        <v>6496.7550145883715</v>
      </c>
      <c r="Y126" s="97">
        <v>12.783517979782639</v>
      </c>
      <c r="Z126" s="97">
        <v>1807.4167436512068</v>
      </c>
      <c r="AA126" s="97">
        <v>144.06153062735191</v>
      </c>
      <c r="AB126" s="97">
        <v>9.7656233588771961</v>
      </c>
      <c r="AC126" s="97">
        <v>552.68938435694076</v>
      </c>
      <c r="AD126" s="97">
        <v>187.6929255316679</v>
      </c>
      <c r="AE126" s="97">
        <v>998.59483978996707</v>
      </c>
      <c r="AF126" s="97">
        <v>1533.01518906509</v>
      </c>
      <c r="AG126" s="97">
        <v>406.70830889455868</v>
      </c>
      <c r="AH126" s="97">
        <v>73678.935268365763</v>
      </c>
      <c r="AI126" s="97">
        <v>1060.5101594118198</v>
      </c>
      <c r="AJ126" s="97">
        <v>90007.818225276787</v>
      </c>
      <c r="AK126" s="97">
        <v>91371.712834422797</v>
      </c>
      <c r="AL126" s="97">
        <v>1363.89460914601</v>
      </c>
      <c r="AM126" s="97">
        <v>74739.445427777595</v>
      </c>
    </row>
    <row r="127" spans="1:39" x14ac:dyDescent="0.25">
      <c r="A127" s="97">
        <v>125</v>
      </c>
      <c r="B127" s="97">
        <v>5.7416666666666673E-4</v>
      </c>
      <c r="C127" s="97">
        <v>343.58023931634818</v>
      </c>
      <c r="D127" s="97">
        <v>1058.1868732035387</v>
      </c>
      <c r="E127" s="97">
        <v>856.74186264612695</v>
      </c>
      <c r="F127" s="97">
        <v>1050.8239662952037</v>
      </c>
      <c r="G127" s="97">
        <v>3845.0997892354226</v>
      </c>
      <c r="H127" s="97">
        <v>6507.5200290606699</v>
      </c>
      <c r="I127" s="97">
        <v>55</v>
      </c>
      <c r="J127" s="97">
        <v>45</v>
      </c>
      <c r="K127" s="97">
        <v>1871.3670368097096</v>
      </c>
      <c r="L127" s="97">
        <v>5763.5911693819398</v>
      </c>
      <c r="M127" s="97">
        <v>4666.3873452125708</v>
      </c>
      <c r="N127" s="97">
        <v>5347.8183018040072</v>
      </c>
      <c r="O127" s="97">
        <v>62329.067583506207</v>
      </c>
      <c r="P127" s="97">
        <v>190363.88544116786</v>
      </c>
      <c r="Q127" s="97">
        <v>14938.095465112401</v>
      </c>
      <c r="R127" s="97">
        <v>285280.2123429947</v>
      </c>
      <c r="S127" s="97">
        <v>30266151.015144557</v>
      </c>
      <c r="T127" s="97">
        <v>22903485.237835344</v>
      </c>
      <c r="U127" s="45">
        <v>0</v>
      </c>
      <c r="V127">
        <v>0</v>
      </c>
      <c r="W127">
        <v>5.7416666666666673E-4</v>
      </c>
      <c r="X127" s="97">
        <v>6507.5200290606699</v>
      </c>
      <c r="Y127" s="97">
        <v>12.75456414176405</v>
      </c>
      <c r="Z127" s="97">
        <v>1820.171307792971</v>
      </c>
      <c r="AA127" s="97">
        <v>143.75474296100214</v>
      </c>
      <c r="AB127" s="97">
        <v>9.7440117162434312</v>
      </c>
      <c r="AC127" s="97">
        <v>553.43820116691836</v>
      </c>
      <c r="AD127" s="97">
        <v>187.67630460597275</v>
      </c>
      <c r="AE127" s="97">
        <v>1007.1970177323448</v>
      </c>
      <c r="AF127" s="97">
        <v>1549.3617695833202</v>
      </c>
      <c r="AG127" s="97">
        <v>411.33625098614681</v>
      </c>
      <c r="AH127" s="97">
        <v>73678.935268365763</v>
      </c>
      <c r="AI127" s="97">
        <v>1060.5101594118198</v>
      </c>
      <c r="AJ127" s="97">
        <v>90007.818225276787</v>
      </c>
      <c r="AK127" s="97">
        <v>91371.712834422797</v>
      </c>
      <c r="AL127" s="97">
        <v>1363.89460914601</v>
      </c>
      <c r="AM127" s="97">
        <v>74739.445427777595</v>
      </c>
    </row>
    <row r="128" spans="1:39" x14ac:dyDescent="0.25">
      <c r="A128" s="97">
        <v>126</v>
      </c>
      <c r="B128" s="97">
        <v>5.7416666666666673E-4</v>
      </c>
      <c r="C128" s="97">
        <v>339.83873114060475</v>
      </c>
      <c r="D128" s="97">
        <v>1053.3191201909099</v>
      </c>
      <c r="E128" s="97">
        <v>854.97611998294497</v>
      </c>
      <c r="F128" s="97">
        <v>1048.5570810232566</v>
      </c>
      <c r="G128" s="97">
        <v>3836.3931672005701</v>
      </c>
      <c r="H128" s="97">
        <v>6518.2618095202824</v>
      </c>
      <c r="I128" s="97">
        <v>55</v>
      </c>
      <c r="J128" s="97">
        <v>45</v>
      </c>
      <c r="K128" s="97">
        <v>1850.988288945827</v>
      </c>
      <c r="L128" s="97">
        <v>5737.0781413064888</v>
      </c>
      <c r="M128" s="97">
        <v>4656.7699335071065</v>
      </c>
      <c r="N128" s="97">
        <v>5336.2817448408568</v>
      </c>
      <c r="O128" s="97">
        <v>62187.933240321247</v>
      </c>
      <c r="P128" s="97">
        <v>190475.29309830096</v>
      </c>
      <c r="Q128" s="97">
        <v>14936.223448360885</v>
      </c>
      <c r="R128" s="97">
        <v>285180.56789558334</v>
      </c>
      <c r="S128" s="97">
        <v>30551331.583040141</v>
      </c>
      <c r="T128" s="97">
        <v>23072369.437753931</v>
      </c>
      <c r="U128" s="45">
        <v>0</v>
      </c>
      <c r="V128">
        <v>0</v>
      </c>
      <c r="W128">
        <v>5.7416666666666673E-4</v>
      </c>
      <c r="X128" s="97">
        <v>6518.2618095202824</v>
      </c>
      <c r="Y128" s="97">
        <v>12.725679645234042</v>
      </c>
      <c r="Z128" s="97">
        <v>1832.8969874382051</v>
      </c>
      <c r="AA128" s="97">
        <v>143.44769701843742</v>
      </c>
      <c r="AB128" s="97">
        <v>9.7224499705375091</v>
      </c>
      <c r="AC128" s="97">
        <v>554.15326900026878</v>
      </c>
      <c r="AD128" s="97">
        <v>187.65278533024542</v>
      </c>
      <c r="AE128" s="97">
        <v>1015.7915340971197</v>
      </c>
      <c r="AF128" s="97">
        <v>1565.7098789067591</v>
      </c>
      <c r="AG128" s="97">
        <v>415.95215020600318</v>
      </c>
      <c r="AH128" s="97">
        <v>73678.935268365763</v>
      </c>
      <c r="AI128" s="97">
        <v>1060.5101594118198</v>
      </c>
      <c r="AJ128" s="97">
        <v>90007.818225276787</v>
      </c>
      <c r="AK128" s="97">
        <v>91371.712834422797</v>
      </c>
      <c r="AL128" s="97">
        <v>1363.89460914601</v>
      </c>
      <c r="AM128" s="97">
        <v>74739.445427777595</v>
      </c>
    </row>
    <row r="129" spans="1:39" x14ac:dyDescent="0.25">
      <c r="A129" s="97">
        <v>127</v>
      </c>
      <c r="B129" s="97">
        <v>5.7416666666666673E-4</v>
      </c>
      <c r="C129" s="97">
        <v>336.13796711084888</v>
      </c>
      <c r="D129" s="97">
        <v>1048.4514671728068</v>
      </c>
      <c r="E129" s="97">
        <v>853.19420039549311</v>
      </c>
      <c r="F129" s="97">
        <v>1046.2959597439565</v>
      </c>
      <c r="G129" s="97">
        <v>3827.7074103482696</v>
      </c>
      <c r="H129" s="97">
        <v>6528.9804173223429</v>
      </c>
      <c r="I129" s="97">
        <v>55</v>
      </c>
      <c r="J129" s="97">
        <v>45</v>
      </c>
      <c r="K129" s="97">
        <v>1830.8314608637568</v>
      </c>
      <c r="L129" s="97">
        <v>5710.5656578678872</v>
      </c>
      <c r="M129" s="97">
        <v>4647.0644114874522</v>
      </c>
      <c r="N129" s="97">
        <v>5324.7745217969514</v>
      </c>
      <c r="O129" s="97">
        <v>62047.137121745451</v>
      </c>
      <c r="P129" s="97">
        <v>190577.58579676514</v>
      </c>
      <c r="Q129" s="97">
        <v>14933.813686518117</v>
      </c>
      <c r="R129" s="97">
        <v>285071.77265704476</v>
      </c>
      <c r="S129" s="97">
        <v>30836403.355697185</v>
      </c>
      <c r="T129" s="97">
        <v>23240488.712053914</v>
      </c>
      <c r="U129" s="45">
        <v>0</v>
      </c>
      <c r="V129">
        <v>0</v>
      </c>
      <c r="W129">
        <v>5.7416666666666673E-4</v>
      </c>
      <c r="X129" s="97">
        <v>6528.9804173223429</v>
      </c>
      <c r="Y129" s="97">
        <v>12.696864350734311</v>
      </c>
      <c r="Z129" s="97">
        <v>1845.5938517889394</v>
      </c>
      <c r="AA129" s="97">
        <v>143.14041806881053</v>
      </c>
      <c r="AB129" s="97">
        <v>9.7009381050986594</v>
      </c>
      <c r="AC129" s="97">
        <v>554.83518701255059</v>
      </c>
      <c r="AD129" s="97">
        <v>187.62251003854661</v>
      </c>
      <c r="AE129" s="97">
        <v>1024.3782144483343</v>
      </c>
      <c r="AF129" s="97">
        <v>1582.0588675177635</v>
      </c>
      <c r="AG129" s="97">
        <v>420.55601259095431</v>
      </c>
      <c r="AH129" s="97">
        <v>73678.935268365763</v>
      </c>
      <c r="AI129" s="97">
        <v>1060.5101594118198</v>
      </c>
      <c r="AJ129" s="97">
        <v>90007.818225276787</v>
      </c>
      <c r="AK129" s="97">
        <v>91371.712834422797</v>
      </c>
      <c r="AL129" s="97">
        <v>1363.89460914601</v>
      </c>
      <c r="AM129" s="97">
        <v>74739.445427777595</v>
      </c>
    </row>
    <row r="130" spans="1:39" x14ac:dyDescent="0.25">
      <c r="A130" s="97">
        <v>128</v>
      </c>
      <c r="B130" s="97">
        <v>5.7416666666666673E-4</v>
      </c>
      <c r="C130" s="97">
        <v>332.47750353289251</v>
      </c>
      <c r="D130" s="97">
        <v>1043.584333654587</v>
      </c>
      <c r="E130" s="97">
        <v>851.39628532409745</v>
      </c>
      <c r="F130" s="97">
        <v>1044.0403688122747</v>
      </c>
      <c r="G130" s="97">
        <v>3819.0424720639835</v>
      </c>
      <c r="H130" s="97">
        <v>6539.6759113877988</v>
      </c>
      <c r="I130" s="97">
        <v>55</v>
      </c>
      <c r="J130" s="97">
        <v>45</v>
      </c>
      <c r="K130" s="97">
        <v>1810.8941359091543</v>
      </c>
      <c r="L130" s="97">
        <v>5684.056003971983</v>
      </c>
      <c r="M130" s="97">
        <v>4637.2717673985835</v>
      </c>
      <c r="N130" s="97">
        <v>5313.2954436138007</v>
      </c>
      <c r="O130" s="97">
        <v>61906.678472157175</v>
      </c>
      <c r="P130" s="97">
        <v>190670.93116999234</v>
      </c>
      <c r="Q130" s="97">
        <v>14930.877275104351</v>
      </c>
      <c r="R130" s="97">
        <v>284954.0042681474</v>
      </c>
      <c r="S130" s="97">
        <v>31121357.359965332</v>
      </c>
      <c r="T130" s="97">
        <v>23407841.231029257</v>
      </c>
      <c r="U130" s="45">
        <v>0</v>
      </c>
      <c r="V130">
        <v>0</v>
      </c>
      <c r="W130">
        <v>5.7416666666666673E-4</v>
      </c>
      <c r="X130" s="97">
        <v>6539.6759113877988</v>
      </c>
      <c r="Y130" s="97">
        <v>12.668118111302967</v>
      </c>
      <c r="Z130" s="97">
        <v>1858.2619699002423</v>
      </c>
      <c r="AA130" s="97">
        <v>142.83293067650374</v>
      </c>
      <c r="AB130" s="97">
        <v>9.6794760958565291</v>
      </c>
      <c r="AC130" s="97">
        <v>555.48454458380536</v>
      </c>
      <c r="AD130" s="97">
        <v>187.58561813059049</v>
      </c>
      <c r="AE130" s="97">
        <v>1032.9568879516189</v>
      </c>
      <c r="AF130" s="97">
        <v>1598.4080986739737</v>
      </c>
      <c r="AG130" s="97">
        <v>425.14784454729192</v>
      </c>
      <c r="AH130" s="97">
        <v>73678.935268365763</v>
      </c>
      <c r="AI130" s="97">
        <v>1060.5101594118198</v>
      </c>
      <c r="AJ130" s="97">
        <v>90007.818225276787</v>
      </c>
      <c r="AK130" s="97">
        <v>91371.712834422797</v>
      </c>
      <c r="AL130" s="97">
        <v>1363.89460914601</v>
      </c>
      <c r="AM130" s="97">
        <v>74739.445427777595</v>
      </c>
    </row>
    <row r="131" spans="1:39" x14ac:dyDescent="0.25">
      <c r="A131" s="97">
        <v>129</v>
      </c>
      <c r="B131" s="97">
        <v>5.7416666666666673E-4</v>
      </c>
      <c r="C131" s="97">
        <v>328.85690154427317</v>
      </c>
      <c r="D131" s="97">
        <v>1038.7181312298057</v>
      </c>
      <c r="E131" s="97">
        <v>849.58255727628659</v>
      </c>
      <c r="F131" s="97">
        <v>1041.7900790282961</v>
      </c>
      <c r="G131" s="97">
        <v>3810.3983035805736</v>
      </c>
      <c r="H131" s="97">
        <v>6550.3483482492202</v>
      </c>
      <c r="I131" s="97">
        <v>55</v>
      </c>
      <c r="J131" s="97">
        <v>45</v>
      </c>
      <c r="K131" s="97">
        <v>1791.1739237444745</v>
      </c>
      <c r="L131" s="97">
        <v>5657.5514214316754</v>
      </c>
      <c r="M131" s="97">
        <v>4627.3929952981744</v>
      </c>
      <c r="N131" s="97">
        <v>5301.8433438548363</v>
      </c>
      <c r="O131" s="97">
        <v>61766.556501041101</v>
      </c>
      <c r="P131" s="97">
        <v>190755.49403571748</v>
      </c>
      <c r="Q131" s="97">
        <v>14927.425081717909</v>
      </c>
      <c r="R131" s="97">
        <v>284827.43730280566</v>
      </c>
      <c r="S131" s="97">
        <v>31406184.797268137</v>
      </c>
      <c r="T131" s="97">
        <v>23574425.317296244</v>
      </c>
      <c r="U131" s="45">
        <v>0</v>
      </c>
      <c r="V131">
        <v>0</v>
      </c>
      <c r="W131">
        <v>5.7416666666666673E-4</v>
      </c>
      <c r="X131" s="97">
        <v>6550.3483482492202</v>
      </c>
      <c r="Y131" s="97">
        <v>12.639440772665294</v>
      </c>
      <c r="Z131" s="97">
        <v>1870.9014106729076</v>
      </c>
      <c r="AA131" s="97">
        <v>142.52525871729563</v>
      </c>
      <c r="AB131" s="97">
        <v>9.6580639114900482</v>
      </c>
      <c r="AC131" s="97">
        <v>556.10192147040641</v>
      </c>
      <c r="AD131" s="97">
        <v>187.54224614257063</v>
      </c>
      <c r="AE131" s="97">
        <v>1041.5273873102731</v>
      </c>
      <c r="AF131" s="97">
        <v>1614.7569481672667</v>
      </c>
      <c r="AG131" s="97">
        <v>429.72765284322577</v>
      </c>
      <c r="AH131" s="97">
        <v>73678.935268365763</v>
      </c>
      <c r="AI131" s="97">
        <v>1060.5101594118198</v>
      </c>
      <c r="AJ131" s="97">
        <v>90007.818225276787</v>
      </c>
      <c r="AK131" s="97">
        <v>91371.712834422797</v>
      </c>
      <c r="AL131" s="97">
        <v>1363.89460914601</v>
      </c>
      <c r="AM131" s="97">
        <v>74739.445427777595</v>
      </c>
    </row>
    <row r="132" spans="1:39" x14ac:dyDescent="0.25">
      <c r="A132" s="97">
        <v>130</v>
      </c>
      <c r="B132" s="97">
        <v>5.7416666666666673E-4</v>
      </c>
      <c r="C132" s="97">
        <v>325.2757270616375</v>
      </c>
      <c r="D132" s="97">
        <v>1033.8532636929529</v>
      </c>
      <c r="E132" s="97">
        <v>847.75319975651905</v>
      </c>
      <c r="F132" s="97">
        <v>1039.544865600536</v>
      </c>
      <c r="G132" s="97">
        <v>3801.7748540346256</v>
      </c>
      <c r="H132" s="97">
        <v>6560.9977820962404</v>
      </c>
      <c r="I132" s="97">
        <v>55</v>
      </c>
      <c r="J132" s="97">
        <v>45</v>
      </c>
      <c r="K132" s="97">
        <v>1771.6684600623855</v>
      </c>
      <c r="L132" s="97">
        <v>5631.0541095809494</v>
      </c>
      <c r="M132" s="97">
        <v>4617.4290946738402</v>
      </c>
      <c r="N132" s="97">
        <v>5290.417078518728</v>
      </c>
      <c r="O132" s="97">
        <v>61626.770383901283</v>
      </c>
      <c r="P132" s="97">
        <v>190831.43644112902</v>
      </c>
      <c r="Q132" s="97">
        <v>14923.467751497286</v>
      </c>
      <c r="R132" s="97">
        <v>284692.24331936351</v>
      </c>
      <c r="S132" s="97">
        <v>31690877.0405875</v>
      </c>
      <c r="T132" s="97">
        <v>23740239.441866476</v>
      </c>
      <c r="U132" s="45">
        <v>0</v>
      </c>
      <c r="V132">
        <v>0</v>
      </c>
      <c r="W132">
        <v>5.7416666666666673E-4</v>
      </c>
      <c r="X132" s="97">
        <v>6560.9977820962404</v>
      </c>
      <c r="Y132" s="97">
        <v>12.610832173422367</v>
      </c>
      <c r="Z132" s="97">
        <v>1883.5122428463299</v>
      </c>
      <c r="AA132" s="97">
        <v>142.21742539418685</v>
      </c>
      <c r="AB132" s="97">
        <v>9.6367015135848213</v>
      </c>
      <c r="AC132" s="97">
        <v>556.6878879545942</v>
      </c>
      <c r="AD132" s="97">
        <v>187.49252781578349</v>
      </c>
      <c r="AE132" s="97">
        <v>1050.0895487023979</v>
      </c>
      <c r="AF132" s="97">
        <v>1631.1048040876858</v>
      </c>
      <c r="AG132" s="97">
        <v>434.29544460147889</v>
      </c>
      <c r="AH132" s="97">
        <v>73678.935268365763</v>
      </c>
      <c r="AI132" s="97">
        <v>1060.5101594118198</v>
      </c>
      <c r="AJ132" s="97">
        <v>90007.818225276787</v>
      </c>
      <c r="AK132" s="97">
        <v>91371.712834422797</v>
      </c>
      <c r="AL132" s="97">
        <v>1363.89460914601</v>
      </c>
      <c r="AM132" s="97">
        <v>74739.445427777595</v>
      </c>
    </row>
    <row r="133" spans="1:39" x14ac:dyDescent="0.25">
      <c r="A133" s="97">
        <v>131</v>
      </c>
      <c r="B133" s="97">
        <v>5.7416666666666673E-4</v>
      </c>
      <c r="C133" s="97">
        <v>321.73355072869816</v>
      </c>
      <c r="D133" s="97">
        <v>1028.9901271507497</v>
      </c>
      <c r="E133" s="97">
        <v>845.90839719752671</v>
      </c>
      <c r="F133" s="97">
        <v>1037.3045081089087</v>
      </c>
      <c r="G133" s="97">
        <v>3793.1720705221178</v>
      </c>
      <c r="H133" s="97">
        <v>6571.624264820618</v>
      </c>
      <c r="I133" s="97">
        <v>55</v>
      </c>
      <c r="J133" s="97">
        <v>45</v>
      </c>
      <c r="K133" s="97">
        <v>1752.3754063023091</v>
      </c>
      <c r="L133" s="97">
        <v>5604.5662258810826</v>
      </c>
      <c r="M133" s="97">
        <v>4607.3810700691956</v>
      </c>
      <c r="N133" s="97">
        <v>5279.0155258509212</v>
      </c>
      <c r="O133" s="97">
        <v>61487.319263163532</v>
      </c>
      <c r="P133" s="97">
        <v>190898.91770730654</v>
      </c>
      <c r="Q133" s="97">
        <v>14919.015712414703</v>
      </c>
      <c r="R133" s="97">
        <v>284548.59091098828</v>
      </c>
      <c r="S133" s="97">
        <v>31975425.63149849</v>
      </c>
      <c r="T133" s="97">
        <v>23905282.220306579</v>
      </c>
      <c r="U133" s="45">
        <v>0</v>
      </c>
      <c r="V133">
        <v>0</v>
      </c>
      <c r="W133">
        <v>5.7416666666666673E-4</v>
      </c>
      <c r="X133" s="97">
        <v>6571.624264820618</v>
      </c>
      <c r="Y133" s="97">
        <v>12.582292145237455</v>
      </c>
      <c r="Z133" s="97">
        <v>1896.0945349915673</v>
      </c>
      <c r="AA133" s="97">
        <v>141.90945325289201</v>
      </c>
      <c r="AB133" s="97">
        <v>9.6153888567889965</v>
      </c>
      <c r="AC133" s="97">
        <v>557.24300499173285</v>
      </c>
      <c r="AD133" s="97">
        <v>187.43659416313466</v>
      </c>
      <c r="AE133" s="97">
        <v>1058.6432117190607</v>
      </c>
      <c r="AF133" s="97">
        <v>1647.4510665922162</v>
      </c>
      <c r="AG133" s="97">
        <v>438.85122729202317</v>
      </c>
      <c r="AH133" s="97">
        <v>73678.935268365763</v>
      </c>
      <c r="AI133" s="97">
        <v>1060.5101594118198</v>
      </c>
      <c r="AJ133" s="97">
        <v>90007.818225276787</v>
      </c>
      <c r="AK133" s="97">
        <v>91371.712834422797</v>
      </c>
      <c r="AL133" s="97">
        <v>1363.89460914601</v>
      </c>
      <c r="AM133" s="97">
        <v>74739.445427777595</v>
      </c>
    </row>
    <row r="134" spans="1:39" x14ac:dyDescent="0.25">
      <c r="A134" s="97">
        <v>132</v>
      </c>
      <c r="B134" s="97">
        <v>5.7416666666666673E-4</v>
      </c>
      <c r="C134" s="97">
        <v>318.22994786475687</v>
      </c>
      <c r="D134" s="97">
        <v>1024.1291101320257</v>
      </c>
      <c r="E134" s="97">
        <v>844.04833489324665</v>
      </c>
      <c r="F134" s="97">
        <v>1035.0687904673687</v>
      </c>
      <c r="G134" s="97">
        <v>3784.5898981534274</v>
      </c>
      <c r="H134" s="97">
        <v>6582.2278460609241</v>
      </c>
      <c r="I134" s="97">
        <v>56</v>
      </c>
      <c r="J134" s="97">
        <v>45</v>
      </c>
      <c r="K134" s="97">
        <v>1733.2924493700423</v>
      </c>
      <c r="L134" s="97">
        <v>5578.0898865191002</v>
      </c>
      <c r="M134" s="97">
        <v>4597.2499307185499</v>
      </c>
      <c r="N134" s="97">
        <v>5267.6375861535171</v>
      </c>
      <c r="O134" s="97">
        <v>61348.202249067064</v>
      </c>
      <c r="P134" s="97">
        <v>190958.09447295673</v>
      </c>
      <c r="Q134" s="97">
        <v>14914.079180407578</v>
      </c>
      <c r="R134" s="97">
        <v>284396.64575519256</v>
      </c>
      <c r="S134" s="97">
        <v>32259822.277253684</v>
      </c>
      <c r="T134" s="97">
        <v>24069552.408982787</v>
      </c>
      <c r="U134" s="45">
        <v>0</v>
      </c>
      <c r="V134">
        <v>0</v>
      </c>
      <c r="W134">
        <v>5.7416666666666673E-4</v>
      </c>
      <c r="X134" s="97">
        <v>6582.2278460609241</v>
      </c>
      <c r="Y134" s="97">
        <v>12.553820513020273</v>
      </c>
      <c r="Z134" s="97">
        <v>1908.6483555045877</v>
      </c>
      <c r="AA134" s="97">
        <v>141.60987774700902</v>
      </c>
      <c r="AB134" s="97">
        <v>9.5856123389632995</v>
      </c>
      <c r="AC134" s="97">
        <v>557.75931080532109</v>
      </c>
      <c r="AD134" s="97">
        <v>187.37457353360861</v>
      </c>
      <c r="AE134" s="97">
        <v>1067.188219303478</v>
      </c>
      <c r="AF134" s="97">
        <v>1663.7951476782848</v>
      </c>
      <c r="AG134" s="97">
        <v>443.39500872495131</v>
      </c>
      <c r="AH134" s="97">
        <v>78414.882041128236</v>
      </c>
      <c r="AI134" s="97">
        <v>1170.0639573103601</v>
      </c>
      <c r="AJ134" s="97">
        <v>97722.176476133551</v>
      </c>
      <c r="AK134" s="97">
        <v>99264.522678019566</v>
      </c>
      <c r="AL134" s="97">
        <v>1542.3462018860041</v>
      </c>
      <c r="AM134" s="97">
        <v>79584.945998438619</v>
      </c>
    </row>
    <row r="135" spans="1:39" x14ac:dyDescent="0.25">
      <c r="A135" s="97">
        <v>133</v>
      </c>
      <c r="B135" s="97">
        <v>6.358333333333333E-4</v>
      </c>
      <c r="C135" s="97">
        <v>314.74487423367026</v>
      </c>
      <c r="D135" s="97">
        <v>1019.2074390677315</v>
      </c>
      <c r="E135" s="97">
        <v>842.12114928599317</v>
      </c>
      <c r="F135" s="97">
        <v>1032.7736716441641</v>
      </c>
      <c r="G135" s="97">
        <v>3775.7948970639573</v>
      </c>
      <c r="H135" s="97">
        <v>6592.8085732468453</v>
      </c>
      <c r="I135" s="97">
        <v>56</v>
      </c>
      <c r="J135" s="97">
        <v>45</v>
      </c>
      <c r="K135" s="97">
        <v>1714.310414992724</v>
      </c>
      <c r="L135" s="97">
        <v>5551.2831847889101</v>
      </c>
      <c r="M135" s="97">
        <v>4586.7531931110425</v>
      </c>
      <c r="N135" s="97">
        <v>5255.9573439424248</v>
      </c>
      <c r="O135" s="97">
        <v>61205.63528140675</v>
      </c>
      <c r="P135" s="97">
        <v>190997.329292985</v>
      </c>
      <c r="Q135" s="97">
        <v>14907.74846280466</v>
      </c>
      <c r="R135" s="97">
        <v>284219.01717403153</v>
      </c>
      <c r="S135" s="97">
        <v>32544041.294427715</v>
      </c>
      <c r="T135" s="97">
        <v>24233038.804398607</v>
      </c>
      <c r="U135" s="45">
        <v>0</v>
      </c>
      <c r="V135">
        <v>0</v>
      </c>
      <c r="W135">
        <v>6.358333333333333E-4</v>
      </c>
      <c r="X135" s="97">
        <v>6592.8085732468453</v>
      </c>
      <c r="Y135" s="97">
        <v>12.525417095109018</v>
      </c>
      <c r="Z135" s="97">
        <v>1921.1737725996968</v>
      </c>
      <c r="AA135" s="97">
        <v>141.30125912602313</v>
      </c>
      <c r="AB135" s="97">
        <v>9.5644178254538161</v>
      </c>
      <c r="AC135" s="97">
        <v>558.21162390714005</v>
      </c>
      <c r="AD135" s="97">
        <v>187.29503690941215</v>
      </c>
      <c r="AE135" s="97">
        <v>1075.7244176912013</v>
      </c>
      <c r="AF135" s="97">
        <v>1680.1365284447375</v>
      </c>
      <c r="AG135" s="97">
        <v>448.41352031717162</v>
      </c>
      <c r="AH135" s="97">
        <v>78414.882041128236</v>
      </c>
      <c r="AI135" s="97">
        <v>1170.0639573103601</v>
      </c>
      <c r="AJ135" s="97">
        <v>97722.176476133551</v>
      </c>
      <c r="AK135" s="97">
        <v>99264.522678019566</v>
      </c>
      <c r="AL135" s="97">
        <v>1542.3462018860041</v>
      </c>
      <c r="AM135" s="97">
        <v>79584.945998438619</v>
      </c>
    </row>
    <row r="136" spans="1:39" x14ac:dyDescent="0.25">
      <c r="A136" s="97">
        <v>134</v>
      </c>
      <c r="B136" s="97">
        <v>6.358333333333333E-4</v>
      </c>
      <c r="C136" s="97">
        <v>311.29796714943313</v>
      </c>
      <c r="D136" s="97">
        <v>1014.2892453949593</v>
      </c>
      <c r="E136" s="97">
        <v>840.17931132093304</v>
      </c>
      <c r="F136" s="97">
        <v>1030.4830524786385</v>
      </c>
      <c r="G136" s="97">
        <v>3767.0214619238282</v>
      </c>
      <c r="H136" s="97">
        <v>6603.3658391649251</v>
      </c>
      <c r="I136" s="97">
        <v>56</v>
      </c>
      <c r="J136" s="97">
        <v>45</v>
      </c>
      <c r="K136" s="97">
        <v>1695.5362610739123</v>
      </c>
      <c r="L136" s="97">
        <v>5524.4954232512109</v>
      </c>
      <c r="M136" s="97">
        <v>4576.1766489946813</v>
      </c>
      <c r="N136" s="97">
        <v>5244.300001239204</v>
      </c>
      <c r="O136" s="97">
        <v>61063.417897785257</v>
      </c>
      <c r="P136" s="97">
        <v>191028.54440540771</v>
      </c>
      <c r="Q136" s="97">
        <v>14900.953765101614</v>
      </c>
      <c r="R136" s="97">
        <v>284033.42440285359</v>
      </c>
      <c r="S136" s="97">
        <v>32828074.718830571</v>
      </c>
      <c r="T136" s="97">
        <v>24395740.520672936</v>
      </c>
      <c r="U136" s="45">
        <v>0</v>
      </c>
      <c r="V136">
        <v>0</v>
      </c>
      <c r="W136">
        <v>6.358333333333333E-4</v>
      </c>
      <c r="X136" s="97">
        <v>6603.3658391649251</v>
      </c>
      <c r="Y136" s="97">
        <v>12.496309302729372</v>
      </c>
      <c r="Z136" s="97">
        <v>1933.6700819024261</v>
      </c>
      <c r="AA136" s="97">
        <v>140.9923294160958</v>
      </c>
      <c r="AB136" s="97">
        <v>9.5427467899464702</v>
      </c>
      <c r="AC136" s="97">
        <v>558.63487654171684</v>
      </c>
      <c r="AD136" s="97">
        <v>187.20967102332577</v>
      </c>
      <c r="AE136" s="97">
        <v>1084.2511296160339</v>
      </c>
      <c r="AF136" s="97">
        <v>1696.4736341732364</v>
      </c>
      <c r="AG136" s="97">
        <v>453.41845057783382</v>
      </c>
      <c r="AH136" s="97">
        <v>78414.882041128236</v>
      </c>
      <c r="AI136" s="97">
        <v>1170.0639573103601</v>
      </c>
      <c r="AJ136" s="97">
        <v>97722.176476133551</v>
      </c>
      <c r="AK136" s="97">
        <v>99264.522678019566</v>
      </c>
      <c r="AL136" s="97">
        <v>1542.3462018860041</v>
      </c>
      <c r="AM136" s="97">
        <v>79584.945998438619</v>
      </c>
    </row>
    <row r="137" spans="1:39" x14ac:dyDescent="0.25">
      <c r="A137" s="97">
        <v>135</v>
      </c>
      <c r="B137" s="97">
        <v>6.358333333333333E-4</v>
      </c>
      <c r="C137" s="97">
        <v>307.88880863370343</v>
      </c>
      <c r="D137" s="97">
        <v>1009.374894966748</v>
      </c>
      <c r="E137" s="97">
        <v>838.22301122113811</v>
      </c>
      <c r="F137" s="97">
        <v>1028.1967288532394</v>
      </c>
      <c r="G137" s="97">
        <v>3758.2695283198027</v>
      </c>
      <c r="H137" s="97">
        <v>6613.8996898117675</v>
      </c>
      <c r="I137" s="97">
        <v>56</v>
      </c>
      <c r="J137" s="97">
        <v>45</v>
      </c>
      <c r="K137" s="97">
        <v>1676.9677110249047</v>
      </c>
      <c r="L137" s="97">
        <v>5497.7285945855538</v>
      </c>
      <c r="M137" s="97">
        <v>4565.5213344511321</v>
      </c>
      <c r="N137" s="97">
        <v>5232.6645192556107</v>
      </c>
      <c r="O137" s="97">
        <v>60921.549054064002</v>
      </c>
      <c r="P137" s="97">
        <v>191051.89088985129</v>
      </c>
      <c r="Q137" s="97">
        <v>14893.704757864583</v>
      </c>
      <c r="R137" s="97">
        <v>283840.02686109708</v>
      </c>
      <c r="S137" s="97">
        <v>33111914.745691668</v>
      </c>
      <c r="T137" s="97">
        <v>24557656.802641734</v>
      </c>
      <c r="U137" s="45">
        <v>0</v>
      </c>
      <c r="V137">
        <v>0</v>
      </c>
      <c r="W137">
        <v>6.358333333333333E-4</v>
      </c>
      <c r="X137" s="97">
        <v>6613.8996898117675</v>
      </c>
      <c r="Y137" s="97">
        <v>12.467272884664467</v>
      </c>
      <c r="Z137" s="97">
        <v>1946.1373547870905</v>
      </c>
      <c r="AA137" s="97">
        <v>140.68311536989256</v>
      </c>
      <c r="AB137" s="97">
        <v>9.5211275587933137</v>
      </c>
      <c r="AC137" s="97">
        <v>559.02959527378289</v>
      </c>
      <c r="AD137" s="97">
        <v>187.1185973725056</v>
      </c>
      <c r="AE137" s="97">
        <v>1092.7682085378269</v>
      </c>
      <c r="AF137" s="97">
        <v>1712.8059091285752</v>
      </c>
      <c r="AG137" s="97">
        <v>458.40981086061294</v>
      </c>
      <c r="AH137" s="97">
        <v>78414.882041128236</v>
      </c>
      <c r="AI137" s="97">
        <v>1170.0639573103601</v>
      </c>
      <c r="AJ137" s="97">
        <v>97722.176476133551</v>
      </c>
      <c r="AK137" s="97">
        <v>99264.522678019566</v>
      </c>
      <c r="AL137" s="97">
        <v>1542.3462018860041</v>
      </c>
      <c r="AM137" s="97">
        <v>79584.945998438619</v>
      </c>
    </row>
    <row r="138" spans="1:39" x14ac:dyDescent="0.25">
      <c r="A138" s="97">
        <v>136</v>
      </c>
      <c r="B138" s="97">
        <v>6.358333333333333E-4</v>
      </c>
      <c r="C138" s="97">
        <v>304.51698528560041</v>
      </c>
      <c r="D138" s="97">
        <v>1004.4647463935534</v>
      </c>
      <c r="E138" s="97">
        <v>836.25243977134505</v>
      </c>
      <c r="F138" s="97">
        <v>1025.9145008823887</v>
      </c>
      <c r="G138" s="97">
        <v>3749.5390300818758</v>
      </c>
      <c r="H138" s="97">
        <v>6624.4101690974394</v>
      </c>
      <c r="I138" s="97">
        <v>56</v>
      </c>
      <c r="J138" s="97">
        <v>45</v>
      </c>
      <c r="K138" s="97">
        <v>1658.6025131889035</v>
      </c>
      <c r="L138" s="97">
        <v>5470.9846520235533</v>
      </c>
      <c r="M138" s="97">
        <v>4554.7882886212592</v>
      </c>
      <c r="N138" s="97">
        <v>5221.0498807406229</v>
      </c>
      <c r="O138" s="97">
        <v>60780.027677627208</v>
      </c>
      <c r="P138" s="97">
        <v>191067.51725022888</v>
      </c>
      <c r="Q138" s="97">
        <v>14886.010918675031</v>
      </c>
      <c r="R138" s="97">
        <v>283638.98118110548</v>
      </c>
      <c r="S138" s="97">
        <v>33395553.726872772</v>
      </c>
      <c r="T138" s="97">
        <v>24718787.022371959</v>
      </c>
      <c r="U138" s="45">
        <v>0</v>
      </c>
      <c r="V138">
        <v>0</v>
      </c>
      <c r="W138">
        <v>6.358333333333333E-4</v>
      </c>
      <c r="X138" s="97">
        <v>6624.4101690974394</v>
      </c>
      <c r="Y138" s="97">
        <v>12.438307627733298</v>
      </c>
      <c r="Z138" s="97">
        <v>1958.5756624148239</v>
      </c>
      <c r="AA138" s="97">
        <v>140.37364299524606</v>
      </c>
      <c r="AB138" s="97">
        <v>9.4995600459562759</v>
      </c>
      <c r="AC138" s="97">
        <v>559.39629797955229</v>
      </c>
      <c r="AD138" s="97">
        <v>187.02193502952485</v>
      </c>
      <c r="AE138" s="97">
        <v>1101.275511078451</v>
      </c>
      <c r="AF138" s="97">
        <v>1729.1328087155944</v>
      </c>
      <c r="AG138" s="97">
        <v>463.3876128653198</v>
      </c>
      <c r="AH138" s="97">
        <v>78414.882041128236</v>
      </c>
      <c r="AI138" s="97">
        <v>1170.0639573103601</v>
      </c>
      <c r="AJ138" s="97">
        <v>97722.176476133551</v>
      </c>
      <c r="AK138" s="97">
        <v>99264.522678019566</v>
      </c>
      <c r="AL138" s="97">
        <v>1542.3462018860041</v>
      </c>
      <c r="AM138" s="97">
        <v>79584.945998438619</v>
      </c>
    </row>
    <row r="139" spans="1:39" x14ac:dyDescent="0.25">
      <c r="A139" s="97">
        <v>137</v>
      </c>
      <c r="B139" s="97">
        <v>6.358333333333333E-4</v>
      </c>
      <c r="C139" s="97">
        <v>301.18208823157499</v>
      </c>
      <c r="D139" s="97">
        <v>999.55915114848813</v>
      </c>
      <c r="E139" s="97">
        <v>834.26778825823101</v>
      </c>
      <c r="F139" s="97">
        <v>1023.636172872482</v>
      </c>
      <c r="G139" s="97">
        <v>3740.8298993355302</v>
      </c>
      <c r="H139" s="97">
        <v>6634.8973188887257</v>
      </c>
      <c r="I139" s="97">
        <v>56</v>
      </c>
      <c r="J139" s="97">
        <v>45</v>
      </c>
      <c r="K139" s="97">
        <v>1640.4384405679784</v>
      </c>
      <c r="L139" s="97">
        <v>5444.2655099220983</v>
      </c>
      <c r="M139" s="97">
        <v>4543.9785533798313</v>
      </c>
      <c r="N139" s="97">
        <v>5209.4550897768731</v>
      </c>
      <c r="O139" s="97">
        <v>60638.852668228945</v>
      </c>
      <c r="P139" s="97">
        <v>191075.56945660504</v>
      </c>
      <c r="Q139" s="97">
        <v>14877.88153644577</v>
      </c>
      <c r="R139" s="97">
        <v>283430.44125492655</v>
      </c>
      <c r="S139" s="97">
        <v>33678984.168127701</v>
      </c>
      <c r="T139" s="97">
        <v>24879130.675753362</v>
      </c>
      <c r="U139" s="45">
        <v>0</v>
      </c>
      <c r="V139">
        <v>0</v>
      </c>
      <c r="W139">
        <v>6.358333333333333E-4</v>
      </c>
      <c r="X139" s="97">
        <v>6634.8973188887257</v>
      </c>
      <c r="Y139" s="97">
        <v>12.409413312940696</v>
      </c>
      <c r="Z139" s="97">
        <v>1970.9850757277645</v>
      </c>
      <c r="AA139" s="97">
        <v>140.06393757255029</v>
      </c>
      <c r="AB139" s="97">
        <v>9.4780441593862825</v>
      </c>
      <c r="AC139" s="97">
        <v>559.7354939826547</v>
      </c>
      <c r="AD139" s="97">
        <v>186.91980069659866</v>
      </c>
      <c r="AE139" s="97">
        <v>1109.7728969645359</v>
      </c>
      <c r="AF139" s="97">
        <v>1745.4537992712926</v>
      </c>
      <c r="AG139" s="97">
        <v>468.35186863059795</v>
      </c>
      <c r="AH139" s="97">
        <v>78414.882041128236</v>
      </c>
      <c r="AI139" s="97">
        <v>1170.0639573103601</v>
      </c>
      <c r="AJ139" s="97">
        <v>97722.176476133551</v>
      </c>
      <c r="AK139" s="97">
        <v>99264.522678019566</v>
      </c>
      <c r="AL139" s="97">
        <v>1542.3462018860041</v>
      </c>
      <c r="AM139" s="97">
        <v>79584.945998438619</v>
      </c>
    </row>
    <row r="140" spans="1:39" x14ac:dyDescent="0.25">
      <c r="A140" s="97">
        <v>138</v>
      </c>
      <c r="B140" s="97">
        <v>6.358333333333333E-4</v>
      </c>
      <c r="C140" s="97">
        <v>297.88371307582895</v>
      </c>
      <c r="D140" s="97">
        <v>994.65845367120266</v>
      </c>
      <c r="E140" s="97">
        <v>832.26924841213577</v>
      </c>
      <c r="F140" s="97">
        <v>1021.3615532816917</v>
      </c>
      <c r="G140" s="97">
        <v>3732.1420665533128</v>
      </c>
      <c r="H140" s="97">
        <v>6645.3611790519844</v>
      </c>
      <c r="I140" s="97">
        <v>56</v>
      </c>
      <c r="J140" s="97">
        <v>45</v>
      </c>
      <c r="K140" s="97">
        <v>1622.473290553015</v>
      </c>
      <c r="L140" s="97">
        <v>5417.5730443291504</v>
      </c>
      <c r="M140" s="97">
        <v>4533.0931730180992</v>
      </c>
      <c r="N140" s="97">
        <v>5197.8791715760763</v>
      </c>
      <c r="O140" s="97">
        <v>60498.022898829207</v>
      </c>
      <c r="P140" s="97">
        <v>191076.19098639229</v>
      </c>
      <c r="Q140" s="97">
        <v>14869.325715614836</v>
      </c>
      <c r="R140" s="97">
        <v>283214.55828031269</v>
      </c>
      <c r="S140" s="97">
        <v>33962198.726408012</v>
      </c>
      <c r="T140" s="97">
        <v>25038687.379166532</v>
      </c>
      <c r="U140" s="45">
        <v>0</v>
      </c>
      <c r="V140">
        <v>0</v>
      </c>
      <c r="W140">
        <v>6.358333333333333E-4</v>
      </c>
      <c r="X140" s="97">
        <v>6645.3611790519844</v>
      </c>
      <c r="Y140" s="97">
        <v>12.380589715650261</v>
      </c>
      <c r="Z140" s="97">
        <v>1983.3656654434149</v>
      </c>
      <c r="AA140" s="97">
        <v>139.75402367177955</v>
      </c>
      <c r="AB140" s="97">
        <v>9.4565798011698678</v>
      </c>
      <c r="AC140" s="97">
        <v>560.04768418799461</v>
      </c>
      <c r="AD140" s="97">
        <v>186.81230875827421</v>
      </c>
      <c r="AE140" s="97">
        <v>1118.2602289711683</v>
      </c>
      <c r="AF140" s="97">
        <v>1761.7683578610229</v>
      </c>
      <c r="AG140" s="97">
        <v>473.302590526757</v>
      </c>
      <c r="AH140" s="97">
        <v>78414.882041128236</v>
      </c>
      <c r="AI140" s="97">
        <v>1170.0639573103601</v>
      </c>
      <c r="AJ140" s="97">
        <v>97722.176476133551</v>
      </c>
      <c r="AK140" s="97">
        <v>99264.522678019566</v>
      </c>
      <c r="AL140" s="97">
        <v>1542.3462018860041</v>
      </c>
      <c r="AM140" s="97">
        <v>79584.945998438619</v>
      </c>
    </row>
    <row r="141" spans="1:39" x14ac:dyDescent="0.25">
      <c r="A141" s="97">
        <v>139</v>
      </c>
      <c r="B141" s="97">
        <v>6.358333333333333E-4</v>
      </c>
      <c r="C141" s="97">
        <v>294.62145985127717</v>
      </c>
      <c r="D141" s="97">
        <v>989.76299147042107</v>
      </c>
      <c r="E141" s="97">
        <v>830.25701235020506</v>
      </c>
      <c r="F141" s="97">
        <v>1019.0904546795873</v>
      </c>
      <c r="G141" s="97">
        <v>3723.475460605739</v>
      </c>
      <c r="H141" s="97">
        <v>6655.8017874955858</v>
      </c>
      <c r="I141" s="97">
        <v>56</v>
      </c>
      <c r="J141" s="97">
        <v>45</v>
      </c>
      <c r="K141" s="97">
        <v>1604.7048846566229</v>
      </c>
      <c r="L141" s="97">
        <v>5390.9090935422264</v>
      </c>
      <c r="M141" s="97">
        <v>4522.1331939341162</v>
      </c>
      <c r="N141" s="97">
        <v>5186.3211722735332</v>
      </c>
      <c r="O141" s="97">
        <v>60357.537216419034</v>
      </c>
      <c r="P141" s="97">
        <v>191069.52286488935</v>
      </c>
      <c r="Q141" s="97">
        <v>14860.352380221597</v>
      </c>
      <c r="R141" s="97">
        <v>282991.4808059365</v>
      </c>
      <c r="S141" s="97">
        <v>34245190.207213946</v>
      </c>
      <c r="T141" s="97">
        <v>25197456.866225507</v>
      </c>
      <c r="U141" s="45">
        <v>0</v>
      </c>
      <c r="V141">
        <v>0</v>
      </c>
      <c r="W141">
        <v>6.358333333333333E-4</v>
      </c>
      <c r="X141" s="97">
        <v>6655.8017874955858</v>
      </c>
      <c r="Y141" s="97">
        <v>12.351836605755071</v>
      </c>
      <c r="Z141" s="97">
        <v>1995.71750204917</v>
      </c>
      <c r="AA141" s="97">
        <v>139.44392516914013</v>
      </c>
      <c r="AB141" s="97">
        <v>9.4351668676741731</v>
      </c>
      <c r="AC141" s="97">
        <v>560.33336121356842</v>
      </c>
      <c r="AD141" s="97">
        <v>186.69957133264145</v>
      </c>
      <c r="AE141" s="97">
        <v>1126.737372866533</v>
      </c>
      <c r="AF141" s="97">
        <v>1778.0759720786803</v>
      </c>
      <c r="AG141" s="97">
        <v>478.2397912487404</v>
      </c>
      <c r="AH141" s="97">
        <v>78414.882041128236</v>
      </c>
      <c r="AI141" s="97">
        <v>1170.0639573103601</v>
      </c>
      <c r="AJ141" s="97">
        <v>97722.176476133551</v>
      </c>
      <c r="AK141" s="97">
        <v>99264.522678019566</v>
      </c>
      <c r="AL141" s="97">
        <v>1542.3462018860041</v>
      </c>
      <c r="AM141" s="97">
        <v>79584.945998438619</v>
      </c>
    </row>
    <row r="142" spans="1:39" x14ac:dyDescent="0.25">
      <c r="A142" s="97">
        <v>140</v>
      </c>
      <c r="B142" s="97">
        <v>6.358333333333333E-4</v>
      </c>
      <c r="C142" s="97">
        <v>291.39493297104684</v>
      </c>
      <c r="D142" s="97">
        <v>984.87309522515045</v>
      </c>
      <c r="E142" s="97">
        <v>828.23127252092809</v>
      </c>
      <c r="F142" s="97">
        <v>1016.8226937065921</v>
      </c>
      <c r="G142" s="97">
        <v>3714.8300088115207</v>
      </c>
      <c r="H142" s="97">
        <v>6666.2191802119405</v>
      </c>
      <c r="I142" s="97">
        <v>56</v>
      </c>
      <c r="J142" s="97">
        <v>45</v>
      </c>
      <c r="K142" s="97">
        <v>1587.1310682489684</v>
      </c>
      <c r="L142" s="97">
        <v>5364.275458659652</v>
      </c>
      <c r="M142" s="97">
        <v>4511.0996643306544</v>
      </c>
      <c r="N142" s="97">
        <v>5174.7801587217982</v>
      </c>
      <c r="O142" s="97">
        <v>60217.394442834753</v>
      </c>
      <c r="P142" s="97">
        <v>191055.70370517269</v>
      </c>
      <c r="Q142" s="97">
        <v>14850.970277869359</v>
      </c>
      <c r="R142" s="97">
        <v>282761.35477583786</v>
      </c>
      <c r="S142" s="97">
        <v>34527951.561989784</v>
      </c>
      <c r="T142" s="97">
        <v>25355438.984593391</v>
      </c>
      <c r="U142" s="45">
        <v>0</v>
      </c>
      <c r="V142">
        <v>0</v>
      </c>
      <c r="W142">
        <v>6.358333333333333E-4</v>
      </c>
      <c r="X142" s="97">
        <v>6666.2191802119405</v>
      </c>
      <c r="Y142" s="97">
        <v>12.32315374784614</v>
      </c>
      <c r="Z142" s="97">
        <v>2008.0406557970161</v>
      </c>
      <c r="AA142" s="97">
        <v>139.13366526336259</v>
      </c>
      <c r="AB142" s="97">
        <v>9.4138052496903484</v>
      </c>
      <c r="AC142" s="97">
        <v>560.59300952027138</v>
      </c>
      <c r="AD142" s="97">
        <v>186.58169832111764</v>
      </c>
      <c r="AE142" s="97">
        <v>1135.2041973574828</v>
      </c>
      <c r="AF142" s="97">
        <v>1794.3761398507859</v>
      </c>
      <c r="AG142" s="97">
        <v>483.16348380922472</v>
      </c>
      <c r="AH142" s="97">
        <v>78414.882041128236</v>
      </c>
      <c r="AI142" s="97">
        <v>1170.0639573103601</v>
      </c>
      <c r="AJ142" s="97">
        <v>97722.176476133551</v>
      </c>
      <c r="AK142" s="97">
        <v>99264.522678019566</v>
      </c>
      <c r="AL142" s="97">
        <v>1542.3462018860041</v>
      </c>
      <c r="AM142" s="97">
        <v>79584.945998438619</v>
      </c>
    </row>
    <row r="143" spans="1:39" x14ac:dyDescent="0.25">
      <c r="A143" s="97">
        <v>141</v>
      </c>
      <c r="B143" s="97">
        <v>6.358333333333333E-4</v>
      </c>
      <c r="C143" s="97">
        <v>288.2037411805079</v>
      </c>
      <c r="D143" s="97">
        <v>979.98908888457902</v>
      </c>
      <c r="E143" s="97">
        <v>826.19222165004521</v>
      </c>
      <c r="F143" s="97">
        <v>1014.5580910332926</v>
      </c>
      <c r="G143" s="97">
        <v>3706.2056369871257</v>
      </c>
      <c r="H143" s="97">
        <v>6676.6133913191125</v>
      </c>
      <c r="I143" s="97">
        <v>56</v>
      </c>
      <c r="J143" s="97">
        <v>45</v>
      </c>
      <c r="K143" s="97">
        <v>1569.7497102964996</v>
      </c>
      <c r="L143" s="97">
        <v>5337.6739041246738</v>
      </c>
      <c r="M143" s="97">
        <v>4499.9936339205797</v>
      </c>
      <c r="N143" s="97">
        <v>5163.255218283598</v>
      </c>
      <c r="O143" s="97">
        <v>60077.593375561308</v>
      </c>
      <c r="P143" s="97">
        <v>191034.86974735162</v>
      </c>
      <c r="Q143" s="97">
        <v>14841.187983578495</v>
      </c>
      <c r="R143" s="97">
        <v>282524.3235731168</v>
      </c>
      <c r="S143" s="97">
        <v>34810475.885562904</v>
      </c>
      <c r="T143" s="97">
        <v>25512633.692869406</v>
      </c>
      <c r="U143" s="45">
        <v>0</v>
      </c>
      <c r="V143">
        <v>0</v>
      </c>
      <c r="W143">
        <v>6.358333333333333E-4</v>
      </c>
      <c r="X143" s="97">
        <v>6676.6133913191125</v>
      </c>
      <c r="Y143" s="97">
        <v>12.294540901378658</v>
      </c>
      <c r="Z143" s="97">
        <v>2020.3351966983948</v>
      </c>
      <c r="AA143" s="97">
        <v>138.8232664916423</v>
      </c>
      <c r="AB143" s="97">
        <v>9.3924948325753075</v>
      </c>
      <c r="AC143" s="97">
        <v>560.82710553972618</v>
      </c>
      <c r="AD143" s="97">
        <v>186.45879745685653</v>
      </c>
      <c r="AE143" s="97">
        <v>1143.6605740360221</v>
      </c>
      <c r="AF143" s="97">
        <v>1810.6683692443776</v>
      </c>
      <c r="AG143" s="97">
        <v>488.07368153184757</v>
      </c>
      <c r="AH143" s="97">
        <v>78414.882041128236</v>
      </c>
      <c r="AI143" s="97">
        <v>1170.0639573103601</v>
      </c>
      <c r="AJ143" s="97">
        <v>97722.176476133551</v>
      </c>
      <c r="AK143" s="97">
        <v>99264.522678019566</v>
      </c>
      <c r="AL143" s="97">
        <v>1542.3462018860041</v>
      </c>
      <c r="AM143" s="97">
        <v>79584.945998438619</v>
      </c>
    </row>
    <row r="144" spans="1:39" x14ac:dyDescent="0.25">
      <c r="A144" s="97">
        <v>142</v>
      </c>
      <c r="B144" s="97">
        <v>6.358333333333333E-4</v>
      </c>
      <c r="C144" s="97">
        <v>285.0474975098287</v>
      </c>
      <c r="D144" s="97">
        <v>975.11128976667896</v>
      </c>
      <c r="E144" s="97">
        <v>824.14005268779931</v>
      </c>
      <c r="F144" s="97">
        <v>1012.2964713196169</v>
      </c>
      <c r="G144" s="97">
        <v>3697.6022694956646</v>
      </c>
      <c r="H144" s="97">
        <v>6686.9844531020153</v>
      </c>
      <c r="I144" s="97">
        <v>56</v>
      </c>
      <c r="J144" s="97">
        <v>45</v>
      </c>
      <c r="K144" s="97">
        <v>1552.5587031035336</v>
      </c>
      <c r="L144" s="97">
        <v>5311.1061582625107</v>
      </c>
      <c r="M144" s="97">
        <v>4488.8161536395464</v>
      </c>
      <c r="N144" s="97">
        <v>5151.7454586240838</v>
      </c>
      <c r="O144" s="97">
        <v>59938.132788524723</v>
      </c>
      <c r="P144" s="97">
        <v>191007.15489719744</v>
      </c>
      <c r="Q144" s="97">
        <v>14831.013903533994</v>
      </c>
      <c r="R144" s="97">
        <v>282280.52806288586</v>
      </c>
      <c r="S144" s="97">
        <v>35092756.413625792</v>
      </c>
      <c r="T144" s="97">
        <v>25669041.057545848</v>
      </c>
      <c r="U144" s="45">
        <v>0</v>
      </c>
      <c r="V144">
        <v>0</v>
      </c>
      <c r="W144">
        <v>6.358333333333333E-4</v>
      </c>
      <c r="X144" s="97">
        <v>6686.9844531020153</v>
      </c>
      <c r="Y144" s="97">
        <v>12.265997820836018</v>
      </c>
      <c r="Z144" s="97">
        <v>2032.6011945192308</v>
      </c>
      <c r="AA144" s="97">
        <v>138.51275074523588</v>
      </c>
      <c r="AB144" s="97">
        <v>9.3712354963918951</v>
      </c>
      <c r="AC144" s="97">
        <v>561.03611780016263</v>
      </c>
      <c r="AD144" s="97">
        <v>186.33097435183109</v>
      </c>
      <c r="AE144" s="97">
        <v>1152.1063773266897</v>
      </c>
      <c r="AF144" s="97">
        <v>1826.9521782786201</v>
      </c>
      <c r="AG144" s="97">
        <v>492.97039804456239</v>
      </c>
      <c r="AH144" s="97">
        <v>78414.882041128236</v>
      </c>
      <c r="AI144" s="97">
        <v>1170.0639573103601</v>
      </c>
      <c r="AJ144" s="97">
        <v>97722.176476133551</v>
      </c>
      <c r="AK144" s="97">
        <v>99264.522678019566</v>
      </c>
      <c r="AL144" s="97">
        <v>1542.3462018860041</v>
      </c>
      <c r="AM144" s="97">
        <v>79584.945998438619</v>
      </c>
    </row>
    <row r="145" spans="1:39" x14ac:dyDescent="0.25">
      <c r="A145" s="97">
        <v>143</v>
      </c>
      <c r="B145" s="97">
        <v>6.358333333333333E-4</v>
      </c>
      <c r="C145" s="97">
        <v>281.92581922705148</v>
      </c>
      <c r="D145" s="97">
        <v>970.24000865553023</v>
      </c>
      <c r="E145" s="97">
        <v>822.0749587575076</v>
      </c>
      <c r="F145" s="97">
        <v>1010.0376631738965</v>
      </c>
      <c r="G145" s="97">
        <v>3689.0198292951127</v>
      </c>
      <c r="H145" s="97">
        <v>6697.3323960531952</v>
      </c>
      <c r="I145" s="97">
        <v>56</v>
      </c>
      <c r="J145" s="97">
        <v>45</v>
      </c>
      <c r="K145" s="97">
        <v>1535.5559620566737</v>
      </c>
      <c r="L145" s="97">
        <v>5284.5739138104545</v>
      </c>
      <c r="M145" s="97">
        <v>4477.5682753658912</v>
      </c>
      <c r="N145" s="97">
        <v>5140.2500075024882</v>
      </c>
      <c r="O145" s="97">
        <v>59799.011432873776</v>
      </c>
      <c r="P145" s="97">
        <v>190972.69076415699</v>
      </c>
      <c r="Q145" s="97">
        <v>14820.456278731157</v>
      </c>
      <c r="R145" s="97">
        <v>282030.10663449741</v>
      </c>
      <c r="S145" s="97">
        <v>35374786.520260289</v>
      </c>
      <c r="T145" s="97">
        <v>25824661.250033449</v>
      </c>
      <c r="U145" s="45">
        <v>0</v>
      </c>
      <c r="V145">
        <v>0</v>
      </c>
      <c r="W145">
        <v>6.358333333333333E-4</v>
      </c>
      <c r="X145" s="97">
        <v>6697.3323960531952</v>
      </c>
      <c r="Y145" s="97">
        <v>12.237524255891604</v>
      </c>
      <c r="Z145" s="97">
        <v>2044.8387187751225</v>
      </c>
      <c r="AA145" s="97">
        <v>138.20213928472077</v>
      </c>
      <c r="AB145" s="97">
        <v>9.3500271160474053</v>
      </c>
      <c r="AC145" s="97">
        <v>561.22050705037975</v>
      </c>
      <c r="AD145" s="97">
        <v>186.19833254263656</v>
      </c>
      <c r="AE145" s="97">
        <v>1160.5414844348275</v>
      </c>
      <c r="AF145" s="97">
        <v>1843.227094740048</v>
      </c>
      <c r="AG145" s="97">
        <v>497.85364727311691</v>
      </c>
      <c r="AH145" s="97">
        <v>78414.882041128236</v>
      </c>
      <c r="AI145" s="97">
        <v>1170.0639573103601</v>
      </c>
      <c r="AJ145" s="97">
        <v>97722.176476133551</v>
      </c>
      <c r="AK145" s="97">
        <v>99264.522678019566</v>
      </c>
      <c r="AL145" s="97">
        <v>1542.3462018860041</v>
      </c>
      <c r="AM145" s="97">
        <v>79584.945998438619</v>
      </c>
    </row>
    <row r="146" spans="1:39" x14ac:dyDescent="0.25">
      <c r="A146" s="97">
        <v>144</v>
      </c>
      <c r="B146" s="97">
        <v>6.358333333333333E-4</v>
      </c>
      <c r="C146" s="97">
        <v>278.83832779168142</v>
      </c>
      <c r="D146" s="97">
        <v>965.37554989738032</v>
      </c>
      <c r="E146" s="97">
        <v>819.99713310542779</v>
      </c>
      <c r="F146" s="97">
        <v>1007.7814991118282</v>
      </c>
      <c r="G146" s="97">
        <v>3680.4582379858653</v>
      </c>
      <c r="H146" s="97">
        <v>6707.6572489131895</v>
      </c>
      <c r="I146" s="97">
        <v>57</v>
      </c>
      <c r="J146" s="97">
        <v>45</v>
      </c>
      <c r="K146" s="97">
        <v>1518.7394253720247</v>
      </c>
      <c r="L146" s="97">
        <v>5258.0788284410646</v>
      </c>
      <c r="M146" s="97">
        <v>4466.2510516475631</v>
      </c>
      <c r="N146" s="97">
        <v>5128.7680125632787</v>
      </c>
      <c r="O146" s="97">
        <v>59660.22803775088</v>
      </c>
      <c r="P146" s="97">
        <v>190931.60669876065</v>
      </c>
      <c r="Q146" s="97">
        <v>14809.523188522993</v>
      </c>
      <c r="R146" s="97">
        <v>281773.19524305844</v>
      </c>
      <c r="S146" s="97">
        <v>35656559.71550335</v>
      </c>
      <c r="T146" s="97">
        <v>25979494.543753706</v>
      </c>
      <c r="U146" s="45">
        <v>0</v>
      </c>
      <c r="V146">
        <v>0</v>
      </c>
      <c r="W146">
        <v>6.358333333333333E-4</v>
      </c>
      <c r="X146" s="97">
        <v>6707.6572489131895</v>
      </c>
      <c r="Y146" s="97">
        <v>12.209119951568381</v>
      </c>
      <c r="Z146" s="97">
        <v>2057.0478387266908</v>
      </c>
      <c r="AA146" s="97">
        <v>137.90074258210481</v>
      </c>
      <c r="AB146" s="97">
        <v>9.3195797342508602</v>
      </c>
      <c r="AC146" s="97">
        <v>561.37143655464013</v>
      </c>
      <c r="AD146" s="97">
        <v>186.06097353505865</v>
      </c>
      <c r="AE146" s="97">
        <v>1168.9657752957196</v>
      </c>
      <c r="AF146" s="97">
        <v>1859.4926560013603</v>
      </c>
      <c r="AG146" s="97">
        <v>502.72344343465352</v>
      </c>
      <c r="AH146" s="97">
        <v>82776.430441976205</v>
      </c>
      <c r="AI146" s="97">
        <v>1274.1696176399803</v>
      </c>
      <c r="AJ146" s="97">
        <v>105181.9043684331</v>
      </c>
      <c r="AK146" s="97">
        <v>106902.30657858355</v>
      </c>
      <c r="AL146" s="97">
        <v>1720.4022101504415</v>
      </c>
      <c r="AM146" s="97">
        <v>84050.600059616205</v>
      </c>
    </row>
    <row r="147" spans="1:39" x14ac:dyDescent="0.25">
      <c r="A147" s="97">
        <v>145</v>
      </c>
      <c r="B147" s="97">
        <v>7.0416666666666663E-4</v>
      </c>
      <c r="C147" s="97">
        <v>275.76559485638512</v>
      </c>
      <c r="D147" s="97">
        <v>960.45224416621284</v>
      </c>
      <c r="E147" s="97">
        <v>817.85073591446815</v>
      </c>
      <c r="F147" s="97">
        <v>1005.458950446245</v>
      </c>
      <c r="G147" s="97">
        <v>3671.6659178780328</v>
      </c>
      <c r="H147" s="97">
        <v>6717.9590387104708</v>
      </c>
      <c r="I147" s="97">
        <v>57</v>
      </c>
      <c r="J147" s="97">
        <v>45</v>
      </c>
      <c r="K147" s="97">
        <v>1502.0032733177775</v>
      </c>
      <c r="L147" s="97">
        <v>5231.2632232253054</v>
      </c>
      <c r="M147" s="97">
        <v>4454.5603416141366</v>
      </c>
      <c r="N147" s="97">
        <v>5116.948175312682</v>
      </c>
      <c r="O147" s="97">
        <v>59517.704528802919</v>
      </c>
      <c r="P147" s="97">
        <v>190870.96570987452</v>
      </c>
      <c r="Q147" s="97">
        <v>14797.210569988229</v>
      </c>
      <c r="R147" s="97">
        <v>281490.65582213557</v>
      </c>
      <c r="S147" s="97">
        <v>35938050.371325485</v>
      </c>
      <c r="T147" s="97">
        <v>26133530.765551336</v>
      </c>
      <c r="U147" s="45">
        <v>0</v>
      </c>
      <c r="V147">
        <v>0</v>
      </c>
      <c r="W147">
        <v>7.0416666666666663E-4</v>
      </c>
      <c r="X147" s="97">
        <v>6717.9590387104708</v>
      </c>
      <c r="Y147" s="97">
        <v>12.180784648396296</v>
      </c>
      <c r="Z147" s="97">
        <v>2069.228623375087</v>
      </c>
      <c r="AA147" s="97">
        <v>137.58963212596083</v>
      </c>
      <c r="AB147" s="97">
        <v>9.2984938888960826</v>
      </c>
      <c r="AC147" s="97">
        <v>561.46045409920919</v>
      </c>
      <c r="AD147" s="97">
        <v>185.90628268092505</v>
      </c>
      <c r="AE147" s="97">
        <v>1177.3791325245897</v>
      </c>
      <c r="AF147" s="97">
        <v>1875.7484715679275</v>
      </c>
      <c r="AG147" s="97">
        <v>508.10171626463398</v>
      </c>
      <c r="AH147" s="97">
        <v>82776.430441976205</v>
      </c>
      <c r="AI147" s="97">
        <v>1274.1696176399803</v>
      </c>
      <c r="AJ147" s="97">
        <v>105181.9043684331</v>
      </c>
      <c r="AK147" s="97">
        <v>106902.30657858355</v>
      </c>
      <c r="AL147" s="97">
        <v>1720.4022101504415</v>
      </c>
      <c r="AM147" s="97">
        <v>84050.600059616205</v>
      </c>
    </row>
    <row r="148" spans="1:39" x14ac:dyDescent="0.25">
      <c r="A148" s="97">
        <v>146</v>
      </c>
      <c r="B148" s="97">
        <v>7.0416666666666663E-4</v>
      </c>
      <c r="C148" s="97">
        <v>272.72672271693574</v>
      </c>
      <c r="D148" s="97">
        <v>955.53701888907074</v>
      </c>
      <c r="E148" s="97">
        <v>815.69228318087869</v>
      </c>
      <c r="F148" s="97">
        <v>1003.1390351624426</v>
      </c>
      <c r="G148" s="97">
        <v>3662.8954704078478</v>
      </c>
      <c r="H148" s="97">
        <v>6728.2370868453299</v>
      </c>
      <c r="I148" s="97">
        <v>57</v>
      </c>
      <c r="J148" s="97">
        <v>45</v>
      </c>
      <c r="K148" s="97">
        <v>1485.4515497315765</v>
      </c>
      <c r="L148" s="97">
        <v>5204.4916295491385</v>
      </c>
      <c r="M148" s="97">
        <v>4442.8039690585192</v>
      </c>
      <c r="N148" s="97">
        <v>5105.1417397808636</v>
      </c>
      <c r="O148" s="97">
        <v>59375.535575311216</v>
      </c>
      <c r="P148" s="97">
        <v>190803.94784320268</v>
      </c>
      <c r="Q148" s="97">
        <v>14784.539757905111</v>
      </c>
      <c r="R148" s="97">
        <v>281201.91206453909</v>
      </c>
      <c r="S148" s="97">
        <v>36219252.283390023</v>
      </c>
      <c r="T148" s="97">
        <v>26286770.483289119</v>
      </c>
      <c r="U148" s="45">
        <v>0</v>
      </c>
      <c r="V148">
        <v>0</v>
      </c>
      <c r="W148">
        <v>7.0416666666666663E-4</v>
      </c>
      <c r="X148" s="97">
        <v>6728.2370868453299</v>
      </c>
      <c r="Y148" s="97">
        <v>12.15168572894982</v>
      </c>
      <c r="Z148" s="97">
        <v>2081.3803091040368</v>
      </c>
      <c r="AA148" s="97">
        <v>137.27823596310529</v>
      </c>
      <c r="AB148" s="97">
        <v>9.2768851370672039</v>
      </c>
      <c r="AC148" s="97">
        <v>561.52640253091647</v>
      </c>
      <c r="AD148" s="97">
        <v>185.74709162516629</v>
      </c>
      <c r="AE148" s="97">
        <v>1185.7808660876767</v>
      </c>
      <c r="AF148" s="97">
        <v>1891.9929844329347</v>
      </c>
      <c r="AG148" s="97">
        <v>513.46475509070183</v>
      </c>
      <c r="AH148" s="97">
        <v>82776.430441976205</v>
      </c>
      <c r="AI148" s="97">
        <v>1274.1696176399803</v>
      </c>
      <c r="AJ148" s="97">
        <v>105181.9043684331</v>
      </c>
      <c r="AK148" s="97">
        <v>106902.30657858355</v>
      </c>
      <c r="AL148" s="97">
        <v>1720.4022101504415</v>
      </c>
      <c r="AM148" s="97">
        <v>84050.600059616205</v>
      </c>
    </row>
    <row r="149" spans="1:39" x14ac:dyDescent="0.25">
      <c r="A149" s="97">
        <v>147</v>
      </c>
      <c r="B149" s="97">
        <v>7.0416666666666663E-4</v>
      </c>
      <c r="C149" s="97">
        <v>269.72133823530942</v>
      </c>
      <c r="D149" s="97">
        <v>950.6301580748227</v>
      </c>
      <c r="E149" s="97">
        <v>813.52197073273135</v>
      </c>
      <c r="F149" s="97">
        <v>1000.821596743571</v>
      </c>
      <c r="G149" s="97">
        <v>3654.1468090197795</v>
      </c>
      <c r="H149" s="97">
        <v>6738.4914202368427</v>
      </c>
      <c r="I149" s="97">
        <v>57</v>
      </c>
      <c r="J149" s="97">
        <v>45</v>
      </c>
      <c r="K149" s="97">
        <v>1469.0822222549853</v>
      </c>
      <c r="L149" s="97">
        <v>5177.7655943142008</v>
      </c>
      <c r="M149" s="97">
        <v>4430.9830005909434</v>
      </c>
      <c r="N149" s="97">
        <v>5093.3479094274899</v>
      </c>
      <c r="O149" s="97">
        <v>59233.719774210629</v>
      </c>
      <c r="P149" s="97">
        <v>190730.67800558908</v>
      </c>
      <c r="Q149" s="97">
        <v>14771.51841399735</v>
      </c>
      <c r="R149" s="97">
        <v>280907.0949203847</v>
      </c>
      <c r="S149" s="97">
        <v>36500159.378310405</v>
      </c>
      <c r="T149" s="97">
        <v>26439214.358934462</v>
      </c>
      <c r="U149" s="45">
        <v>0</v>
      </c>
      <c r="V149">
        <v>0</v>
      </c>
      <c r="W149">
        <v>7.0416666666666663E-4</v>
      </c>
      <c r="X149" s="97">
        <v>6738.4914202368427</v>
      </c>
      <c r="Y149" s="97">
        <v>12.122659198828707</v>
      </c>
      <c r="Z149" s="97">
        <v>2093.5029683028656</v>
      </c>
      <c r="AA149" s="97">
        <v>136.96658011289372</v>
      </c>
      <c r="AB149" s="97">
        <v>9.2553293713883598</v>
      </c>
      <c r="AC149" s="97">
        <v>561.56971329202031</v>
      </c>
      <c r="AD149" s="97">
        <v>185.58349662663923</v>
      </c>
      <c r="AE149" s="97">
        <v>1194.1708650109974</v>
      </c>
      <c r="AF149" s="97">
        <v>1908.2257585631121</v>
      </c>
      <c r="AG149" s="97">
        <v>518.81257859912057</v>
      </c>
      <c r="AH149" s="97">
        <v>82776.430441976205</v>
      </c>
      <c r="AI149" s="97">
        <v>1274.1696176399803</v>
      </c>
      <c r="AJ149" s="97">
        <v>105181.9043684331</v>
      </c>
      <c r="AK149" s="97">
        <v>106902.30657858355</v>
      </c>
      <c r="AL149" s="97">
        <v>1720.4022101504415</v>
      </c>
      <c r="AM149" s="97">
        <v>84050.600059616205</v>
      </c>
    </row>
    <row r="150" spans="1:39" x14ac:dyDescent="0.25">
      <c r="A150" s="97">
        <v>148</v>
      </c>
      <c r="B150" s="97">
        <v>7.0416666666666663E-4</v>
      </c>
      <c r="C150" s="97">
        <v>266.74907238537571</v>
      </c>
      <c r="D150" s="97">
        <v>945.73193958856382</v>
      </c>
      <c r="E150" s="97">
        <v>811.33999427980291</v>
      </c>
      <c r="F150" s="97">
        <v>998.50648245798925</v>
      </c>
      <c r="G150" s="97">
        <v>3645.4198460073912</v>
      </c>
      <c r="H150" s="97">
        <v>6748.7220642041293</v>
      </c>
      <c r="I150" s="97">
        <v>57</v>
      </c>
      <c r="J150" s="97">
        <v>45</v>
      </c>
      <c r="K150" s="97">
        <v>1452.8932809256796</v>
      </c>
      <c r="L150" s="97">
        <v>5151.0866309590438</v>
      </c>
      <c r="M150" s="97">
        <v>4419.0985021773258</v>
      </c>
      <c r="N150" s="97">
        <v>5081.565906975783</v>
      </c>
      <c r="O150" s="97">
        <v>59092.255703779818</v>
      </c>
      <c r="P150" s="97">
        <v>190651.27892855601</v>
      </c>
      <c r="Q150" s="97">
        <v>14758.154052136519</v>
      </c>
      <c r="R150" s="97">
        <v>280606.33300551015</v>
      </c>
      <c r="S150" s="97">
        <v>36780765.711315915</v>
      </c>
      <c r="T150" s="97">
        <v>26590863.145859182</v>
      </c>
      <c r="U150" s="45">
        <v>0</v>
      </c>
      <c r="V150">
        <v>0</v>
      </c>
      <c r="W150">
        <v>7.0416666666666663E-4</v>
      </c>
      <c r="X150" s="97">
        <v>6748.7220642041293</v>
      </c>
      <c r="Y150" s="97">
        <v>12.093704771570183</v>
      </c>
      <c r="Z150" s="97">
        <v>2105.5966730744358</v>
      </c>
      <c r="AA150" s="97">
        <v>136.65468986394148</v>
      </c>
      <c r="AB150" s="97">
        <v>9.2338264336003686</v>
      </c>
      <c r="AC150" s="97">
        <v>561.59081058857282</v>
      </c>
      <c r="AD150" s="97">
        <v>185.41559208664512</v>
      </c>
      <c r="AE150" s="97">
        <v>1202.5490208957028</v>
      </c>
      <c r="AF150" s="97">
        <v>1924.4463669716822</v>
      </c>
      <c r="AG150" s="97">
        <v>524.14520577003555</v>
      </c>
      <c r="AH150" s="97">
        <v>82776.430441976205</v>
      </c>
      <c r="AI150" s="97">
        <v>1274.1696176399803</v>
      </c>
      <c r="AJ150" s="97">
        <v>105181.9043684331</v>
      </c>
      <c r="AK150" s="97">
        <v>106902.30657858355</v>
      </c>
      <c r="AL150" s="97">
        <v>1720.4022101504415</v>
      </c>
      <c r="AM150" s="97">
        <v>84050.600059616205</v>
      </c>
    </row>
    <row r="151" spans="1:39" x14ac:dyDescent="0.25">
      <c r="A151" s="97">
        <v>149</v>
      </c>
      <c r="B151" s="97">
        <v>7.0416666666666663E-4</v>
      </c>
      <c r="C151" s="97">
        <v>263.8095602075856</v>
      </c>
      <c r="D151" s="97">
        <v>940.84263524367043</v>
      </c>
      <c r="E151" s="97">
        <v>809.1465493695996</v>
      </c>
      <c r="F151" s="97">
        <v>996.19354331665329</v>
      </c>
      <c r="G151" s="97">
        <v>3636.7144925580037</v>
      </c>
      <c r="H151" s="97">
        <v>6758.9290425050513</v>
      </c>
      <c r="I151" s="97">
        <v>57</v>
      </c>
      <c r="J151" s="97">
        <v>45</v>
      </c>
      <c r="K151" s="97">
        <v>1436.8827379306495</v>
      </c>
      <c r="L151" s="97">
        <v>5124.4562199605243</v>
      </c>
      <c r="M151" s="97">
        <v>4407.1515388997523</v>
      </c>
      <c r="N151" s="97">
        <v>5069.7949741956681</v>
      </c>
      <c r="O151" s="97">
        <v>58951.141924365242</v>
      </c>
      <c r="P151" s="97">
        <v>190565.87120429819</v>
      </c>
      <c r="Q151" s="97">
        <v>14744.454041332519</v>
      </c>
      <c r="R151" s="97">
        <v>280299.75264098257</v>
      </c>
      <c r="S151" s="97">
        <v>37061065.4639569</v>
      </c>
      <c r="T151" s="97">
        <v>26741717.68620098</v>
      </c>
      <c r="U151" s="45">
        <v>0</v>
      </c>
      <c r="V151">
        <v>0</v>
      </c>
      <c r="W151">
        <v>7.0416666666666663E-4</v>
      </c>
      <c r="X151" s="97">
        <v>6758.9290425050513</v>
      </c>
      <c r="Y151" s="97">
        <v>12.064822156902451</v>
      </c>
      <c r="Z151" s="97">
        <v>2117.6614952313384</v>
      </c>
      <c r="AA151" s="97">
        <v>136.34258979155288</v>
      </c>
      <c r="AB151" s="97">
        <v>9.2123761611277839</v>
      </c>
      <c r="AC151" s="97">
        <v>561.59011150481592</v>
      </c>
      <c r="AD151" s="97">
        <v>185.24347058650065</v>
      </c>
      <c r="AE151" s="97">
        <v>1210.915227870109</v>
      </c>
      <c r="AF151" s="97">
        <v>1940.6543915507214</v>
      </c>
      <c r="AG151" s="97">
        <v>529.46265587089658</v>
      </c>
      <c r="AH151" s="97">
        <v>82776.430441976205</v>
      </c>
      <c r="AI151" s="97">
        <v>1274.1696176399803</v>
      </c>
      <c r="AJ151" s="97">
        <v>105181.9043684331</v>
      </c>
      <c r="AK151" s="97">
        <v>106902.30657858355</v>
      </c>
      <c r="AL151" s="97">
        <v>1720.4022101504415</v>
      </c>
      <c r="AM151" s="97">
        <v>84050.600059616205</v>
      </c>
    </row>
    <row r="152" spans="1:39" x14ac:dyDescent="0.25">
      <c r="A152" s="97">
        <v>150</v>
      </c>
      <c r="B152" s="97">
        <v>7.0416666666666663E-4</v>
      </c>
      <c r="C152" s="97">
        <v>260.90244076415854</v>
      </c>
      <c r="D152" s="97">
        <v>935.96251089264388</v>
      </c>
      <c r="E152" s="97">
        <v>806.9418313445583</v>
      </c>
      <c r="F152" s="97">
        <v>993.88263403050314</v>
      </c>
      <c r="G152" s="97">
        <v>3628.0306587966934</v>
      </c>
      <c r="H152" s="97">
        <v>6769.1123773744657</v>
      </c>
      <c r="I152" s="97">
        <v>57</v>
      </c>
      <c r="J152" s="97">
        <v>45</v>
      </c>
      <c r="K152" s="97">
        <v>1421.0486273621168</v>
      </c>
      <c r="L152" s="97">
        <v>5097.8758093285996</v>
      </c>
      <c r="M152" s="97">
        <v>4395.143174723361</v>
      </c>
      <c r="N152" s="97">
        <v>5058.034371686902</v>
      </c>
      <c r="O152" s="97">
        <v>58810.376979094406</v>
      </c>
      <c r="P152" s="97">
        <v>190474.5733210945</v>
      </c>
      <c r="Q152" s="97">
        <v>14730.425608651907</v>
      </c>
      <c r="R152" s="97">
        <v>279987.47789194179</v>
      </c>
      <c r="S152" s="97">
        <v>37341052.941848844</v>
      </c>
      <c r="T152" s="97">
        <v>26891778.908285227</v>
      </c>
      <c r="U152" s="45">
        <v>0</v>
      </c>
      <c r="V152">
        <v>0</v>
      </c>
      <c r="W152">
        <v>7.0416666666666663E-4</v>
      </c>
      <c r="X152" s="97">
        <v>6769.1123773744657</v>
      </c>
      <c r="Y152" s="97">
        <v>12.036011060892518</v>
      </c>
      <c r="Z152" s="97">
        <v>2129.6975062922311</v>
      </c>
      <c r="AA152" s="97">
        <v>136.03030377476628</v>
      </c>
      <c r="AB152" s="97">
        <v>9.1909783872072843</v>
      </c>
      <c r="AC152" s="97">
        <v>561.56802611582918</v>
      </c>
      <c r="AD152" s="97">
        <v>185.06722292420261</v>
      </c>
      <c r="AE152" s="97">
        <v>1219.269382542552</v>
      </c>
      <c r="AF152" s="97">
        <v>1956.8494229066409</v>
      </c>
      <c r="AG152" s="97">
        <v>534.76494845000377</v>
      </c>
      <c r="AH152" s="97">
        <v>82776.430441976205</v>
      </c>
      <c r="AI152" s="97">
        <v>1274.1696176399803</v>
      </c>
      <c r="AJ152" s="97">
        <v>105181.9043684331</v>
      </c>
      <c r="AK152" s="97">
        <v>106902.30657858355</v>
      </c>
      <c r="AL152" s="97">
        <v>1720.4022101504415</v>
      </c>
      <c r="AM152" s="97">
        <v>84050.600059616205</v>
      </c>
    </row>
    <row r="153" spans="1:39" x14ac:dyDescent="0.25">
      <c r="A153" s="97">
        <v>151</v>
      </c>
      <c r="B153" s="97">
        <v>7.0416666666666663E-4</v>
      </c>
      <c r="C153" s="97">
        <v>258.02735709476372</v>
      </c>
      <c r="D153" s="97">
        <v>931.09182651675792</v>
      </c>
      <c r="E153" s="97">
        <v>804.72603530040033</v>
      </c>
      <c r="F153" s="97">
        <v>991.57361296786257</v>
      </c>
      <c r="G153" s="97">
        <v>3619.3682538296243</v>
      </c>
      <c r="H153" s="97">
        <v>6779.2720895620514</v>
      </c>
      <c r="I153" s="97">
        <v>57</v>
      </c>
      <c r="J153" s="97">
        <v>45</v>
      </c>
      <c r="K153" s="97">
        <v>1405.3890049761462</v>
      </c>
      <c r="L153" s="97">
        <v>5071.3468150946082</v>
      </c>
      <c r="M153" s="97">
        <v>4383.0744722695135</v>
      </c>
      <c r="N153" s="97">
        <v>5046.2833786622805</v>
      </c>
      <c r="O153" s="97">
        <v>58669.959394578211</v>
      </c>
      <c r="P153" s="97">
        <v>190377.50169814695</v>
      </c>
      <c r="Q153" s="97">
        <v>14716.075842066341</v>
      </c>
      <c r="R153" s="97">
        <v>279669.63060579402</v>
      </c>
      <c r="S153" s="97">
        <v>37620722.572454639</v>
      </c>
      <c r="T153" s="97">
        <v>27041047.824105814</v>
      </c>
      <c r="U153" s="45">
        <v>0</v>
      </c>
      <c r="V153">
        <v>0</v>
      </c>
      <c r="W153">
        <v>7.0416666666666663E-4</v>
      </c>
      <c r="X153" s="97">
        <v>6779.2720895620514</v>
      </c>
      <c r="Y153" s="97">
        <v>12.007271186091797</v>
      </c>
      <c r="Z153" s="97">
        <v>2141.7047774783227</v>
      </c>
      <c r="AA153" s="97">
        <v>135.71785501302318</v>
      </c>
      <c r="AB153" s="97">
        <v>9.1696329410143917</v>
      </c>
      <c r="AC153" s="97">
        <v>561.5249575984559</v>
      </c>
      <c r="AD153" s="97">
        <v>184.88693815021472</v>
      </c>
      <c r="AE153" s="97">
        <v>1227.6113839550533</v>
      </c>
      <c r="AF153" s="97">
        <v>1973.0310601987237</v>
      </c>
      <c r="AG153" s="97">
        <v>540.05210333017351</v>
      </c>
      <c r="AH153" s="97">
        <v>82776.430441976205</v>
      </c>
      <c r="AI153" s="97">
        <v>1274.1696176399803</v>
      </c>
      <c r="AJ153" s="97">
        <v>105181.9043684331</v>
      </c>
      <c r="AK153" s="97">
        <v>106902.30657858355</v>
      </c>
      <c r="AL153" s="97">
        <v>1720.4022101504415</v>
      </c>
      <c r="AM153" s="97">
        <v>84050.600059616205</v>
      </c>
    </row>
    <row r="154" spans="1:39" x14ac:dyDescent="0.25">
      <c r="A154" s="97">
        <v>152</v>
      </c>
      <c r="B154" s="97">
        <v>7.0416666666666663E-4</v>
      </c>
      <c r="C154" s="97">
        <v>255.18395617268936</v>
      </c>
      <c r="D154" s="97">
        <v>926.23083631452471</v>
      </c>
      <c r="E154" s="97">
        <v>802.49935604561779</v>
      </c>
      <c r="F154" s="97">
        <v>989.26634211186263</v>
      </c>
      <c r="G154" s="97">
        <v>3610.7271857867217</v>
      </c>
      <c r="H154" s="97">
        <v>6789.4081983696924</v>
      </c>
      <c r="I154" s="97">
        <v>57</v>
      </c>
      <c r="J154" s="97">
        <v>45</v>
      </c>
      <c r="K154" s="97">
        <v>1389.9019479539147</v>
      </c>
      <c r="L154" s="97">
        <v>5044.8706217931112</v>
      </c>
      <c r="M154" s="97">
        <v>4370.9464925951315</v>
      </c>
      <c r="N154" s="97">
        <v>5034.5412927309535</v>
      </c>
      <c r="O154" s="97">
        <v>58529.887681602762</v>
      </c>
      <c r="P154" s="97">
        <v>190274.77071985687</v>
      </c>
      <c r="Q154" s="97">
        <v>14701.411693233344</v>
      </c>
      <c r="R154" s="97">
        <v>279346.33044976607</v>
      </c>
      <c r="S154" s="97">
        <v>37900068.902904406</v>
      </c>
      <c r="T154" s="97">
        <v>27189525.526863772</v>
      </c>
      <c r="U154" s="45">
        <v>0</v>
      </c>
      <c r="V154">
        <v>0</v>
      </c>
      <c r="W154">
        <v>7.0416666666666663E-4</v>
      </c>
      <c r="X154" s="97">
        <v>6789.4081983696924</v>
      </c>
      <c r="Y154" s="97">
        <v>11.978602231679531</v>
      </c>
      <c r="Z154" s="97">
        <v>2153.6833797100021</v>
      </c>
      <c r="AA154" s="97">
        <v>135.40526604246972</v>
      </c>
      <c r="AB154" s="97">
        <v>9.1483396477885393</v>
      </c>
      <c r="AC154" s="97">
        <v>561.46130234053487</v>
      </c>
      <c r="AD154" s="97">
        <v>184.70270360240397</v>
      </c>
      <c r="AE154" s="97">
        <v>1235.9411335377829</v>
      </c>
      <c r="AF154" s="97">
        <v>1989.198910980653</v>
      </c>
      <c r="AG154" s="97">
        <v>545.32414060252188</v>
      </c>
      <c r="AH154" s="97">
        <v>82776.430441976205</v>
      </c>
      <c r="AI154" s="97">
        <v>1274.1696176399803</v>
      </c>
      <c r="AJ154" s="97">
        <v>105181.9043684331</v>
      </c>
      <c r="AK154" s="97">
        <v>106902.30657858355</v>
      </c>
      <c r="AL154" s="97">
        <v>1720.4022101504415</v>
      </c>
      <c r="AM154" s="97">
        <v>84050.600059616205</v>
      </c>
    </row>
    <row r="155" spans="1:39" x14ac:dyDescent="0.25">
      <c r="A155" s="97">
        <v>153</v>
      </c>
      <c r="B155" s="97">
        <v>7.0416666666666663E-4</v>
      </c>
      <c r="C155" s="97">
        <v>252.37188886149519</v>
      </c>
      <c r="D155" s="97">
        <v>921.37978878899401</v>
      </c>
      <c r="E155" s="97">
        <v>800.2619880620698</v>
      </c>
      <c r="F155" s="97">
        <v>986.96068701790148</v>
      </c>
      <c r="G155" s="97">
        <v>3602.1073618636879</v>
      </c>
      <c r="H155" s="97">
        <v>6799.520721688431</v>
      </c>
      <c r="I155" s="97">
        <v>57</v>
      </c>
      <c r="J155" s="97">
        <v>45</v>
      </c>
      <c r="K155" s="97">
        <v>1374.5855546656103</v>
      </c>
      <c r="L155" s="97">
        <v>5018.4485829373871</v>
      </c>
      <c r="M155" s="97">
        <v>4358.760294978073</v>
      </c>
      <c r="N155" s="97">
        <v>5022.8074296819368</v>
      </c>
      <c r="O155" s="97">
        <v>58390.160335810382</v>
      </c>
      <c r="P155" s="97">
        <v>190166.49276954692</v>
      </c>
      <c r="Q155" s="97">
        <v>14686.439980211459</v>
      </c>
      <c r="R155" s="97">
        <v>279017.6949478318</v>
      </c>
      <c r="S155" s="97">
        <v>38179086.597852238</v>
      </c>
      <c r="T155" s="97">
        <v>27337213.188562423</v>
      </c>
      <c r="U155" s="45">
        <v>0</v>
      </c>
      <c r="V155">
        <v>0</v>
      </c>
      <c r="W155">
        <v>7.0416666666666663E-4</v>
      </c>
      <c r="X155" s="97">
        <v>6799.520721688431</v>
      </c>
      <c r="Y155" s="97">
        <v>11.950003893604014</v>
      </c>
      <c r="Z155" s="97">
        <v>2165.633383603606</v>
      </c>
      <c r="AA155" s="97">
        <v>135.09255875189859</v>
      </c>
      <c r="AB155" s="97">
        <v>9.1270983289564747</v>
      </c>
      <c r="AC155" s="97">
        <v>561.37745004846363</v>
      </c>
      <c r="AD155" s="97">
        <v>184.51460494015276</v>
      </c>
      <c r="AE155" s="97">
        <v>1244.2585350643074</v>
      </c>
      <c r="AF155" s="97">
        <v>2005.3525910449709</v>
      </c>
      <c r="AG155" s="97">
        <v>550.58108062036547</v>
      </c>
      <c r="AH155" s="97">
        <v>82776.430441976205</v>
      </c>
      <c r="AI155" s="97">
        <v>1274.1696176399803</v>
      </c>
      <c r="AJ155" s="97">
        <v>105181.9043684331</v>
      </c>
      <c r="AK155" s="97">
        <v>106902.30657858355</v>
      </c>
      <c r="AL155" s="97">
        <v>1720.4022101504415</v>
      </c>
      <c r="AM155" s="97">
        <v>84050.600059616205</v>
      </c>
    </row>
    <row r="156" spans="1:39" x14ac:dyDescent="0.25">
      <c r="A156" s="97">
        <v>154</v>
      </c>
      <c r="B156" s="97">
        <v>7.0416666666666663E-4</v>
      </c>
      <c r="C156" s="97">
        <v>249.59080987214261</v>
      </c>
      <c r="D156" s="97">
        <v>916.5389268338995</v>
      </c>
      <c r="E156" s="97">
        <v>798.01412546666836</v>
      </c>
      <c r="F156" s="97">
        <v>984.65651677115079</v>
      </c>
      <c r="G156" s="97">
        <v>3593.5086883633649</v>
      </c>
      <c r="H156" s="97">
        <v>6809.6096760349828</v>
      </c>
      <c r="I156" s="97">
        <v>57</v>
      </c>
      <c r="J156" s="97">
        <v>45</v>
      </c>
      <c r="K156" s="97">
        <v>1359.4379444369367</v>
      </c>
      <c r="L156" s="97">
        <v>4992.0820214886389</v>
      </c>
      <c r="M156" s="97">
        <v>4346.5169367084536</v>
      </c>
      <c r="N156" s="97">
        <v>5011.0811232678479</v>
      </c>
      <c r="O156" s="97">
        <v>58250.775838370144</v>
      </c>
      <c r="P156" s="97">
        <v>190052.77826263878</v>
      </c>
      <c r="Q156" s="97">
        <v>14671.167390111827</v>
      </c>
      <c r="R156" s="97">
        <v>278683.8395170226</v>
      </c>
      <c r="S156" s="97">
        <v>38457770.437369257</v>
      </c>
      <c r="T156" s="97">
        <v>27484112.057657845</v>
      </c>
      <c r="U156" s="45">
        <v>0</v>
      </c>
      <c r="V156">
        <v>0</v>
      </c>
      <c r="W156">
        <v>7.0416666666666663E-4</v>
      </c>
      <c r="X156" s="97">
        <v>6809.6096760349828</v>
      </c>
      <c r="Y156" s="97">
        <v>11.921475864721657</v>
      </c>
      <c r="Z156" s="97">
        <v>2177.5548594683278</v>
      </c>
      <c r="AA156" s="97">
        <v>134.77975439833887</v>
      </c>
      <c r="AB156" s="97">
        <v>9.1059088022540351</v>
      </c>
      <c r="AC156" s="97">
        <v>561.27378385311852</v>
      </c>
      <c r="AD156" s="97">
        <v>184.32272617767231</v>
      </c>
      <c r="AE156" s="97">
        <v>1252.5634946076084</v>
      </c>
      <c r="AF156" s="97">
        <v>2021.4917242704093</v>
      </c>
      <c r="AG156" s="97">
        <v>555.8229439932345</v>
      </c>
      <c r="AH156" s="97">
        <v>82776.430441976205</v>
      </c>
      <c r="AI156" s="97">
        <v>1274.1696176399803</v>
      </c>
      <c r="AJ156" s="97">
        <v>105181.9043684331</v>
      </c>
      <c r="AK156" s="97">
        <v>106902.30657858355</v>
      </c>
      <c r="AL156" s="97">
        <v>1720.4022101504415</v>
      </c>
      <c r="AM156" s="97">
        <v>84050.600059616205</v>
      </c>
    </row>
    <row r="157" spans="1:39" x14ac:dyDescent="0.25">
      <c r="A157" s="97">
        <v>155</v>
      </c>
      <c r="B157" s="97">
        <v>7.0416666666666663E-4</v>
      </c>
      <c r="C157" s="97">
        <v>246.84037772059716</v>
      </c>
      <c r="D157" s="97">
        <v>911.70848781866755</v>
      </c>
      <c r="E157" s="97">
        <v>795.75596197413165</v>
      </c>
      <c r="F157" s="97">
        <v>982.35370394412132</v>
      </c>
      <c r="G157" s="97">
        <v>3584.9310707364498</v>
      </c>
      <c r="H157" s="97">
        <v>6819.6750765878196</v>
      </c>
      <c r="I157" s="97">
        <v>57</v>
      </c>
      <c r="J157" s="97">
        <v>45</v>
      </c>
      <c r="K157" s="97">
        <v>1344.4572573181858</v>
      </c>
      <c r="L157" s="97">
        <v>4965.7722303190094</v>
      </c>
      <c r="M157" s="97">
        <v>4334.2174728857699</v>
      </c>
      <c r="N157" s="97">
        <v>4999.3617249889576</v>
      </c>
      <c r="O157" s="97">
        <v>58111.732656637854</v>
      </c>
      <c r="P157" s="97">
        <v>189933.735679295</v>
      </c>
      <c r="Q157" s="97">
        <v>14655.60048168811</v>
      </c>
      <c r="R157" s="97">
        <v>278344.87750313291</v>
      </c>
      <c r="S157" s="97">
        <v>38736115.314872392</v>
      </c>
      <c r="T157" s="97">
        <v>27630223.456763487</v>
      </c>
      <c r="U157" s="45">
        <v>0</v>
      </c>
      <c r="V157">
        <v>0</v>
      </c>
      <c r="W157">
        <v>7.0416666666666663E-4</v>
      </c>
      <c r="X157" s="97">
        <v>6819.6750765878196</v>
      </c>
      <c r="Y157" s="97">
        <v>11.893017834933872</v>
      </c>
      <c r="Z157" s="97">
        <v>2189.4478773032615</v>
      </c>
      <c r="AA157" s="97">
        <v>134.46687362230188</v>
      </c>
      <c r="AB157" s="97">
        <v>9.08477088184625</v>
      </c>
      <c r="AC157" s="97">
        <v>561.15068041415748</v>
      </c>
      <c r="AD157" s="97">
        <v>184.12714971654137</v>
      </c>
      <c r="AE157" s="97">
        <v>1260.8559204968633</v>
      </c>
      <c r="AF157" s="97">
        <v>2037.6159424720327</v>
      </c>
      <c r="AG157" s="97">
        <v>561.04975158099876</v>
      </c>
      <c r="AH157" s="97">
        <v>82776.430441976205</v>
      </c>
      <c r="AI157" s="97">
        <v>1274.1696176399803</v>
      </c>
      <c r="AJ157" s="97">
        <v>105181.9043684331</v>
      </c>
      <c r="AK157" s="97">
        <v>106902.30657858355</v>
      </c>
      <c r="AL157" s="97">
        <v>1720.4022101504415</v>
      </c>
      <c r="AM157" s="97">
        <v>84050.600059616205</v>
      </c>
    </row>
    <row r="158" spans="1:39" x14ac:dyDescent="0.25">
      <c r="A158" s="97">
        <v>156</v>
      </c>
      <c r="B158" s="97">
        <v>7.0416666666666663E-4</v>
      </c>
      <c r="C158" s="97">
        <v>244.12025468589832</v>
      </c>
      <c r="D158" s="97">
        <v>906.88870367230106</v>
      </c>
      <c r="E158" s="97">
        <v>793.48769086078619</v>
      </c>
      <c r="F158" s="97">
        <v>980.05212455429694</v>
      </c>
      <c r="G158" s="97">
        <v>3576.3744136215632</v>
      </c>
      <c r="H158" s="97">
        <v>6829.71693722282</v>
      </c>
      <c r="I158" s="97">
        <v>58</v>
      </c>
      <c r="J158" s="97">
        <v>45</v>
      </c>
      <c r="K158" s="97">
        <v>1329.6416538558594</v>
      </c>
      <c r="L158" s="97">
        <v>4939.520472668466</v>
      </c>
      <c r="M158" s="97">
        <v>4321.8629562217484</v>
      </c>
      <c r="N158" s="97">
        <v>4987.6486038775756</v>
      </c>
      <c r="O158" s="97">
        <v>57973.029244805541</v>
      </c>
      <c r="P158" s="97">
        <v>189809.47159653401</v>
      </c>
      <c r="Q158" s="97">
        <v>14639.745687866642</v>
      </c>
      <c r="R158" s="97">
        <v>278000.92021582986</v>
      </c>
      <c r="S158" s="97">
        <v>39014116.235088222</v>
      </c>
      <c r="T158" s="97">
        <v>27775548.780407723</v>
      </c>
      <c r="U158" s="45">
        <v>0</v>
      </c>
      <c r="V158">
        <v>0</v>
      </c>
      <c r="W158">
        <v>7.0416666666666663E-4</v>
      </c>
      <c r="X158" s="97">
        <v>6829.71693722282</v>
      </c>
      <c r="Y158" s="97">
        <v>11.864629491321821</v>
      </c>
      <c r="Z158" s="97">
        <v>2201.3125067945834</v>
      </c>
      <c r="AA158" s="97">
        <v>134.16394794105025</v>
      </c>
      <c r="AB158" s="97">
        <v>9.053672900085532</v>
      </c>
      <c r="AC158" s="97">
        <v>560.99849854436968</v>
      </c>
      <c r="AD158" s="97">
        <v>183.9279563774941</v>
      </c>
      <c r="AE158" s="97">
        <v>1269.1357232749706</v>
      </c>
      <c r="AF158" s="97">
        <v>2053.7248852541366</v>
      </c>
      <c r="AG158" s="97">
        <v>566.26152448810308</v>
      </c>
      <c r="AH158" s="97">
        <v>86787.499322582124</v>
      </c>
      <c r="AI158" s="97">
        <v>1372.5684507484957</v>
      </c>
      <c r="AJ158" s="97">
        <v>112385.20779177973</v>
      </c>
      <c r="AK158" s="97">
        <v>114282.32016884131</v>
      </c>
      <c r="AL158" s="97">
        <v>1897.1123770615645</v>
      </c>
      <c r="AM158" s="97">
        <v>88160.067773330637</v>
      </c>
    </row>
    <row r="159" spans="1:39" x14ac:dyDescent="0.25">
      <c r="A159" s="97">
        <v>157</v>
      </c>
      <c r="B159" s="97">
        <v>7.7999999999999999E-4</v>
      </c>
      <c r="C159" s="97">
        <v>241.41159431604427</v>
      </c>
      <c r="D159" s="97">
        <v>902.0110285727917</v>
      </c>
      <c r="E159" s="97">
        <v>791.14933211283915</v>
      </c>
      <c r="F159" s="97">
        <v>977.67733740240271</v>
      </c>
      <c r="G159" s="97">
        <v>3567.5674124916459</v>
      </c>
      <c r="H159" s="97">
        <v>6839.7352705484818</v>
      </c>
      <c r="I159" s="97">
        <v>58</v>
      </c>
      <c r="J159" s="97">
        <v>45</v>
      </c>
      <c r="K159" s="97">
        <v>1314.8884837080543</v>
      </c>
      <c r="L159" s="97">
        <v>4912.9534022931384</v>
      </c>
      <c r="M159" s="97">
        <v>4309.1266955745969</v>
      </c>
      <c r="N159" s="97">
        <v>4975.5629162637279</v>
      </c>
      <c r="O159" s="97">
        <v>57830.267756489586</v>
      </c>
      <c r="P159" s="97">
        <v>189665.67837804859</v>
      </c>
      <c r="Q159" s="97">
        <v>14622.499137503924</v>
      </c>
      <c r="R159" s="97">
        <v>277630.97676988161</v>
      </c>
      <c r="S159" s="97">
        <v>39291747.211858101</v>
      </c>
      <c r="T159" s="97">
        <v>27920078.508459464</v>
      </c>
      <c r="U159" s="45">
        <v>0</v>
      </c>
      <c r="V159">
        <v>0</v>
      </c>
      <c r="W159">
        <v>7.7999999999999999E-4</v>
      </c>
      <c r="X159" s="97">
        <v>6839.7352705484818</v>
      </c>
      <c r="Y159" s="97">
        <v>11.83631051827904</v>
      </c>
      <c r="Z159" s="97">
        <v>2213.1488173128623</v>
      </c>
      <c r="AA159" s="97">
        <v>133.85055615551011</v>
      </c>
      <c r="AB159" s="97">
        <v>9.0326608560182731</v>
      </c>
      <c r="AC159" s="97">
        <v>560.78525883618317</v>
      </c>
      <c r="AD159" s="97">
        <v>183.71127756145393</v>
      </c>
      <c r="AE159" s="97">
        <v>1277.4028156568127</v>
      </c>
      <c r="AF159" s="97">
        <v>2069.8182674626246</v>
      </c>
      <c r="AG159" s="97">
        <v>572.01793508850415</v>
      </c>
      <c r="AH159" s="97">
        <v>86787.499322582124</v>
      </c>
      <c r="AI159" s="97">
        <v>1372.5684507484957</v>
      </c>
      <c r="AJ159" s="97">
        <v>112385.20779177973</v>
      </c>
      <c r="AK159" s="97">
        <v>114282.32016884131</v>
      </c>
      <c r="AL159" s="97">
        <v>1897.1123770615645</v>
      </c>
      <c r="AM159" s="97">
        <v>88160.067773330637</v>
      </c>
    </row>
    <row r="160" spans="1:39" x14ac:dyDescent="0.25">
      <c r="A160" s="97">
        <v>158</v>
      </c>
      <c r="B160" s="97">
        <v>7.7999999999999999E-4</v>
      </c>
      <c r="C160" s="97">
        <v>238.73298815455021</v>
      </c>
      <c r="D160" s="97">
        <v>897.14519077436637</v>
      </c>
      <c r="E160" s="97">
        <v>788.80160092985795</v>
      </c>
      <c r="F160" s="97">
        <v>975.30390042861507</v>
      </c>
      <c r="G160" s="97">
        <v>3558.7824940337155</v>
      </c>
      <c r="H160" s="97">
        <v>6849.7293282170949</v>
      </c>
      <c r="I160" s="97">
        <v>58</v>
      </c>
      <c r="J160" s="97">
        <v>45</v>
      </c>
      <c r="K160" s="97">
        <v>1300.2990088151168</v>
      </c>
      <c r="L160" s="97">
        <v>4886.4508057510484</v>
      </c>
      <c r="M160" s="97">
        <v>4296.3393863979591</v>
      </c>
      <c r="N160" s="97">
        <v>4963.4840999312928</v>
      </c>
      <c r="O160" s="97">
        <v>57687.864228286533</v>
      </c>
      <c r="P160" s="97">
        <v>189516.87426391701</v>
      </c>
      <c r="Q160" s="97">
        <v>14604.979700002199</v>
      </c>
      <c r="R160" s="97">
        <v>277256.29149310116</v>
      </c>
      <c r="S160" s="97">
        <v>39569003.503351204</v>
      </c>
      <c r="T160" s="97">
        <v>28063814.282987412</v>
      </c>
      <c r="U160" s="45">
        <v>0</v>
      </c>
      <c r="V160">
        <v>0</v>
      </c>
      <c r="W160">
        <v>7.7999999999999999E-4</v>
      </c>
      <c r="X160" s="97">
        <v>6849.7293282170949</v>
      </c>
      <c r="Y160" s="97">
        <v>11.807163010760952</v>
      </c>
      <c r="Z160" s="97">
        <v>2224.9559803236234</v>
      </c>
      <c r="AA160" s="97">
        <v>133.53687622191984</v>
      </c>
      <c r="AB160" s="97">
        <v>9.0110825523027387</v>
      </c>
      <c r="AC160" s="97">
        <v>560.55395525995846</v>
      </c>
      <c r="AD160" s="97">
        <v>183.49117029966956</v>
      </c>
      <c r="AE160" s="97">
        <v>1285.6564851715352</v>
      </c>
      <c r="AF160" s="97">
        <v>2085.8945210468323</v>
      </c>
      <c r="AG160" s="97">
        <v>577.75730285051429</v>
      </c>
      <c r="AH160" s="97">
        <v>86787.499322582124</v>
      </c>
      <c r="AI160" s="97">
        <v>1372.5684507484957</v>
      </c>
      <c r="AJ160" s="97">
        <v>112385.20779177973</v>
      </c>
      <c r="AK160" s="97">
        <v>114282.32016884131</v>
      </c>
      <c r="AL160" s="97">
        <v>1897.1123770615645</v>
      </c>
      <c r="AM160" s="97">
        <v>88160.067773330637</v>
      </c>
    </row>
    <row r="161" spans="1:39" x14ac:dyDescent="0.25">
      <c r="A161" s="97">
        <v>159</v>
      </c>
      <c r="B161" s="97">
        <v>7.7999999999999999E-4</v>
      </c>
      <c r="C161" s="97">
        <v>236.08410273198223</v>
      </c>
      <c r="D161" s="97">
        <v>892.29140376779742</v>
      </c>
      <c r="E161" s="97">
        <v>786.44469123820681</v>
      </c>
      <c r="F161" s="97">
        <v>972.93169946536239</v>
      </c>
      <c r="G161" s="97">
        <v>3550.0195558107644</v>
      </c>
      <c r="H161" s="97">
        <v>6859.6991240305115</v>
      </c>
      <c r="I161" s="97">
        <v>58</v>
      </c>
      <c r="J161" s="97">
        <v>45</v>
      </c>
      <c r="K161" s="97">
        <v>1285.8714128801964</v>
      </c>
      <c r="L161" s="97">
        <v>4860.0138458552692</v>
      </c>
      <c r="M161" s="97">
        <v>4283.5020849440998</v>
      </c>
      <c r="N161" s="97">
        <v>4951.4115738624732</v>
      </c>
      <c r="O161" s="97">
        <v>57545.816999692492</v>
      </c>
      <c r="P161" s="97">
        <v>189363.16232590657</v>
      </c>
      <c r="Q161" s="97">
        <v>14587.193479074283</v>
      </c>
      <c r="R161" s="97">
        <v>276876.97172221536</v>
      </c>
      <c r="S161" s="97">
        <v>39845880.47507342</v>
      </c>
      <c r="T161" s="97">
        <v>28206757.811746299</v>
      </c>
      <c r="U161" s="45">
        <v>0</v>
      </c>
      <c r="V161">
        <v>0</v>
      </c>
      <c r="W161">
        <v>7.7999999999999999E-4</v>
      </c>
      <c r="X161" s="97">
        <v>6859.6991240305115</v>
      </c>
      <c r="Y161" s="97">
        <v>11.778088587694455</v>
      </c>
      <c r="Z161" s="97">
        <v>2236.734068911318</v>
      </c>
      <c r="AA161" s="97">
        <v>133.22293423899296</v>
      </c>
      <c r="AB161" s="97">
        <v>8.9895579288914274</v>
      </c>
      <c r="AC161" s="97">
        <v>560.30493920932372</v>
      </c>
      <c r="AD161" s="97">
        <v>183.26771127676719</v>
      </c>
      <c r="AE161" s="97">
        <v>1293.8966503649488</v>
      </c>
      <c r="AF161" s="97">
        <v>2101.9533078329282</v>
      </c>
      <c r="AG161" s="97">
        <v>583.47965442787438</v>
      </c>
      <c r="AH161" s="97">
        <v>86787.499322582124</v>
      </c>
      <c r="AI161" s="97">
        <v>1372.5684507484957</v>
      </c>
      <c r="AJ161" s="97">
        <v>112385.20779177973</v>
      </c>
      <c r="AK161" s="97">
        <v>114282.32016884131</v>
      </c>
      <c r="AL161" s="97">
        <v>1897.1123770615645</v>
      </c>
      <c r="AM161" s="97">
        <v>88160.067773330637</v>
      </c>
    </row>
    <row r="162" spans="1:39" x14ac:dyDescent="0.25">
      <c r="A162" s="97">
        <v>160</v>
      </c>
      <c r="B162" s="97">
        <v>7.7999999999999999E-4</v>
      </c>
      <c r="C162" s="97">
        <v>233.46460827894941</v>
      </c>
      <c r="D162" s="97">
        <v>887.4498758628456</v>
      </c>
      <c r="E162" s="97">
        <v>784.07879633264872</v>
      </c>
      <c r="F162" s="97">
        <v>970.56062365606317</v>
      </c>
      <c r="G162" s="97">
        <v>3541.278494757943</v>
      </c>
      <c r="H162" s="97">
        <v>6869.6446706235347</v>
      </c>
      <c r="I162" s="97">
        <v>58</v>
      </c>
      <c r="J162" s="97">
        <v>45</v>
      </c>
      <c r="K162" s="97">
        <v>1271.6038997593444</v>
      </c>
      <c r="L162" s="97">
        <v>4833.6436571996319</v>
      </c>
      <c r="M162" s="97">
        <v>4270.6158440251602</v>
      </c>
      <c r="N162" s="97">
        <v>4939.3447738896475</v>
      </c>
      <c r="O162" s="97">
        <v>57404.12440002626</v>
      </c>
      <c r="P162" s="97">
        <v>189204.64379636021</v>
      </c>
      <c r="Q162" s="97">
        <v>14569.14646313483</v>
      </c>
      <c r="R162" s="97">
        <v>276493.12283439509</v>
      </c>
      <c r="S162" s="97">
        <v>40122373.597907811</v>
      </c>
      <c r="T162" s="97">
        <v>28348910.866093837</v>
      </c>
      <c r="U162" s="45">
        <v>0</v>
      </c>
      <c r="V162">
        <v>0</v>
      </c>
      <c r="W162">
        <v>7.7999999999999999E-4</v>
      </c>
      <c r="X162" s="97">
        <v>6869.6446706235347</v>
      </c>
      <c r="Y162" s="97">
        <v>11.7490869100557</v>
      </c>
      <c r="Z162" s="97">
        <v>2248.4831558213737</v>
      </c>
      <c r="AA162" s="97">
        <v>132.90875557249205</v>
      </c>
      <c r="AB162" s="97">
        <v>8.9680867733578697</v>
      </c>
      <c r="AC162" s="97">
        <v>560.03855607410935</v>
      </c>
      <c r="AD162" s="97">
        <v>183.0409757288125</v>
      </c>
      <c r="AE162" s="97">
        <v>1302.1232318714203</v>
      </c>
      <c r="AF162" s="97">
        <v>2117.9942970188249</v>
      </c>
      <c r="AG162" s="97">
        <v>589.18501671731087</v>
      </c>
      <c r="AH162" s="97">
        <v>86787.499322582124</v>
      </c>
      <c r="AI162" s="97">
        <v>1372.5684507484957</v>
      </c>
      <c r="AJ162" s="97">
        <v>112385.20779177973</v>
      </c>
      <c r="AK162" s="97">
        <v>114282.32016884131</v>
      </c>
      <c r="AL162" s="97">
        <v>1897.1123770615645</v>
      </c>
      <c r="AM162" s="97">
        <v>88160.067773330637</v>
      </c>
    </row>
    <row r="163" spans="1:39" x14ac:dyDescent="0.25">
      <c r="A163" s="97">
        <v>161</v>
      </c>
      <c r="B163" s="97">
        <v>7.7999999999999999E-4</v>
      </c>
      <c r="C163" s="97">
        <v>230.87417868504971</v>
      </c>
      <c r="D163" s="97">
        <v>882.62081026868077</v>
      </c>
      <c r="E163" s="97">
        <v>781.70410884531964</v>
      </c>
      <c r="F163" s="97">
        <v>968.19056541200518</v>
      </c>
      <c r="G163" s="97">
        <v>3532.5592072197128</v>
      </c>
      <c r="H163" s="97">
        <v>6879.5659794977646</v>
      </c>
      <c r="I163" s="97">
        <v>58</v>
      </c>
      <c r="J163" s="97">
        <v>45</v>
      </c>
      <c r="K163" s="97">
        <v>1257.4946932379041</v>
      </c>
      <c r="L163" s="97">
        <v>4807.3413465967478</v>
      </c>
      <c r="M163" s="97">
        <v>4257.6817128441744</v>
      </c>
      <c r="N163" s="97">
        <v>4927.2831524759295</v>
      </c>
      <c r="O163" s="97">
        <v>57262.784749031547</v>
      </c>
      <c r="P163" s="97">
        <v>189041.4180992964</v>
      </c>
      <c r="Q163" s="97">
        <v>14550.844527422252</v>
      </c>
      <c r="R163" s="97">
        <v>276104.84828090493</v>
      </c>
      <c r="S163" s="97">
        <v>40398478.446188718</v>
      </c>
      <c r="T163" s="97">
        <v>28490275.278956633</v>
      </c>
      <c r="U163" s="45">
        <v>0</v>
      </c>
      <c r="V163">
        <v>0</v>
      </c>
      <c r="W163">
        <v>7.7999999999999999E-4</v>
      </c>
      <c r="X163" s="97">
        <v>6879.5659794977646</v>
      </c>
      <c r="Y163" s="97">
        <v>11.720157636742938</v>
      </c>
      <c r="Z163" s="97">
        <v>2260.2033134581166</v>
      </c>
      <c r="AA163" s="97">
        <v>132.59436487300434</v>
      </c>
      <c r="AB163" s="97">
        <v>8.9466688704510133</v>
      </c>
      <c r="AC163" s="97">
        <v>559.75514533647299</v>
      </c>
      <c r="AD163" s="97">
        <v>182.81103746996988</v>
      </c>
      <c r="AE163" s="97">
        <v>1310.3361523737181</v>
      </c>
      <c r="AF163" s="97">
        <v>2134.0171650371876</v>
      </c>
      <c r="AG163" s="97">
        <v>594.87341685259673</v>
      </c>
      <c r="AH163" s="97">
        <v>86787.499322582124</v>
      </c>
      <c r="AI163" s="97">
        <v>1372.5684507484957</v>
      </c>
      <c r="AJ163" s="97">
        <v>112385.20779177973</v>
      </c>
      <c r="AK163" s="97">
        <v>114282.32016884131</v>
      </c>
      <c r="AL163" s="97">
        <v>1897.1123770615645</v>
      </c>
      <c r="AM163" s="97">
        <v>88160.067773330637</v>
      </c>
    </row>
    <row r="164" spans="1:39" x14ac:dyDescent="0.25">
      <c r="A164" s="97">
        <v>162</v>
      </c>
      <c r="B164" s="97">
        <v>7.7999999999999999E-4</v>
      </c>
      <c r="C164" s="97">
        <v>228.31249145827115</v>
      </c>
      <c r="D164" s="97">
        <v>877.80440517322324</v>
      </c>
      <c r="E164" s="97">
        <v>779.32082071564821</v>
      </c>
      <c r="F164" s="97">
        <v>965.82142036937023</v>
      </c>
      <c r="G164" s="97">
        <v>3523.861588986359</v>
      </c>
      <c r="H164" s="97">
        <v>6889.4630610550021</v>
      </c>
      <c r="I164" s="97">
        <v>58</v>
      </c>
      <c r="J164" s="97">
        <v>45</v>
      </c>
      <c r="K164" s="97">
        <v>1243.5420368093835</v>
      </c>
      <c r="L164" s="97">
        <v>4781.1079935101552</v>
      </c>
      <c r="M164" s="97">
        <v>4244.7007368312306</v>
      </c>
      <c r="N164" s="97">
        <v>4915.226178496453</v>
      </c>
      <c r="O164" s="97">
        <v>57121.796357468884</v>
      </c>
      <c r="P164" s="97">
        <v>188873.58288099695</v>
      </c>
      <c r="Q164" s="97">
        <v>14532.293436079324</v>
      </c>
      <c r="R164" s="97">
        <v>275712.24962019239</v>
      </c>
      <c r="S164" s="97">
        <v>40674190.69580891</v>
      </c>
      <c r="T164" s="97">
        <v>28630852.942844011</v>
      </c>
      <c r="U164" s="45">
        <v>0</v>
      </c>
      <c r="V164">
        <v>0</v>
      </c>
      <c r="W164">
        <v>7.7999999999999999E-4</v>
      </c>
      <c r="X164" s="97">
        <v>6889.4630610550021</v>
      </c>
      <c r="Y164" s="97">
        <v>11.691300424699486</v>
      </c>
      <c r="Z164" s="97">
        <v>2271.894613882816</v>
      </c>
      <c r="AA164" s="97">
        <v>132.27978609331728</v>
      </c>
      <c r="AB164" s="97">
        <v>8.9253040022048467</v>
      </c>
      <c r="AC164" s="97">
        <v>559.45504066554986</v>
      </c>
      <c r="AD164" s="97">
        <v>182.57796891864217</v>
      </c>
      <c r="AE164" s="97">
        <v>1318.5353365635644</v>
      </c>
      <c r="AF164" s="97">
        <v>2150.0215954208957</v>
      </c>
      <c r="AG164" s="97">
        <v>600.54488219872269</v>
      </c>
      <c r="AH164" s="97">
        <v>86787.499322582124</v>
      </c>
      <c r="AI164" s="97">
        <v>1372.5684507484957</v>
      </c>
      <c r="AJ164" s="97">
        <v>112385.20779177973</v>
      </c>
      <c r="AK164" s="97">
        <v>114282.32016884131</v>
      </c>
      <c r="AL164" s="97">
        <v>1897.1123770615645</v>
      </c>
      <c r="AM164" s="97">
        <v>88160.067773330637</v>
      </c>
    </row>
    <row r="165" spans="1:39" x14ac:dyDescent="0.25">
      <c r="A165" s="97">
        <v>163</v>
      </c>
      <c r="B165" s="97">
        <v>7.7999999999999999E-4</v>
      </c>
      <c r="C165" s="97">
        <v>225.77922768484376</v>
      </c>
      <c r="D165" s="97">
        <v>873.00085382141935</v>
      </c>
      <c r="E165" s="97">
        <v>776.92912316120305</v>
      </c>
      <c r="F165" s="97">
        <v>963.45308734641287</v>
      </c>
      <c r="G165" s="97">
        <v>3515.1855353298738</v>
      </c>
      <c r="H165" s="97">
        <v>6899.3359246302171</v>
      </c>
      <c r="I165" s="97">
        <v>58</v>
      </c>
      <c r="J165" s="97">
        <v>45</v>
      </c>
      <c r="K165" s="97">
        <v>1229.7441934567823</v>
      </c>
      <c r="L165" s="97">
        <v>4754.9446504806638</v>
      </c>
      <c r="M165" s="97">
        <v>4231.6739574846861</v>
      </c>
      <c r="N165" s="97">
        <v>4903.1733370204529</v>
      </c>
      <c r="O165" s="97">
        <v>56981.157527697258</v>
      </c>
      <c r="P165" s="97">
        <v>188701.23404009195</v>
      </c>
      <c r="Q165" s="97">
        <v>14513.498844193386</v>
      </c>
      <c r="R165" s="97">
        <v>275315.42655042518</v>
      </c>
      <c r="S165" s="97">
        <v>40949506.122359335</v>
      </c>
      <c r="T165" s="97">
        <v>28770645.807908684</v>
      </c>
      <c r="U165" s="45">
        <v>0</v>
      </c>
      <c r="V165">
        <v>0</v>
      </c>
      <c r="W165">
        <v>7.7999999999999999E-4</v>
      </c>
      <c r="X165" s="97">
        <v>6899.3359246302171</v>
      </c>
      <c r="Y165" s="97">
        <v>11.66251492903457</v>
      </c>
      <c r="Z165" s="97">
        <v>2283.5571288118504</v>
      </c>
      <c r="AA165" s="97">
        <v>131.96504250540369</v>
      </c>
      <c r="AB165" s="97">
        <v>8.9039919480463716</v>
      </c>
      <c r="AC165" s="97">
        <v>559.13857001065094</v>
      </c>
      <c r="AD165" s="97">
        <v>182.34184112310302</v>
      </c>
      <c r="AE165" s="97">
        <v>1326.7207111028893</v>
      </c>
      <c r="AF165" s="97">
        <v>2166.0072786709097</v>
      </c>
      <c r="AG165" s="97">
        <v>606.19944034617936</v>
      </c>
      <c r="AH165" s="97">
        <v>86787.499322582124</v>
      </c>
      <c r="AI165" s="97">
        <v>1372.5684507484957</v>
      </c>
      <c r="AJ165" s="97">
        <v>112385.20779177973</v>
      </c>
      <c r="AK165" s="97">
        <v>114282.32016884131</v>
      </c>
      <c r="AL165" s="97">
        <v>1897.1123770615645</v>
      </c>
      <c r="AM165" s="97">
        <v>88160.067773330637</v>
      </c>
    </row>
    <row r="166" spans="1:39" x14ac:dyDescent="0.25">
      <c r="A166" s="97">
        <v>164</v>
      </c>
      <c r="B166" s="97">
        <v>7.7999999999999999E-4</v>
      </c>
      <c r="C166" s="97">
        <v>223.27407198953671</v>
      </c>
      <c r="D166" s="97">
        <v>868.21034459246437</v>
      </c>
      <c r="E166" s="97">
        <v>774.52920664944941</v>
      </c>
      <c r="F166" s="97">
        <v>961.08546830080138</v>
      </c>
      <c r="G166" s="97">
        <v>3506.5309410392128</v>
      </c>
      <c r="H166" s="97">
        <v>6909.1845785240739</v>
      </c>
      <c r="I166" s="97">
        <v>58</v>
      </c>
      <c r="J166" s="97">
        <v>45</v>
      </c>
      <c r="K166" s="97">
        <v>1216.0994454363431</v>
      </c>
      <c r="L166" s="97">
        <v>4728.852343546956</v>
      </c>
      <c r="M166" s="97">
        <v>4218.6024122173339</v>
      </c>
      <c r="N166" s="97">
        <v>4891.1241290941616</v>
      </c>
      <c r="O166" s="97">
        <v>56840.866554245644</v>
      </c>
      <c r="P166" s="97">
        <v>188524.46575714974</v>
      </c>
      <c r="Q166" s="97">
        <v>14494.466299797119</v>
      </c>
      <c r="R166" s="97">
        <v>274914.47694148729</v>
      </c>
      <c r="S166" s="97">
        <v>41224420.599300824</v>
      </c>
      <c r="T166" s="97">
        <v>28909655.880053274</v>
      </c>
      <c r="U166" s="45">
        <v>0</v>
      </c>
      <c r="V166">
        <v>0</v>
      </c>
      <c r="W166">
        <v>7.7999999999999999E-4</v>
      </c>
      <c r="X166" s="97">
        <v>6909.1845785240739</v>
      </c>
      <c r="Y166" s="97">
        <v>11.63380080314208</v>
      </c>
      <c r="Z166" s="97">
        <v>2295.1909296149925</v>
      </c>
      <c r="AA166" s="97">
        <v>131.65015671702426</v>
      </c>
      <c r="AB166" s="97">
        <v>8.8827324849019558</v>
      </c>
      <c r="AC166" s="97">
        <v>558.80605569303179</v>
      </c>
      <c r="AD166" s="97">
        <v>182.10272378663382</v>
      </c>
      <c r="AE166" s="97">
        <v>1334.8922045857673</v>
      </c>
      <c r="AF166" s="97">
        <v>2181.9739121264993</v>
      </c>
      <c r="AG166" s="97">
        <v>611.83711910534601</v>
      </c>
      <c r="AH166" s="97">
        <v>86787.499322582124</v>
      </c>
      <c r="AI166" s="97">
        <v>1372.5684507484957</v>
      </c>
      <c r="AJ166" s="97">
        <v>112385.20779177973</v>
      </c>
      <c r="AK166" s="97">
        <v>114282.32016884131</v>
      </c>
      <c r="AL166" s="97">
        <v>1897.1123770615645</v>
      </c>
      <c r="AM166" s="97">
        <v>88160.067773330637</v>
      </c>
    </row>
    <row r="167" spans="1:39" x14ac:dyDescent="0.25">
      <c r="A167" s="97">
        <v>165</v>
      </c>
      <c r="B167" s="97">
        <v>7.7999999999999999E-4</v>
      </c>
      <c r="C167" s="97">
        <v>220.79671249639617</v>
      </c>
      <c r="D167" s="97">
        <v>863.43306107598607</v>
      </c>
      <c r="E167" s="97">
        <v>772.12126087039576</v>
      </c>
      <c r="F167" s="97">
        <v>958.7184682871291</v>
      </c>
      <c r="G167" s="97">
        <v>3497.8977004549288</v>
      </c>
      <c r="H167" s="97">
        <v>6919.0090300350239</v>
      </c>
      <c r="I167" s="97">
        <v>58</v>
      </c>
      <c r="J167" s="97">
        <v>45</v>
      </c>
      <c r="K167" s="97">
        <v>1202.6060940637044</v>
      </c>
      <c r="L167" s="97">
        <v>4702.8320726605371</v>
      </c>
      <c r="M167" s="97">
        <v>4205.4871342074221</v>
      </c>
      <c r="N167" s="97">
        <v>4879.078071524581</v>
      </c>
      <c r="O167" s="97">
        <v>56700.921724374399</v>
      </c>
      <c r="P167" s="97">
        <v>188343.37052378067</v>
      </c>
      <c r="Q167" s="97">
        <v>14475.201245830804</v>
      </c>
      <c r="R167" s="97">
        <v>274509.49686644215</v>
      </c>
      <c r="S167" s="97">
        <v>41498930.096167266</v>
      </c>
      <c r="T167" s="97">
        <v>29047885.219081666</v>
      </c>
      <c r="U167" s="45">
        <v>0</v>
      </c>
      <c r="V167">
        <v>0</v>
      </c>
      <c r="W167">
        <v>7.7999999999999999E-4</v>
      </c>
      <c r="X167" s="97">
        <v>6919.0090300350239</v>
      </c>
      <c r="Y167" s="97">
        <v>11.605157698817257</v>
      </c>
      <c r="Z167" s="97">
        <v>2306.7960873138095</v>
      </c>
      <c r="AA167" s="97">
        <v>131.33515068795666</v>
      </c>
      <c r="AB167" s="97">
        <v>8.8615253873020574</v>
      </c>
      <c r="AC167" s="97">
        <v>558.45781449625338</v>
      </c>
      <c r="AD167" s="97">
        <v>181.8606852921767</v>
      </c>
      <c r="AE167" s="97">
        <v>1343.0497475010343</v>
      </c>
      <c r="AF167" s="97">
        <v>2197.9211998377923</v>
      </c>
      <c r="AG167" s="97">
        <v>617.45794650098514</v>
      </c>
      <c r="AH167" s="97">
        <v>86787.499322582124</v>
      </c>
      <c r="AI167" s="97">
        <v>1372.5684507484957</v>
      </c>
      <c r="AJ167" s="97">
        <v>112385.20779177973</v>
      </c>
      <c r="AK167" s="97">
        <v>114282.32016884131</v>
      </c>
      <c r="AL167" s="97">
        <v>1897.1123770615645</v>
      </c>
      <c r="AM167" s="97">
        <v>88160.067773330637</v>
      </c>
    </row>
    <row r="168" spans="1:39" x14ac:dyDescent="0.25">
      <c r="A168" s="97">
        <v>166</v>
      </c>
      <c r="B168" s="97">
        <v>7.7999999999999999E-4</v>
      </c>
      <c r="C168" s="97">
        <v>218.34684078991876</v>
      </c>
      <c r="D168" s="97">
        <v>858.66918214720226</v>
      </c>
      <c r="E168" s="97">
        <v>769.70547471011446</v>
      </c>
      <c r="F168" s="97">
        <v>956.35199541460315</v>
      </c>
      <c r="G168" s="97">
        <v>3489.2857075031898</v>
      </c>
      <c r="H168" s="97">
        <v>6928.8092854909628</v>
      </c>
      <c r="I168" s="97">
        <v>58</v>
      </c>
      <c r="J168" s="97">
        <v>45</v>
      </c>
      <c r="K168" s="97">
        <v>1189.262459502424</v>
      </c>
      <c r="L168" s="97">
        <v>4676.8848120950943</v>
      </c>
      <c r="M168" s="97">
        <v>4192.3291522544232</v>
      </c>
      <c r="N168" s="97">
        <v>4867.0346966641509</v>
      </c>
      <c r="O168" s="97">
        <v>56561.321318626709</v>
      </c>
      <c r="P168" s="97">
        <v>188158.03917126235</v>
      </c>
      <c r="Q168" s="97">
        <v>14455.70902206694</v>
      </c>
      <c r="R168" s="97">
        <v>274100.58063247212</v>
      </c>
      <c r="S168" s="97">
        <v>41773030.676799737</v>
      </c>
      <c r="T168" s="97">
        <v>29185335.936894253</v>
      </c>
      <c r="U168" s="45">
        <v>0</v>
      </c>
      <c r="V168">
        <v>0</v>
      </c>
      <c r="W168">
        <v>7.7999999999999999E-4</v>
      </c>
      <c r="X168" s="97">
        <v>6928.8092854909628</v>
      </c>
      <c r="Y168" s="97">
        <v>11.576585266371316</v>
      </c>
      <c r="Z168" s="97">
        <v>2318.3726725801807</v>
      </c>
      <c r="AA168" s="97">
        <v>131.02004574585885</v>
      </c>
      <c r="AB168" s="97">
        <v>8.8403704274843449</v>
      </c>
      <c r="AC168" s="97">
        <v>558.09415775515686</v>
      </c>
      <c r="AD168" s="97">
        <v>181.61579272651474</v>
      </c>
      <c r="AE168" s="97">
        <v>1351.1932721955648</v>
      </c>
      <c r="AF168" s="97">
        <v>2213.8488524406002</v>
      </c>
      <c r="AG168" s="97">
        <v>623.06195076684082</v>
      </c>
      <c r="AH168" s="97">
        <v>86787.499322582124</v>
      </c>
      <c r="AI168" s="97">
        <v>1372.5684507484957</v>
      </c>
      <c r="AJ168" s="97">
        <v>112385.20779177973</v>
      </c>
      <c r="AK168" s="97">
        <v>114282.32016884131</v>
      </c>
      <c r="AL168" s="97">
        <v>1897.1123770615645</v>
      </c>
      <c r="AM168" s="97">
        <v>88160.067773330637</v>
      </c>
    </row>
    <row r="169" spans="1:39" x14ac:dyDescent="0.25">
      <c r="A169" s="97">
        <v>167</v>
      </c>
      <c r="B169" s="97">
        <v>7.7999999999999999E-4</v>
      </c>
      <c r="C169" s="97">
        <v>215.92415187665569</v>
      </c>
      <c r="D169" s="97">
        <v>853.91888204106465</v>
      </c>
      <c r="E169" s="97">
        <v>767.28203622511728</v>
      </c>
      <c r="F169" s="97">
        <v>953.98596080491791</v>
      </c>
      <c r="G169" s="97">
        <v>3480.6948557291857</v>
      </c>
      <c r="H169" s="97">
        <v>6938.5853502804575</v>
      </c>
      <c r="I169" s="97">
        <v>58</v>
      </c>
      <c r="J169" s="97">
        <v>45</v>
      </c>
      <c r="K169" s="97">
        <v>1176.0668805548512</v>
      </c>
      <c r="L169" s="97">
        <v>4651.0115108503314</v>
      </c>
      <c r="M169" s="97">
        <v>4179.1294906394714</v>
      </c>
      <c r="N169" s="97">
        <v>4854.9935521963607</v>
      </c>
      <c r="O169" s="97">
        <v>56422.063611370104</v>
      </c>
      <c r="P169" s="97">
        <v>187968.56089869476</v>
      </c>
      <c r="Q169" s="97">
        <v>14435.994866998102</v>
      </c>
      <c r="R169" s="97">
        <v>273687.82081130397</v>
      </c>
      <c r="S169" s="97">
        <v>42046718.497611038</v>
      </c>
      <c r="T169" s="97">
        <v>29322010.195726063</v>
      </c>
      <c r="U169" s="45">
        <v>0</v>
      </c>
      <c r="V169">
        <v>0</v>
      </c>
      <c r="W169">
        <v>7.7999999999999999E-4</v>
      </c>
      <c r="X169" s="97">
        <v>6938.5853502804575</v>
      </c>
      <c r="Y169" s="97">
        <v>11.548083154744029</v>
      </c>
      <c r="Z169" s="97">
        <v>2329.9207557349246</v>
      </c>
      <c r="AA169" s="97">
        <v>130.70486260177503</v>
      </c>
      <c r="AB169" s="97">
        <v>8.8192673754952118</v>
      </c>
      <c r="AC169" s="97">
        <v>557.71539144347332</v>
      </c>
      <c r="AD169" s="97">
        <v>181.36811190399024</v>
      </c>
      <c r="AE169" s="97">
        <v>1359.3227128382048</v>
      </c>
      <c r="AF169" s="97">
        <v>2229.7565870334806</v>
      </c>
      <c r="AG169" s="97">
        <v>628.64916034033899</v>
      </c>
      <c r="AH169" s="97">
        <v>86787.499322582124</v>
      </c>
      <c r="AI169" s="97">
        <v>1372.5684507484957</v>
      </c>
      <c r="AJ169" s="97">
        <v>112385.20779177973</v>
      </c>
      <c r="AK169" s="97">
        <v>114282.32016884131</v>
      </c>
      <c r="AL169" s="97">
        <v>1897.1123770615645</v>
      </c>
      <c r="AM169" s="97">
        <v>88160.067773330637</v>
      </c>
    </row>
    <row r="170" spans="1:39" x14ac:dyDescent="0.25">
      <c r="A170" s="97">
        <v>168</v>
      </c>
      <c r="B170" s="97">
        <v>7.7999999999999999E-4</v>
      </c>
      <c r="C170" s="97">
        <v>213.5283441472431</v>
      </c>
      <c r="D170" s="97">
        <v>849.18233042540191</v>
      </c>
      <c r="E170" s="97">
        <v>764.85113261756953</v>
      </c>
      <c r="F170" s="97">
        <v>951.6202785503209</v>
      </c>
      <c r="G170" s="97">
        <v>3472.1250383299284</v>
      </c>
      <c r="H170" s="97">
        <v>6948.337228883538</v>
      </c>
      <c r="I170" s="97">
        <v>59</v>
      </c>
      <c r="J170" s="97">
        <v>45</v>
      </c>
      <c r="K170" s="97">
        <v>1163.0177144553174</v>
      </c>
      <c r="L170" s="97">
        <v>4625.2130930503554</v>
      </c>
      <c r="M170" s="97">
        <v>4165.8891689903621</v>
      </c>
      <c r="N170" s="97">
        <v>4842.9542009223414</v>
      </c>
      <c r="O170" s="97">
        <v>56283.146871328143</v>
      </c>
      <c r="P170" s="97">
        <v>187775.02330069308</v>
      </c>
      <c r="Q170" s="97">
        <v>14416.063919688871</v>
      </c>
      <c r="R170" s="97">
        <v>273271.30826912849</v>
      </c>
      <c r="S170" s="97">
        <v>42319989.805880167</v>
      </c>
      <c r="T170" s="97">
        <v>29457910.206426904</v>
      </c>
      <c r="U170" s="45">
        <v>0</v>
      </c>
      <c r="V170">
        <v>0</v>
      </c>
      <c r="W170">
        <v>7.7999999999999999E-4</v>
      </c>
      <c r="X170" s="97">
        <v>6948.337228883538</v>
      </c>
      <c r="Y170" s="97">
        <v>11.519651011614291</v>
      </c>
      <c r="Z170" s="97">
        <v>2341.4404067465389</v>
      </c>
      <c r="AA170" s="97">
        <v>130.40041817812906</v>
      </c>
      <c r="AB170" s="97">
        <v>8.7874191864525937</v>
      </c>
      <c r="AC170" s="97">
        <v>557.31101944725299</v>
      </c>
      <c r="AD170" s="97">
        <v>181.11770738977162</v>
      </c>
      <c r="AE170" s="97">
        <v>1367.4380053843468</v>
      </c>
      <c r="AF170" s="97">
        <v>2245.6441270569949</v>
      </c>
      <c r="AG170" s="97">
        <v>634.21960385738748</v>
      </c>
      <c r="AH170" s="97">
        <v>90470.87900206093</v>
      </c>
      <c r="AI170" s="97">
        <v>1465.1490542697243</v>
      </c>
      <c r="AJ170" s="97">
        <v>119330.76952523977</v>
      </c>
      <c r="AK170" s="97">
        <v>121402.45643792693</v>
      </c>
      <c r="AL170" s="97">
        <v>2071.686912687137</v>
      </c>
      <c r="AM170" s="97">
        <v>91936.028056330673</v>
      </c>
    </row>
    <row r="171" spans="1:39" x14ac:dyDescent="0.25">
      <c r="A171" s="97">
        <v>169</v>
      </c>
      <c r="B171" s="97">
        <v>8.6249999999999999E-4</v>
      </c>
      <c r="C171" s="97">
        <v>211.14150325046145</v>
      </c>
      <c r="D171" s="97">
        <v>844.38963493081462</v>
      </c>
      <c r="E171" s="97">
        <v>762.3498499928844</v>
      </c>
      <c r="F171" s="97">
        <v>949.17635699889661</v>
      </c>
      <c r="G171" s="97">
        <v>3463.2896978707868</v>
      </c>
      <c r="H171" s="97">
        <v>6958.0649249020653</v>
      </c>
      <c r="I171" s="97">
        <v>59</v>
      </c>
      <c r="J171" s="97">
        <v>45</v>
      </c>
      <c r="K171" s="97">
        <v>1150.01738770418</v>
      </c>
      <c r="L171" s="97">
        <v>4599.108878256503</v>
      </c>
      <c r="M171" s="97">
        <v>4152.2655162945766</v>
      </c>
      <c r="N171" s="97">
        <v>4830.5166768268846</v>
      </c>
      <c r="O171" s="97">
        <v>56139.926002485459</v>
      </c>
      <c r="P171" s="97">
        <v>187562.00105053565</v>
      </c>
      <c r="Q171" s="97">
        <v>14394.731896319265</v>
      </c>
      <c r="R171" s="97">
        <v>272828.56740842253</v>
      </c>
      <c r="S171" s="97">
        <v>42592818.373288587</v>
      </c>
      <c r="T171" s="97">
        <v>29593027.051695757</v>
      </c>
      <c r="U171" s="45">
        <v>0</v>
      </c>
      <c r="V171">
        <v>0</v>
      </c>
      <c r="W171">
        <v>8.6249999999999999E-4</v>
      </c>
      <c r="X171" s="97">
        <v>6958.0649249020653</v>
      </c>
      <c r="Y171" s="97">
        <v>11.491288483508672</v>
      </c>
      <c r="Z171" s="97">
        <v>2352.9316952300474</v>
      </c>
      <c r="AA171" s="97">
        <v>130.08490053706916</v>
      </c>
      <c r="AB171" s="97">
        <v>8.7664450222581891</v>
      </c>
      <c r="AC171" s="97">
        <v>556.84635964337463</v>
      </c>
      <c r="AD171" s="97">
        <v>180.84970031181939</v>
      </c>
      <c r="AE171" s="97">
        <v>1375.5390875411365</v>
      </c>
      <c r="AF171" s="97">
        <v>2261.5112750744192</v>
      </c>
      <c r="AG171" s="97">
        <v>640.36072138947384</v>
      </c>
      <c r="AH171" s="97">
        <v>90470.87900206093</v>
      </c>
      <c r="AI171" s="97">
        <v>1465.1490542697243</v>
      </c>
      <c r="AJ171" s="97">
        <v>119330.76952523977</v>
      </c>
      <c r="AK171" s="97">
        <v>121402.45643792693</v>
      </c>
      <c r="AL171" s="97">
        <v>2071.686912687137</v>
      </c>
      <c r="AM171" s="97">
        <v>91936.028056330673</v>
      </c>
    </row>
    <row r="172" spans="1:39" x14ac:dyDescent="0.25">
      <c r="A172" s="97">
        <v>170</v>
      </c>
      <c r="B172" s="97">
        <v>8.6249999999999999E-4</v>
      </c>
      <c r="C172" s="97">
        <v>208.78134269670079</v>
      </c>
      <c r="D172" s="97">
        <v>839.61179886364414</v>
      </c>
      <c r="E172" s="97">
        <v>759.84188149775139</v>
      </c>
      <c r="F172" s="97">
        <v>946.73302150206803</v>
      </c>
      <c r="G172" s="97">
        <v>3454.4766114631007</v>
      </c>
      <c r="H172" s="97">
        <v>6967.7676385547466</v>
      </c>
      <c r="I172" s="97">
        <v>59</v>
      </c>
      <c r="J172" s="97">
        <v>45</v>
      </c>
      <c r="K172" s="97">
        <v>1137.1623798880303</v>
      </c>
      <c r="L172" s="97">
        <v>4573.0855978106483</v>
      </c>
      <c r="M172" s="97">
        <v>4138.6054478910855</v>
      </c>
      <c r="N172" s="97">
        <v>4818.082135260941</v>
      </c>
      <c r="O172" s="97">
        <v>55997.065871816863</v>
      </c>
      <c r="P172" s="97">
        <v>187345.10476319204</v>
      </c>
      <c r="Q172" s="97">
        <v>14373.196455499847</v>
      </c>
      <c r="R172" s="97">
        <v>272382.30265135947</v>
      </c>
      <c r="S172" s="97">
        <v>42865200.675939947</v>
      </c>
      <c r="T172" s="97">
        <v>29727363.153046075</v>
      </c>
      <c r="U172" s="45">
        <v>0</v>
      </c>
      <c r="V172">
        <v>0</v>
      </c>
      <c r="W172">
        <v>8.6249999999999999E-4</v>
      </c>
      <c r="X172" s="97">
        <v>6967.7676385547466</v>
      </c>
      <c r="Y172" s="97">
        <v>11.462047184608087</v>
      </c>
      <c r="Z172" s="97">
        <v>2364.3937424146557</v>
      </c>
      <c r="AA172" s="97">
        <v>129.76908588320151</v>
      </c>
      <c r="AB172" s="97">
        <v>8.7448572122899915</v>
      </c>
      <c r="AC172" s="97">
        <v>556.36780849202103</v>
      </c>
      <c r="AD172" s="97">
        <v>180.57913757773537</v>
      </c>
      <c r="AE172" s="97">
        <v>1383.6252299674638</v>
      </c>
      <c r="AF172" s="97">
        <v>2277.3564552312532</v>
      </c>
      <c r="AG172" s="97">
        <v>646.48285679252376</v>
      </c>
      <c r="AH172" s="97">
        <v>90470.87900206093</v>
      </c>
      <c r="AI172" s="97">
        <v>1465.1490542697243</v>
      </c>
      <c r="AJ172" s="97">
        <v>119330.76952523977</v>
      </c>
      <c r="AK172" s="97">
        <v>121402.45643792693</v>
      </c>
      <c r="AL172" s="97">
        <v>2071.686912687137</v>
      </c>
      <c r="AM172" s="97">
        <v>91936.028056330673</v>
      </c>
    </row>
    <row r="173" spans="1:39" x14ac:dyDescent="0.25">
      <c r="A173" s="97">
        <v>171</v>
      </c>
      <c r="B173" s="97">
        <v>8.6249999999999999E-4</v>
      </c>
      <c r="C173" s="97">
        <v>206.44756425045463</v>
      </c>
      <c r="D173" s="97">
        <v>834.84897503906507</v>
      </c>
      <c r="E173" s="97">
        <v>757.32741333610852</v>
      </c>
      <c r="F173" s="97">
        <v>944.29019471847425</v>
      </c>
      <c r="G173" s="97">
        <v>3445.6856661207371</v>
      </c>
      <c r="H173" s="97">
        <v>6977.4453758323752</v>
      </c>
      <c r="I173" s="97">
        <v>59</v>
      </c>
      <c r="J173" s="97">
        <v>45</v>
      </c>
      <c r="K173" s="97">
        <v>1124.4510666174763</v>
      </c>
      <c r="L173" s="97">
        <v>4547.1440840461073</v>
      </c>
      <c r="M173" s="97">
        <v>4124.9099779706712</v>
      </c>
      <c r="N173" s="97">
        <v>4805.6501826214353</v>
      </c>
      <c r="O173" s="97">
        <v>55854.564647817155</v>
      </c>
      <c r="P173" s="97">
        <v>187124.41926451388</v>
      </c>
      <c r="Q173" s="97">
        <v>14351.462468592252</v>
      </c>
      <c r="R173" s="97">
        <v>271932.60169217899</v>
      </c>
      <c r="S173" s="97">
        <v>43137133.277632125</v>
      </c>
      <c r="T173" s="97">
        <v>29860920.975661609</v>
      </c>
      <c r="U173" s="45">
        <v>0</v>
      </c>
      <c r="V173">
        <v>0</v>
      </c>
      <c r="W173">
        <v>8.6249999999999999E-4</v>
      </c>
      <c r="X173" s="97">
        <v>6977.4453758323752</v>
      </c>
      <c r="Y173" s="97">
        <v>11.432879537353793</v>
      </c>
      <c r="Z173" s="97">
        <v>2375.8266219520096</v>
      </c>
      <c r="AA173" s="97">
        <v>129.45300066392943</v>
      </c>
      <c r="AB173" s="97">
        <v>8.7233235315900206</v>
      </c>
      <c r="AC173" s="97">
        <v>555.87565021388195</v>
      </c>
      <c r="AD173" s="97">
        <v>180.30608038937436</v>
      </c>
      <c r="AE173" s="97">
        <v>1391.6963757733936</v>
      </c>
      <c r="AF173" s="97">
        <v>2293.179409882071</v>
      </c>
      <c r="AG173" s="97">
        <v>652.58604538590328</v>
      </c>
      <c r="AH173" s="97">
        <v>90470.87900206093</v>
      </c>
      <c r="AI173" s="97">
        <v>1465.1490542697243</v>
      </c>
      <c r="AJ173" s="97">
        <v>119330.76952523977</v>
      </c>
      <c r="AK173" s="97">
        <v>121402.45643792693</v>
      </c>
      <c r="AL173" s="97">
        <v>2071.686912687137</v>
      </c>
      <c r="AM173" s="97">
        <v>91936.028056330673</v>
      </c>
    </row>
    <row r="174" spans="1:39" x14ac:dyDescent="0.25">
      <c r="A174" s="97">
        <v>172</v>
      </c>
      <c r="B174" s="97">
        <v>8.6249999999999999E-4</v>
      </c>
      <c r="C174" s="97">
        <v>204.13987300992241</v>
      </c>
      <c r="D174" s="97">
        <v>830.10131193691791</v>
      </c>
      <c r="E174" s="97">
        <v>754.80663070528419</v>
      </c>
      <c r="F174" s="97">
        <v>941.84780213712577</v>
      </c>
      <c r="G174" s="97">
        <v>3436.916748671018</v>
      </c>
      <c r="H174" s="97">
        <v>6987.0981419351428</v>
      </c>
      <c r="I174" s="97">
        <v>59</v>
      </c>
      <c r="J174" s="97">
        <v>45</v>
      </c>
      <c r="K174" s="97">
        <v>1111.8818416607107</v>
      </c>
      <c r="L174" s="97">
        <v>4521.2851456830795</v>
      </c>
      <c r="M174" s="97">
        <v>4111.1801152414473</v>
      </c>
      <c r="N174" s="97">
        <v>4793.220439709522</v>
      </c>
      <c r="O174" s="97">
        <v>55712.420495957202</v>
      </c>
      <c r="P174" s="97">
        <v>186900.02782446862</v>
      </c>
      <c r="Q174" s="97">
        <v>14329.534715992319</v>
      </c>
      <c r="R174" s="97">
        <v>271479.55057871289</v>
      </c>
      <c r="S174" s="97">
        <v>43408612.828210838</v>
      </c>
      <c r="T174" s="97">
        <v>29993703.026799694</v>
      </c>
      <c r="U174" s="45">
        <v>0</v>
      </c>
      <c r="V174">
        <v>0</v>
      </c>
      <c r="W174">
        <v>8.6249999999999999E-4</v>
      </c>
      <c r="X174" s="97">
        <v>6987.0981419351428</v>
      </c>
      <c r="Y174" s="97">
        <v>11.403785167808724</v>
      </c>
      <c r="Z174" s="97">
        <v>2387.2304071198182</v>
      </c>
      <c r="AA174" s="97">
        <v>129.13667058717729</v>
      </c>
      <c r="AB174" s="97">
        <v>8.7018437290636541</v>
      </c>
      <c r="AC174" s="97">
        <v>555.37016407082058</v>
      </c>
      <c r="AD174" s="97">
        <v>180.030588805733</v>
      </c>
      <c r="AE174" s="97">
        <v>1399.7524697541489</v>
      </c>
      <c r="AF174" s="97">
        <v>2308.9798873952659</v>
      </c>
      <c r="AG174" s="97">
        <v>658.67032268073467</v>
      </c>
      <c r="AH174" s="97">
        <v>90470.87900206093</v>
      </c>
      <c r="AI174" s="97">
        <v>1465.1490542697243</v>
      </c>
      <c r="AJ174" s="97">
        <v>119330.76952523977</v>
      </c>
      <c r="AK174" s="97">
        <v>121402.45643792693</v>
      </c>
      <c r="AL174" s="97">
        <v>2071.686912687137</v>
      </c>
      <c r="AM174" s="97">
        <v>91936.028056330673</v>
      </c>
    </row>
    <row r="175" spans="1:39" x14ac:dyDescent="0.25">
      <c r="A175" s="97">
        <v>173</v>
      </c>
      <c r="B175" s="97">
        <v>8.6249999999999999E-4</v>
      </c>
      <c r="C175" s="97">
        <v>201.85797736974502</v>
      </c>
      <c r="D175" s="97">
        <v>825.36895377181202</v>
      </c>
      <c r="E175" s="97">
        <v>752.2797177755574</v>
      </c>
      <c r="F175" s="97">
        <v>939.40577203536361</v>
      </c>
      <c r="G175" s="97">
        <v>3428.1697457846517</v>
      </c>
      <c r="H175" s="97">
        <v>6996.7259413015718</v>
      </c>
      <c r="I175" s="97">
        <v>59</v>
      </c>
      <c r="J175" s="97">
        <v>45</v>
      </c>
      <c r="K175" s="97">
        <v>1099.4531167405444</v>
      </c>
      <c r="L175" s="97">
        <v>4495.5095682104693</v>
      </c>
      <c r="M175" s="97">
        <v>4097.4168628175357</v>
      </c>
      <c r="N175" s="97">
        <v>4780.7925415166374</v>
      </c>
      <c r="O175" s="97">
        <v>55570.63157916921</v>
      </c>
      <c r="P175" s="97">
        <v>186672.01218410494</v>
      </c>
      <c r="Q175" s="97">
        <v>14307.417888662083</v>
      </c>
      <c r="R175" s="97">
        <v>271023.23374122143</v>
      </c>
      <c r="S175" s="97">
        <v>43679636.061952062</v>
      </c>
      <c r="T175" s="97">
        <v>30125711.854233436</v>
      </c>
      <c r="U175" s="45">
        <v>0</v>
      </c>
      <c r="V175">
        <v>0</v>
      </c>
      <c r="W175">
        <v>8.6249999999999999E-4</v>
      </c>
      <c r="X175" s="97">
        <v>6996.7259413015718</v>
      </c>
      <c r="Y175" s="97">
        <v>11.374763701418429</v>
      </c>
      <c r="Z175" s="97">
        <v>2398.6051708212367</v>
      </c>
      <c r="AA175" s="97">
        <v>128.82012063955349</v>
      </c>
      <c r="AB175" s="97">
        <v>8.680417552077289</v>
      </c>
      <c r="AC175" s="97">
        <v>554.8516244464704</v>
      </c>
      <c r="AD175" s="97">
        <v>179.75272176219715</v>
      </c>
      <c r="AE175" s="97">
        <v>1407.7934583565486</v>
      </c>
      <c r="AF175" s="97">
        <v>2324.7576420401047</v>
      </c>
      <c r="AG175" s="97">
        <v>664.73572437454413</v>
      </c>
      <c r="AH175" s="97">
        <v>90470.87900206093</v>
      </c>
      <c r="AI175" s="97">
        <v>1465.1490542697243</v>
      </c>
      <c r="AJ175" s="97">
        <v>119330.76952523977</v>
      </c>
      <c r="AK175" s="97">
        <v>121402.45643792693</v>
      </c>
      <c r="AL175" s="97">
        <v>2071.686912687137</v>
      </c>
      <c r="AM175" s="97">
        <v>91936.028056330673</v>
      </c>
    </row>
    <row r="176" spans="1:39" x14ac:dyDescent="0.25">
      <c r="A176" s="97">
        <v>174</v>
      </c>
      <c r="B176" s="97">
        <v>8.6249999999999999E-4</v>
      </c>
      <c r="C176" s="97">
        <v>199.60158898415676</v>
      </c>
      <c r="D176" s="97">
        <v>820.65204056226605</v>
      </c>
      <c r="E176" s="97">
        <v>749.74685767046913</v>
      </c>
      <c r="F176" s="97">
        <v>936.96403543706913</v>
      </c>
      <c r="G176" s="97">
        <v>3419.4445440050727</v>
      </c>
      <c r="H176" s="97">
        <v>7006.3287776370171</v>
      </c>
      <c r="I176" s="97">
        <v>59</v>
      </c>
      <c r="J176" s="97">
        <v>45</v>
      </c>
      <c r="K176" s="97">
        <v>1087.163321333707</v>
      </c>
      <c r="L176" s="97">
        <v>4469.8181142624753</v>
      </c>
      <c r="M176" s="97">
        <v>4083.6212181118217</v>
      </c>
      <c r="N176" s="97">
        <v>4768.366137011817</v>
      </c>
      <c r="O176" s="97">
        <v>55429.196058322232</v>
      </c>
      <c r="P176" s="97">
        <v>186440.45258206586</v>
      </c>
      <c r="Q176" s="97">
        <v>14285.116589639776</v>
      </c>
      <c r="R176" s="97">
        <v>270563.73402074771</v>
      </c>
      <c r="S176" s="97">
        <v>43950199.795972809</v>
      </c>
      <c r="T176" s="97">
        <v>30256950.044731975</v>
      </c>
      <c r="U176" s="45">
        <v>0</v>
      </c>
      <c r="V176">
        <v>0</v>
      </c>
      <c r="W176">
        <v>8.6249999999999999E-4</v>
      </c>
      <c r="X176" s="97">
        <v>7006.3287776370171</v>
      </c>
      <c r="Y176" s="97">
        <v>11.345814763110129</v>
      </c>
      <c r="Z176" s="97">
        <v>2409.9509855843467</v>
      </c>
      <c r="AA176" s="97">
        <v>128.50337510409796</v>
      </c>
      <c r="AB176" s="97">
        <v>8.6590447465494282</v>
      </c>
      <c r="AC176" s="97">
        <v>554.32030092558909</v>
      </c>
      <c r="AD176" s="97">
        <v>179.47253708951285</v>
      </c>
      <c r="AE176" s="97">
        <v>1415.8192896460591</v>
      </c>
      <c r="AF176" s="97">
        <v>2340.5124338757546</v>
      </c>
      <c r="AG176" s="97">
        <v>670.78228634601157</v>
      </c>
      <c r="AH176" s="97">
        <v>90470.87900206093</v>
      </c>
      <c r="AI176" s="97">
        <v>1465.1490542697243</v>
      </c>
      <c r="AJ176" s="97">
        <v>119330.76952523977</v>
      </c>
      <c r="AK176" s="97">
        <v>121402.45643792693</v>
      </c>
      <c r="AL176" s="97">
        <v>2071.686912687137</v>
      </c>
      <c r="AM176" s="97">
        <v>91936.028056330673</v>
      </c>
    </row>
    <row r="177" spans="1:39" x14ac:dyDescent="0.25">
      <c r="A177" s="97">
        <v>175</v>
      </c>
      <c r="B177" s="97">
        <v>8.6249999999999999E-4</v>
      </c>
      <c r="C177" s="97">
        <v>197.37042273054942</v>
      </c>
      <c r="D177" s="97">
        <v>815.95070819889929</v>
      </c>
      <c r="E177" s="97">
        <v>747.20823244786948</v>
      </c>
      <c r="F177" s="97">
        <v>934.52252607112757</v>
      </c>
      <c r="G177" s="97">
        <v>3410.741029777198</v>
      </c>
      <c r="H177" s="97">
        <v>7015.9066539417436</v>
      </c>
      <c r="I177" s="97">
        <v>59</v>
      </c>
      <c r="J177" s="97">
        <v>45</v>
      </c>
      <c r="K177" s="97">
        <v>1075.0109024723924</v>
      </c>
      <c r="L177" s="97">
        <v>4444.2115239900049</v>
      </c>
      <c r="M177" s="97">
        <v>4069.7941727327288</v>
      </c>
      <c r="N177" s="97">
        <v>4755.9408889303131</v>
      </c>
      <c r="O177" s="97">
        <v>55288.112092688381</v>
      </c>
      <c r="P177" s="97">
        <v>186205.42778065594</v>
      </c>
      <c r="Q177" s="97">
        <v>14262.635335528012</v>
      </c>
      <c r="R177" s="97">
        <v>270101.13269699778</v>
      </c>
      <c r="S177" s="97">
        <v>44220300.92866981</v>
      </c>
      <c r="T177" s="97">
        <v>30387420.222577952</v>
      </c>
      <c r="U177" s="45">
        <v>0</v>
      </c>
      <c r="V177">
        <v>0</v>
      </c>
      <c r="W177">
        <v>8.6249999999999999E-4</v>
      </c>
      <c r="X177" s="97">
        <v>7015.9066539417436</v>
      </c>
      <c r="Y177" s="97">
        <v>11.316937977389822</v>
      </c>
      <c r="Z177" s="97">
        <v>2421.2679235617366</v>
      </c>
      <c r="AA177" s="97">
        <v>128.1864575776234</v>
      </c>
      <c r="AB177" s="97">
        <v>8.6377250570401642</v>
      </c>
      <c r="AC177" s="97">
        <v>553.77645837218654</v>
      </c>
      <c r="AD177" s="97">
        <v>179.19009153248334</v>
      </c>
      <c r="AE177" s="97">
        <v>1423.8299132744476</v>
      </c>
      <c r="AF177" s="97">
        <v>2356.2440286422425</v>
      </c>
      <c r="AG177" s="97">
        <v>676.81004464982027</v>
      </c>
      <c r="AH177" s="97">
        <v>90470.87900206093</v>
      </c>
      <c r="AI177" s="97">
        <v>1465.1490542697243</v>
      </c>
      <c r="AJ177" s="97">
        <v>119330.76952523977</v>
      </c>
      <c r="AK177" s="97">
        <v>121402.45643792693</v>
      </c>
      <c r="AL177" s="97">
        <v>2071.686912687137</v>
      </c>
      <c r="AM177" s="97">
        <v>91936.028056330673</v>
      </c>
    </row>
    <row r="178" spans="1:39" x14ac:dyDescent="0.25">
      <c r="A178" s="97">
        <v>176</v>
      </c>
      <c r="B178" s="97">
        <v>8.6249999999999999E-4</v>
      </c>
      <c r="C178" s="97">
        <v>195.16419667344337</v>
      </c>
      <c r="D178" s="97">
        <v>811.26508851168501</v>
      </c>
      <c r="E178" s="97">
        <v>744.6640230816846</v>
      </c>
      <c r="F178" s="97">
        <v>932.08118033015126</v>
      </c>
      <c r="G178" s="97">
        <v>3402.0590894756047</v>
      </c>
      <c r="H178" s="97">
        <v>7025.4595725385761</v>
      </c>
      <c r="I178" s="97">
        <v>59</v>
      </c>
      <c r="J178" s="97">
        <v>45</v>
      </c>
      <c r="K178" s="97">
        <v>1062.9943245480215</v>
      </c>
      <c r="L178" s="97">
        <v>4418.6905154269771</v>
      </c>
      <c r="M178" s="97">
        <v>4055.9367123849083</v>
      </c>
      <c r="N178" s="97">
        <v>4743.5164735635281</v>
      </c>
      <c r="O178" s="97">
        <v>55147.377840399553</v>
      </c>
      <c r="P178" s="97">
        <v>185967.01509147102</v>
      </c>
      <c r="Q178" s="97">
        <v>14239.978557960361</v>
      </c>
      <c r="R178" s="97">
        <v>269635.50951575435</v>
      </c>
      <c r="S178" s="97">
        <v>44489936.438185565</v>
      </c>
      <c r="T178" s="97">
        <v>30517125.048121378</v>
      </c>
      <c r="U178" s="45">
        <v>0</v>
      </c>
      <c r="V178">
        <v>0</v>
      </c>
      <c r="W178">
        <v>8.6249999999999999E-4</v>
      </c>
      <c r="X178" s="97">
        <v>7025.4595725385761</v>
      </c>
      <c r="Y178" s="97">
        <v>11.288132968437454</v>
      </c>
      <c r="Z178" s="97">
        <v>2432.5560565301739</v>
      </c>
      <c r="AA178" s="97">
        <v>127.86939098765953</v>
      </c>
      <c r="AB178" s="97">
        <v>8.6164582268391499</v>
      </c>
      <c r="AC178" s="97">
        <v>553.22035700644767</v>
      </c>
      <c r="AD178" s="97">
        <v>178.90544076839453</v>
      </c>
      <c r="AE178" s="97">
        <v>1431.8252804480285</v>
      </c>
      <c r="AF178" s="97">
        <v>2371.9521976533233</v>
      </c>
      <c r="AG178" s="97">
        <v>682.81903551160588</v>
      </c>
      <c r="AH178" s="97">
        <v>90470.87900206093</v>
      </c>
      <c r="AI178" s="97">
        <v>1465.1490542697243</v>
      </c>
      <c r="AJ178" s="97">
        <v>119330.76952523977</v>
      </c>
      <c r="AK178" s="97">
        <v>121402.45643792693</v>
      </c>
      <c r="AL178" s="97">
        <v>2071.686912687137</v>
      </c>
      <c r="AM178" s="97">
        <v>91936.028056330673</v>
      </c>
    </row>
    <row r="179" spans="1:39" x14ac:dyDescent="0.25">
      <c r="A179" s="97">
        <v>177</v>
      </c>
      <c r="B179" s="97">
        <v>8.6249999999999999E-4</v>
      </c>
      <c r="C179" s="97">
        <v>192.98263202886162</v>
      </c>
      <c r="D179" s="97">
        <v>806.59530933627832</v>
      </c>
      <c r="E179" s="97">
        <v>742.11440944438903</v>
      </c>
      <c r="F179" s="97">
        <v>929.63993722946782</v>
      </c>
      <c r="G179" s="97">
        <v>3393.3986094321358</v>
      </c>
      <c r="H179" s="97">
        <v>7034.9875351001283</v>
      </c>
      <c r="I179" s="97">
        <v>59</v>
      </c>
      <c r="J179" s="97">
        <v>45</v>
      </c>
      <c r="K179" s="97">
        <v>1051.1120691171996</v>
      </c>
      <c r="L179" s="97">
        <v>4393.2557848515953</v>
      </c>
      <c r="M179" s="97">
        <v>4042.0498167737719</v>
      </c>
      <c r="N179" s="97">
        <v>4731.0925805502993</v>
      </c>
      <c r="O179" s="97">
        <v>55006.991458894925</v>
      </c>
      <c r="P179" s="97">
        <v>185725.29040059744</v>
      </c>
      <c r="Q179" s="97">
        <v>14217.150605046523</v>
      </c>
      <c r="R179" s="97">
        <v>269166.94271583174</v>
      </c>
      <c r="S179" s="97">
        <v>44759103.380901396</v>
      </c>
      <c r="T179" s="97">
        <v>30646067.216369104</v>
      </c>
      <c r="U179" s="45">
        <v>0</v>
      </c>
      <c r="V179">
        <v>0</v>
      </c>
      <c r="W179">
        <v>8.6249999999999999E-4</v>
      </c>
      <c r="X179" s="97">
        <v>7034.9875351001283</v>
      </c>
      <c r="Y179" s="97">
        <v>11.259399360200177</v>
      </c>
      <c r="Z179" s="97">
        <v>2443.8154558903743</v>
      </c>
      <c r="AA179" s="97">
        <v>127.55219760900891</v>
      </c>
      <c r="AB179" s="97">
        <v>8.5952439980520126</v>
      </c>
      <c r="AC179" s="97">
        <v>552.65225248046681</v>
      </c>
      <c r="AD179" s="97">
        <v>178.61863942517147</v>
      </c>
      <c r="AE179" s="97">
        <v>1439.8053438964923</v>
      </c>
      <c r="AF179" s="97">
        <v>2387.6367176912186</v>
      </c>
      <c r="AG179" s="97">
        <v>688.80929532300115</v>
      </c>
      <c r="AH179" s="97">
        <v>90470.87900206093</v>
      </c>
      <c r="AI179" s="97">
        <v>1465.1490542697243</v>
      </c>
      <c r="AJ179" s="97">
        <v>119330.76952523977</v>
      </c>
      <c r="AK179" s="97">
        <v>121402.45643792693</v>
      </c>
      <c r="AL179" s="97">
        <v>2071.686912687137</v>
      </c>
      <c r="AM179" s="97">
        <v>91936.028056330673</v>
      </c>
    </row>
    <row r="180" spans="1:39" x14ac:dyDescent="0.25">
      <c r="A180" s="97">
        <v>178</v>
      </c>
      <c r="B180" s="97">
        <v>8.6249999999999999E-4</v>
      </c>
      <c r="C180" s="97">
        <v>190.82545312910196</v>
      </c>
      <c r="D180" s="97">
        <v>801.94149457943013</v>
      </c>
      <c r="E180" s="97">
        <v>739.55957029016747</v>
      </c>
      <c r="F180" s="97">
        <v>927.19873836637646</v>
      </c>
      <c r="G180" s="97">
        <v>3384.7594759629392</v>
      </c>
      <c r="H180" s="97">
        <v>7044.4905426756159</v>
      </c>
      <c r="I180" s="97">
        <v>59</v>
      </c>
      <c r="J180" s="97">
        <v>45</v>
      </c>
      <c r="K180" s="97">
        <v>1039.362634709842</v>
      </c>
      <c r="L180" s="97">
        <v>4367.9080071426288</v>
      </c>
      <c r="M180" s="97">
        <v>4028.1344595137784</v>
      </c>
      <c r="N180" s="97">
        <v>4718.668912669551</v>
      </c>
      <c r="O180" s="97">
        <v>54866.951105359251</v>
      </c>
      <c r="P180" s="97">
        <v>185480.32819338847</v>
      </c>
      <c r="Q180" s="97">
        <v>14194.155742796243</v>
      </c>
      <c r="R180" s="97">
        <v>268695.50905557978</v>
      </c>
      <c r="S180" s="97">
        <v>45027798.889956973</v>
      </c>
      <c r="T180" s="97">
        <v>30774249.455609072</v>
      </c>
      <c r="U180" s="45">
        <v>0</v>
      </c>
      <c r="V180">
        <v>0</v>
      </c>
      <c r="W180">
        <v>8.6249999999999999E-4</v>
      </c>
      <c r="X180" s="97">
        <v>7044.4905426756159</v>
      </c>
      <c r="Y180" s="97">
        <v>11.230736776483711</v>
      </c>
      <c r="Z180" s="97">
        <v>2455.0461926668581</v>
      </c>
      <c r="AA180" s="97">
        <v>127.23489907992349</v>
      </c>
      <c r="AB180" s="97">
        <v>8.5740821116852519</v>
      </c>
      <c r="AC180" s="97">
        <v>552.07239595281294</v>
      </c>
      <c r="AD180" s="97">
        <v>178.32974109926809</v>
      </c>
      <c r="AE180" s="97">
        <v>1447.770057842306</v>
      </c>
      <c r="AF180" s="97">
        <v>2403.2973709032035</v>
      </c>
      <c r="AG180" s="97">
        <v>694.78086063677642</v>
      </c>
      <c r="AH180" s="97">
        <v>90470.87900206093</v>
      </c>
      <c r="AI180" s="97">
        <v>1465.1490542697243</v>
      </c>
      <c r="AJ180" s="97">
        <v>119330.76952523977</v>
      </c>
      <c r="AK180" s="97">
        <v>121402.45643792693</v>
      </c>
      <c r="AL180" s="97">
        <v>2071.686912687137</v>
      </c>
      <c r="AM180" s="97">
        <v>91936.028056330673</v>
      </c>
    </row>
    <row r="181" spans="1:39" x14ac:dyDescent="0.25">
      <c r="A181" s="97">
        <v>179</v>
      </c>
      <c r="B181" s="97">
        <v>8.6249999999999999E-4</v>
      </c>
      <c r="C181" s="97">
        <v>188.69238738790298</v>
      </c>
      <c r="D181" s="97">
        <v>797.30376428349859</v>
      </c>
      <c r="E181" s="97">
        <v>736.99968323875248</v>
      </c>
      <c r="F181" s="97">
        <v>924.7575278796777</v>
      </c>
      <c r="G181" s="97">
        <v>3376.1415753949436</v>
      </c>
      <c r="H181" s="97">
        <v>7053.9685957172451</v>
      </c>
      <c r="I181" s="97">
        <v>59</v>
      </c>
      <c r="J181" s="97">
        <v>45</v>
      </c>
      <c r="K181" s="97">
        <v>1027.744536639445</v>
      </c>
      <c r="L181" s="97">
        <v>4342.6478361307891</v>
      </c>
      <c r="M181" s="97">
        <v>4014.1916080404048</v>
      </c>
      <c r="N181" s="97">
        <v>4706.2451856343259</v>
      </c>
      <c r="O181" s="97">
        <v>54727.254937152036</v>
      </c>
      <c r="P181" s="97">
        <v>185232.20157882498</v>
      </c>
      <c r="Q181" s="97">
        <v>14170.998156522273</v>
      </c>
      <c r="R181" s="97">
        <v>268221.28383894428</v>
      </c>
      <c r="S181" s="97">
        <v>45296020.173795916</v>
      </c>
      <c r="T181" s="97">
        <v>30901674.52606862</v>
      </c>
      <c r="U181" s="45">
        <v>0</v>
      </c>
      <c r="V181">
        <v>0</v>
      </c>
      <c r="W181">
        <v>8.6249999999999999E-4</v>
      </c>
      <c r="X181" s="97">
        <v>7053.9685957172451</v>
      </c>
      <c r="Y181" s="97">
        <v>11.202144841041829</v>
      </c>
      <c r="Z181" s="97">
        <v>2466.2483375079</v>
      </c>
      <c r="AA181" s="97">
        <v>126.91751641790989</v>
      </c>
      <c r="AB181" s="97">
        <v>8.5529723077296183</v>
      </c>
      <c r="AC181" s="97">
        <v>551.48103416194306</v>
      </c>
      <c r="AD181" s="97">
        <v>178.03879837329322</v>
      </c>
      <c r="AE181" s="97">
        <v>1455.719377970677</v>
      </c>
      <c r="AF181" s="97">
        <v>2418.9339447000048</v>
      </c>
      <c r="AG181" s="97">
        <v>700.73376816207326</v>
      </c>
      <c r="AH181" s="97">
        <v>90470.87900206093</v>
      </c>
      <c r="AI181" s="97">
        <v>1465.1490542697243</v>
      </c>
      <c r="AJ181" s="97">
        <v>119330.76952523977</v>
      </c>
      <c r="AK181" s="97">
        <v>121402.45643792693</v>
      </c>
      <c r="AL181" s="97">
        <v>2071.686912687137</v>
      </c>
      <c r="AM181" s="97">
        <v>91936.028056330673</v>
      </c>
    </row>
    <row r="182" spans="1:39" x14ac:dyDescent="0.25">
      <c r="A182" s="97">
        <v>180</v>
      </c>
      <c r="B182" s="97">
        <v>8.6249999999999999E-4</v>
      </c>
      <c r="C182" s="97">
        <v>186.58316526599938</v>
      </c>
      <c r="D182" s="97">
        <v>792.68223469007035</v>
      </c>
      <c r="E182" s="97">
        <v>734.43492475992275</v>
      </c>
      <c r="F182" s="97">
        <v>922.31625240948097</v>
      </c>
      <c r="G182" s="97">
        <v>3367.544794091782</v>
      </c>
      <c r="H182" s="97">
        <v>7063.4216941061968</v>
      </c>
      <c r="I182" s="97">
        <v>60</v>
      </c>
      <c r="J182" s="97">
        <v>45</v>
      </c>
      <c r="K182" s="97">
        <v>1016.2563068154766</v>
      </c>
      <c r="L182" s="97">
        <v>4317.4759049452496</v>
      </c>
      <c r="M182" s="97">
        <v>4000.2222235257123</v>
      </c>
      <c r="N182" s="97">
        <v>4693.8211278872495</v>
      </c>
      <c r="O182" s="97">
        <v>54587.901112227788</v>
      </c>
      <c r="P182" s="97">
        <v>184980.98231346716</v>
      </c>
      <c r="Q182" s="97">
        <v>14147.681952222489</v>
      </c>
      <c r="R182" s="97">
        <v>267744.34094109113</v>
      </c>
      <c r="S182" s="97">
        <v>45563764.51473701</v>
      </c>
      <c r="T182" s="97">
        <v>31028345.218606059</v>
      </c>
      <c r="U182" s="45">
        <v>0</v>
      </c>
      <c r="V182">
        <v>0</v>
      </c>
      <c r="W182">
        <v>8.6249999999999999E-4</v>
      </c>
      <c r="X182" s="97">
        <v>7063.4216941061968</v>
      </c>
      <c r="Y182" s="97">
        <v>11.173623177663986</v>
      </c>
      <c r="Z182" s="97">
        <v>2477.421960685564</v>
      </c>
      <c r="AA182" s="97">
        <v>126.61147448967344</v>
      </c>
      <c r="AB182" s="97">
        <v>8.5205098707405114</v>
      </c>
      <c r="AC182" s="97">
        <v>550.86700504397993</v>
      </c>
      <c r="AD182" s="97">
        <v>177.74586283337507</v>
      </c>
      <c r="AE182" s="97">
        <v>1463.6532614000701</v>
      </c>
      <c r="AF182" s="97">
        <v>2434.546231655986</v>
      </c>
      <c r="AG182" s="97">
        <v>706.66805475972978</v>
      </c>
      <c r="AH182" s="97">
        <v>93848.270290540109</v>
      </c>
      <c r="AI182" s="97">
        <v>1551.9106261854618</v>
      </c>
      <c r="AJ182" s="97">
        <v>126017.77326097105</v>
      </c>
      <c r="AK182" s="97">
        <v>128261.24215151121</v>
      </c>
      <c r="AL182" s="97">
        <v>2243.4688905401395</v>
      </c>
      <c r="AM182" s="97">
        <v>95400.1809167256</v>
      </c>
    </row>
    <row r="183" spans="1:39" x14ac:dyDescent="0.25">
      <c r="A183" s="97">
        <v>181</v>
      </c>
      <c r="B183" s="97">
        <v>9.5333333333333338E-4</v>
      </c>
      <c r="C183" s="97">
        <v>184.48057226621737</v>
      </c>
      <c r="D183" s="97">
        <v>788.00501633305055</v>
      </c>
      <c r="E183" s="97">
        <v>731.79875898631622</v>
      </c>
      <c r="F183" s="97">
        <v>919.79108399769893</v>
      </c>
      <c r="G183" s="97">
        <v>3358.6631331603671</v>
      </c>
      <c r="H183" s="97">
        <v>7072.8498371781943</v>
      </c>
      <c r="I183" s="97">
        <v>60</v>
      </c>
      <c r="J183" s="97">
        <v>45</v>
      </c>
      <c r="K183" s="97">
        <v>1004.8041836099972</v>
      </c>
      <c r="L183" s="97">
        <v>4292.0006556273484</v>
      </c>
      <c r="M183" s="97">
        <v>3985.8639072788019</v>
      </c>
      <c r="N183" s="97">
        <v>4680.9701249782893</v>
      </c>
      <c r="O183" s="97">
        <v>54443.929388529556</v>
      </c>
      <c r="P183" s="97">
        <v>184709.91736088137</v>
      </c>
      <c r="Q183" s="97">
        <v>14122.926076830781</v>
      </c>
      <c r="R183" s="97">
        <v>267240.41169773613</v>
      </c>
      <c r="S183" s="97">
        <v>45831004.926434748</v>
      </c>
      <c r="T183" s="97">
        <v>31154252.885350268</v>
      </c>
      <c r="U183" s="45">
        <v>0</v>
      </c>
      <c r="V183">
        <v>0</v>
      </c>
      <c r="W183">
        <v>9.5333333333333338E-4</v>
      </c>
      <c r="X183" s="97">
        <v>7072.8498371781943</v>
      </c>
      <c r="Y183" s="97">
        <v>11.14517141026111</v>
      </c>
      <c r="Z183" s="97">
        <v>2488.5671320958249</v>
      </c>
      <c r="AA183" s="97">
        <v>126.29359414008587</v>
      </c>
      <c r="AB183" s="97">
        <v>8.4995315268271892</v>
      </c>
      <c r="AC183" s="97">
        <v>550.19213105938684</v>
      </c>
      <c r="AD183" s="97">
        <v>177.43483983705988</v>
      </c>
      <c r="AE183" s="97">
        <v>1471.5716666532678</v>
      </c>
      <c r="AF183" s="97">
        <v>2450.134106413137</v>
      </c>
      <c r="AG183" s="97">
        <v>713.2067638066801</v>
      </c>
      <c r="AH183" s="97">
        <v>93848.270290540109</v>
      </c>
      <c r="AI183" s="97">
        <v>1551.9106261854618</v>
      </c>
      <c r="AJ183" s="97">
        <v>126017.77326097105</v>
      </c>
      <c r="AK183" s="97">
        <v>128261.24215151121</v>
      </c>
      <c r="AL183" s="97">
        <v>2243.4688905401395</v>
      </c>
      <c r="AM183" s="97">
        <v>95400.1809167256</v>
      </c>
    </row>
    <row r="184" spans="1:39" x14ac:dyDescent="0.25">
      <c r="A184" s="97">
        <v>182</v>
      </c>
      <c r="B184" s="97">
        <v>9.5333333333333338E-4</v>
      </c>
      <c r="C184" s="97">
        <v>182.40167324395162</v>
      </c>
      <c r="D184" s="97">
        <v>783.34506316397869</v>
      </c>
      <c r="E184" s="97">
        <v>729.15854406005587</v>
      </c>
      <c r="F184" s="97">
        <v>917.26620235638097</v>
      </c>
      <c r="G184" s="97">
        <v>3349.803950149264</v>
      </c>
      <c r="H184" s="97">
        <v>7082.2521673590009</v>
      </c>
      <c r="I184" s="97">
        <v>60</v>
      </c>
      <c r="J184" s="97">
        <v>45</v>
      </c>
      <c r="K184" s="97">
        <v>993.48111360205644</v>
      </c>
      <c r="L184" s="97">
        <v>4266.6194440331374</v>
      </c>
      <c r="M184" s="97">
        <v>3971.4835366471043</v>
      </c>
      <c r="N184" s="97">
        <v>4668.1205814920149</v>
      </c>
      <c r="O184" s="97">
        <v>54300.322031919575</v>
      </c>
      <c r="P184" s="97">
        <v>184435.92688973562</v>
      </c>
      <c r="Q184" s="97">
        <v>14098.023907616571</v>
      </c>
      <c r="R184" s="97">
        <v>266733.97750504606</v>
      </c>
      <c r="S184" s="97">
        <v>46097738.903939791</v>
      </c>
      <c r="T184" s="97">
        <v>31279400.50224885</v>
      </c>
      <c r="U184" s="45">
        <v>0</v>
      </c>
      <c r="V184">
        <v>0</v>
      </c>
      <c r="W184">
        <v>9.5333333333333338E-4</v>
      </c>
      <c r="X184" s="97">
        <v>7082.2521673590009</v>
      </c>
      <c r="Y184" s="97">
        <v>11.115776809879815</v>
      </c>
      <c r="Z184" s="97">
        <v>2499.6829089057046</v>
      </c>
      <c r="AA184" s="97">
        <v>125.97538795501987</v>
      </c>
      <c r="AB184" s="97">
        <v>8.4779032000953709</v>
      </c>
      <c r="AC184" s="97">
        <v>549.50686842578273</v>
      </c>
      <c r="AD184" s="97">
        <v>177.12197886320209</v>
      </c>
      <c r="AE184" s="97">
        <v>1479.4738339232558</v>
      </c>
      <c r="AF184" s="97">
        <v>2465.6959529386268</v>
      </c>
      <c r="AG184" s="97">
        <v>719.72437884373721</v>
      </c>
      <c r="AH184" s="97">
        <v>93848.270290540109</v>
      </c>
      <c r="AI184" s="97">
        <v>1551.9106261854618</v>
      </c>
      <c r="AJ184" s="97">
        <v>126017.77326097105</v>
      </c>
      <c r="AK184" s="97">
        <v>128261.24215151121</v>
      </c>
      <c r="AL184" s="97">
        <v>2243.4688905401395</v>
      </c>
      <c r="AM184" s="97">
        <v>95400.1809167256</v>
      </c>
    </row>
    <row r="185" spans="1:39" x14ac:dyDescent="0.25">
      <c r="A185" s="97">
        <v>183</v>
      </c>
      <c r="B185" s="97">
        <v>9.5333333333333338E-4</v>
      </c>
      <c r="C185" s="97">
        <v>180.34620119338098</v>
      </c>
      <c r="D185" s="97">
        <v>778.70247580552643</v>
      </c>
      <c r="E185" s="97">
        <v>726.51445408254335</v>
      </c>
      <c r="F185" s="97">
        <v>914.74156137490365</v>
      </c>
      <c r="G185" s="97">
        <v>3340.967125774368</v>
      </c>
      <c r="H185" s="97">
        <v>7091.6286875800542</v>
      </c>
      <c r="I185" s="97">
        <v>60</v>
      </c>
      <c r="J185" s="97">
        <v>45</v>
      </c>
      <c r="K185" s="97">
        <v>982.28564249994838</v>
      </c>
      <c r="L185" s="97">
        <v>4241.332818220767</v>
      </c>
      <c r="M185" s="97">
        <v>3957.0820599029194</v>
      </c>
      <c r="N185" s="97">
        <v>4655.2722627637804</v>
      </c>
      <c r="O185" s="97">
        <v>54157.077108802507</v>
      </c>
      <c r="P185" s="97">
        <v>184159.08053612331</v>
      </c>
      <c r="Q185" s="97">
        <v>14072.979328501173</v>
      </c>
      <c r="R185" s="97">
        <v>266225.10975681437</v>
      </c>
      <c r="S185" s="97">
        <v>46363964.013696603</v>
      </c>
      <c r="T185" s="97">
        <v>31403791.071924623</v>
      </c>
      <c r="U185" s="45">
        <v>0</v>
      </c>
      <c r="V185">
        <v>0</v>
      </c>
      <c r="W185">
        <v>9.5333333333333338E-4</v>
      </c>
      <c r="X185" s="97">
        <v>7091.6286875800542</v>
      </c>
      <c r="Y185" s="97">
        <v>11.086456602057531</v>
      </c>
      <c r="Z185" s="97">
        <v>2510.7693655077624</v>
      </c>
      <c r="AA185" s="97">
        <v>125.65688347723342</v>
      </c>
      <c r="AB185" s="97">
        <v>8.4563293498037329</v>
      </c>
      <c r="AC185" s="97">
        <v>548.81144463719272</v>
      </c>
      <c r="AD185" s="97">
        <v>176.80732870784814</v>
      </c>
      <c r="AE185" s="97">
        <v>1487.359726909842</v>
      </c>
      <c r="AF185" s="97">
        <v>2481.2315801528985</v>
      </c>
      <c r="AG185" s="97">
        <v>726.22094479410475</v>
      </c>
      <c r="AH185" s="97">
        <v>93848.270290540109</v>
      </c>
      <c r="AI185" s="97">
        <v>1551.9106261854618</v>
      </c>
      <c r="AJ185" s="97">
        <v>126017.77326097105</v>
      </c>
      <c r="AK185" s="97">
        <v>128261.24215151121</v>
      </c>
      <c r="AL185" s="97">
        <v>2243.4688905401395</v>
      </c>
      <c r="AM185" s="97">
        <v>95400.1809167256</v>
      </c>
    </row>
    <row r="186" spans="1:39" x14ac:dyDescent="0.25">
      <c r="A186" s="97">
        <v>184</v>
      </c>
      <c r="B186" s="97">
        <v>9.5333333333333338E-4</v>
      </c>
      <c r="C186" s="97">
        <v>178.3138921175547</v>
      </c>
      <c r="D186" s="97">
        <v>774.07735128799413</v>
      </c>
      <c r="E186" s="97">
        <v>723.86666188650247</v>
      </c>
      <c r="F186" s="97">
        <v>912.21711730277696</v>
      </c>
      <c r="G186" s="97">
        <v>3332.1525409287842</v>
      </c>
      <c r="H186" s="97">
        <v>7100.9794003014385</v>
      </c>
      <c r="I186" s="97">
        <v>60</v>
      </c>
      <c r="J186" s="97">
        <v>45</v>
      </c>
      <c r="K186" s="97">
        <v>971.2163324002812</v>
      </c>
      <c r="L186" s="97">
        <v>4216.1413066819414</v>
      </c>
      <c r="M186" s="97">
        <v>3942.6604184084831</v>
      </c>
      <c r="N186" s="97">
        <v>4642.4249461400486</v>
      </c>
      <c r="O186" s="97">
        <v>54014.192688455594</v>
      </c>
      <c r="P186" s="97">
        <v>183879.44661781535</v>
      </c>
      <c r="Q186" s="97">
        <v>14047.796151216718</v>
      </c>
      <c r="R186" s="97">
        <v>265713.87846111844</v>
      </c>
      <c r="S186" s="97">
        <v>46629677.892157719</v>
      </c>
      <c r="T186" s="97">
        <v>31527427.622461192</v>
      </c>
      <c r="U186" s="45">
        <v>0</v>
      </c>
      <c r="V186">
        <v>0</v>
      </c>
      <c r="W186">
        <v>9.5333333333333338E-4</v>
      </c>
      <c r="X186" s="97">
        <v>7100.9794003014385</v>
      </c>
      <c r="Y186" s="97">
        <v>11.057210392013531</v>
      </c>
      <c r="Z186" s="97">
        <v>2521.8265758997759</v>
      </c>
      <c r="AA186" s="97">
        <v>125.33810748660927</v>
      </c>
      <c r="AB186" s="97">
        <v>8.4348096993697226</v>
      </c>
      <c r="AC186" s="97">
        <v>548.10608312226361</v>
      </c>
      <c r="AD186" s="97">
        <v>176.49093726008817</v>
      </c>
      <c r="AE186" s="97">
        <v>1495.2293106650789</v>
      </c>
      <c r="AF186" s="97">
        <v>2496.7408018871047</v>
      </c>
      <c r="AG186" s="97">
        <v>732.69650672032196</v>
      </c>
      <c r="AH186" s="97">
        <v>93848.270290540109</v>
      </c>
      <c r="AI186" s="97">
        <v>1551.9106261854618</v>
      </c>
      <c r="AJ186" s="97">
        <v>126017.77326097105</v>
      </c>
      <c r="AK186" s="97">
        <v>128261.24215151121</v>
      </c>
      <c r="AL186" s="97">
        <v>2243.4688905401395</v>
      </c>
      <c r="AM186" s="97">
        <v>95400.1809167256</v>
      </c>
    </row>
    <row r="187" spans="1:39" x14ac:dyDescent="0.25">
      <c r="A187" s="97">
        <v>185</v>
      </c>
      <c r="B187" s="97">
        <v>9.5333333333333338E-4</v>
      </c>
      <c r="C187" s="97">
        <v>176.3044849944857</v>
      </c>
      <c r="D187" s="97">
        <v>769.46978311026874</v>
      </c>
      <c r="E187" s="97">
        <v>721.21533902413728</v>
      </c>
      <c r="F187" s="97">
        <v>909.69282870982499</v>
      </c>
      <c r="G187" s="97">
        <v>3323.3600767059897</v>
      </c>
      <c r="H187" s="97">
        <v>7110.3043075360101</v>
      </c>
      <c r="I187" s="97">
        <v>60</v>
      </c>
      <c r="J187" s="97">
        <v>45</v>
      </c>
      <c r="K187" s="97">
        <v>960.27176160329873</v>
      </c>
      <c r="L187" s="97">
        <v>4191.0454186739298</v>
      </c>
      <c r="M187" s="97">
        <v>3928.2195465514674</v>
      </c>
      <c r="N187" s="97">
        <v>4629.5784207757506</v>
      </c>
      <c r="O187" s="97">
        <v>53871.666843404098</v>
      </c>
      <c r="P187" s="97">
        <v>183597.09215778284</v>
      </c>
      <c r="Q187" s="97">
        <v>14022.478116416278</v>
      </c>
      <c r="R187" s="97">
        <v>265200.35226520768</v>
      </c>
      <c r="S187" s="97">
        <v>46894878.244422927</v>
      </c>
      <c r="T187" s="97">
        <v>31650313.206219479</v>
      </c>
      <c r="U187" s="45">
        <v>0</v>
      </c>
      <c r="V187">
        <v>0</v>
      </c>
      <c r="W187">
        <v>9.5333333333333338E-4</v>
      </c>
      <c r="X187" s="97">
        <v>7110.3043075360101</v>
      </c>
      <c r="Y187" s="97">
        <v>11.028037785553574</v>
      </c>
      <c r="Z187" s="97">
        <v>2532.8546136853292</v>
      </c>
      <c r="AA187" s="97">
        <v>125.01908601905414</v>
      </c>
      <c r="AB187" s="97">
        <v>8.4133439717541414</v>
      </c>
      <c r="AC187" s="97">
        <v>547.39100331151428</v>
      </c>
      <c r="AD187" s="97">
        <v>176.17285151600325</v>
      </c>
      <c r="AE187" s="97">
        <v>1503.0825515652193</v>
      </c>
      <c r="AF187" s="97">
        <v>2512.2234367892725</v>
      </c>
      <c r="AG187" s="97">
        <v>739.15110981944963</v>
      </c>
      <c r="AH187" s="97">
        <v>93848.270290540109</v>
      </c>
      <c r="AI187" s="97">
        <v>1551.9106261854618</v>
      </c>
      <c r="AJ187" s="97">
        <v>126017.77326097105</v>
      </c>
      <c r="AK187" s="97">
        <v>128261.24215151121</v>
      </c>
      <c r="AL187" s="97">
        <v>2243.4688905401395</v>
      </c>
      <c r="AM187" s="97">
        <v>95400.1809167256</v>
      </c>
    </row>
    <row r="188" spans="1:39" x14ac:dyDescent="0.25">
      <c r="A188" s="97">
        <v>186</v>
      </c>
      <c r="B188" s="97">
        <v>9.5333333333333338E-4</v>
      </c>
      <c r="C188" s="97">
        <v>174.31772174362595</v>
      </c>
      <c r="D188" s="97">
        <v>764.87986129992419</v>
      </c>
      <c r="E188" s="97">
        <v>718.56065575587638</v>
      </c>
      <c r="F188" s="97">
        <v>907.16865644668655</v>
      </c>
      <c r="G188" s="97">
        <v>3314.5896144224639</v>
      </c>
      <c r="H188" s="97">
        <v>7119.6034108731146</v>
      </c>
      <c r="I188" s="97">
        <v>60</v>
      </c>
      <c r="J188" s="97">
        <v>45</v>
      </c>
      <c r="K188" s="97">
        <v>949.4505244302826</v>
      </c>
      <c r="L188" s="97">
        <v>4166.0456445469199</v>
      </c>
      <c r="M188" s="97">
        <v>3913.7603716836729</v>
      </c>
      <c r="N188" s="97">
        <v>4616.7324874332617</v>
      </c>
      <c r="O188" s="97">
        <v>53729.497649788143</v>
      </c>
      <c r="P188" s="97">
        <v>183312.08290731389</v>
      </c>
      <c r="Q188" s="97">
        <v>13997.028894774898</v>
      </c>
      <c r="R188" s="97">
        <v>264684.59847997106</v>
      </c>
      <c r="S188" s="97">
        <v>47159562.842902899</v>
      </c>
      <c r="T188" s="97">
        <v>31772450.898684543</v>
      </c>
      <c r="U188" s="45">
        <v>0</v>
      </c>
      <c r="V188">
        <v>0</v>
      </c>
      <c r="W188">
        <v>9.5333333333333338E-4</v>
      </c>
      <c r="X188" s="97">
        <v>7119.6034108731146</v>
      </c>
      <c r="Y188" s="97">
        <v>10.998938389146565</v>
      </c>
      <c r="Z188" s="97">
        <v>2543.8535520744758</v>
      </c>
      <c r="AA188" s="97">
        <v>124.69984438495912</v>
      </c>
      <c r="AB188" s="97">
        <v>8.3919318895344066</v>
      </c>
      <c r="AC188" s="97">
        <v>546.66642070353919</v>
      </c>
      <c r="AD188" s="97">
        <v>175.85311759249825</v>
      </c>
      <c r="AE188" s="97">
        <v>1510.9194172832044</v>
      </c>
      <c r="AF188" s="97">
        <v>2527.6793082320773</v>
      </c>
      <c r="AG188" s="97">
        <v>745.58479941834935</v>
      </c>
      <c r="AH188" s="97">
        <v>93848.270290540109</v>
      </c>
      <c r="AI188" s="97">
        <v>1551.9106261854618</v>
      </c>
      <c r="AJ188" s="97">
        <v>126017.77326097105</v>
      </c>
      <c r="AK188" s="97">
        <v>128261.24215151121</v>
      </c>
      <c r="AL188" s="97">
        <v>2243.4688905401395</v>
      </c>
      <c r="AM188" s="97">
        <v>95400.1809167256</v>
      </c>
    </row>
    <row r="189" spans="1:39" x14ac:dyDescent="0.25">
      <c r="A189" s="97">
        <v>187</v>
      </c>
      <c r="B189" s="97">
        <v>9.5333333333333338E-4</v>
      </c>
      <c r="C189" s="97">
        <v>172.3533471927195</v>
      </c>
      <c r="D189" s="97">
        <v>760.30767247247491</v>
      </c>
      <c r="E189" s="97">
        <v>715.90278103969047</v>
      </c>
      <c r="F189" s="97">
        <v>904.64456360563793</v>
      </c>
      <c r="G189" s="97">
        <v>3305.8410356397903</v>
      </c>
      <c r="H189" s="97">
        <v>7128.8767115019036</v>
      </c>
      <c r="I189" s="97">
        <v>60</v>
      </c>
      <c r="J189" s="97">
        <v>45</v>
      </c>
      <c r="K189" s="97">
        <v>938.75123104301213</v>
      </c>
      <c r="L189" s="97">
        <v>4141.1424560667465</v>
      </c>
      <c r="M189" s="97">
        <v>3899.2838140628473</v>
      </c>
      <c r="N189" s="97">
        <v>4603.8869582830257</v>
      </c>
      <c r="O189" s="97">
        <v>53587.683187721006</v>
      </c>
      <c r="P189" s="97">
        <v>183024.48336873186</v>
      </c>
      <c r="Q189" s="97">
        <v>13971.452088081185</v>
      </c>
      <c r="R189" s="97">
        <v>264166.68310398969</v>
      </c>
      <c r="S189" s="97">
        <v>47423729.526006885</v>
      </c>
      <c r="T189" s="97">
        <v>31893843.797342017</v>
      </c>
      <c r="U189" s="45">
        <v>0</v>
      </c>
      <c r="V189">
        <v>0</v>
      </c>
      <c r="W189">
        <v>9.5333333333333338E-4</v>
      </c>
      <c r="X189" s="97">
        <v>7128.8767115019036</v>
      </c>
      <c r="Y189" s="97">
        <v>10.969911809999461</v>
      </c>
      <c r="Z189" s="97">
        <v>2554.8234638844751</v>
      </c>
      <c r="AA189" s="97">
        <v>124.38040718723099</v>
      </c>
      <c r="AB189" s="97">
        <v>8.3705731749763821</v>
      </c>
      <c r="AC189" s="97">
        <v>545.93254693018082</v>
      </c>
      <c r="AD189" s="97">
        <v>175.53178074101621</v>
      </c>
      <c r="AE189" s="97">
        <v>1518.7398767616728</v>
      </c>
      <c r="AF189" s="97">
        <v>2543.1082442222032</v>
      </c>
      <c r="AG189" s="97">
        <v>751.99762096905602</v>
      </c>
      <c r="AH189" s="97">
        <v>93848.270290540109</v>
      </c>
      <c r="AI189" s="97">
        <v>1551.9106261854618</v>
      </c>
      <c r="AJ189" s="97">
        <v>126017.77326097105</v>
      </c>
      <c r="AK189" s="97">
        <v>128261.24215151121</v>
      </c>
      <c r="AL189" s="97">
        <v>2243.4688905401395</v>
      </c>
      <c r="AM189" s="97">
        <v>95400.1809167256</v>
      </c>
    </row>
    <row r="190" spans="1:39" x14ac:dyDescent="0.25">
      <c r="A190" s="97">
        <v>188</v>
      </c>
      <c r="B190" s="97">
        <v>9.5333333333333338E-4</v>
      </c>
      <c r="C190" s="97">
        <v>170.41110904502926</v>
      </c>
      <c r="D190" s="97">
        <v>755.75329988979479</v>
      </c>
      <c r="E190" s="97">
        <v>713.24188252097031</v>
      </c>
      <c r="F190" s="97">
        <v>902.12051548173974</v>
      </c>
      <c r="G190" s="97">
        <v>3297.1142221862378</v>
      </c>
      <c r="H190" s="97">
        <v>7138.1242102342494</v>
      </c>
      <c r="I190" s="97">
        <v>60</v>
      </c>
      <c r="J190" s="97">
        <v>45</v>
      </c>
      <c r="K190" s="97">
        <v>928.17250726525936</v>
      </c>
      <c r="L190" s="97">
        <v>4116.336306733082</v>
      </c>
      <c r="M190" s="97">
        <v>3884.7907867975514</v>
      </c>
      <c r="N190" s="97">
        <v>4591.0416567058201</v>
      </c>
      <c r="O190" s="97">
        <v>53446.221541638915</v>
      </c>
      <c r="P190" s="97">
        <v>182734.35681772203</v>
      </c>
      <c r="Q190" s="97">
        <v>13945.751230319189</v>
      </c>
      <c r="R190" s="97">
        <v>263646.67084718187</v>
      </c>
      <c r="S190" s="97">
        <v>47687376.19685407</v>
      </c>
      <c r="T190" s="97">
        <v>32014495.020583462</v>
      </c>
      <c r="U190" s="45">
        <v>0</v>
      </c>
      <c r="V190">
        <v>0</v>
      </c>
      <c r="W190">
        <v>9.5333333333333338E-4</v>
      </c>
      <c r="X190" s="97">
        <v>7138.1242102342494</v>
      </c>
      <c r="Y190" s="97">
        <v>10.940957656130404</v>
      </c>
      <c r="Z190" s="97">
        <v>2565.7644215406053</v>
      </c>
      <c r="AA190" s="97">
        <v>124.06079833890416</v>
      </c>
      <c r="AB190" s="97">
        <v>8.3492675501047628</v>
      </c>
      <c r="AC190" s="97">
        <v>545.18958982068716</v>
      </c>
      <c r="AD190" s="97">
        <v>175.2088853611306</v>
      </c>
      <c r="AE190" s="97">
        <v>1526.5439001864829</v>
      </c>
      <c r="AF190" s="97">
        <v>2558.5100773112658</v>
      </c>
      <c r="AG190" s="97">
        <v>758.38962004424036</v>
      </c>
      <c r="AH190" s="97">
        <v>93848.270290540109</v>
      </c>
      <c r="AI190" s="97">
        <v>1551.9106261854618</v>
      </c>
      <c r="AJ190" s="97">
        <v>126017.77326097105</v>
      </c>
      <c r="AK190" s="97">
        <v>128261.24215151121</v>
      </c>
      <c r="AL190" s="97">
        <v>2243.4688905401395</v>
      </c>
      <c r="AM190" s="97">
        <v>95400.1809167256</v>
      </c>
    </row>
    <row r="191" spans="1:39" x14ac:dyDescent="0.25">
      <c r="A191" s="97">
        <v>189</v>
      </c>
      <c r="B191" s="97">
        <v>9.5333333333333338E-4</v>
      </c>
      <c r="C191" s="97">
        <v>168.49075784693292</v>
      </c>
      <c r="D191" s="97">
        <v>751.21682351771074</v>
      </c>
      <c r="E191" s="97">
        <v>710.57812652295263</v>
      </c>
      <c r="F191" s="97">
        <v>899.59647953431147</v>
      </c>
      <c r="G191" s="97">
        <v>3288.4090561778298</v>
      </c>
      <c r="H191" s="97">
        <v>7147.3459075272622</v>
      </c>
      <c r="I191" s="97">
        <v>60</v>
      </c>
      <c r="J191" s="97">
        <v>45</v>
      </c>
      <c r="K191" s="97">
        <v>917.71299440629457</v>
      </c>
      <c r="L191" s="97">
        <v>4091.6276320931311</v>
      </c>
      <c r="M191" s="97">
        <v>3870.282195795015</v>
      </c>
      <c r="N191" s="97">
        <v>4578.1964170967003</v>
      </c>
      <c r="O191" s="97">
        <v>53305.110800642622</v>
      </c>
      <c r="P191" s="97">
        <v>182441.7653252735</v>
      </c>
      <c r="Q191" s="97">
        <v>13919.929788740284</v>
      </c>
      <c r="R191" s="97">
        <v>263124.62515404756</v>
      </c>
      <c r="S191" s="97">
        <v>47950500.822008118</v>
      </c>
      <c r="T191" s="97">
        <v>32134407.706640013</v>
      </c>
      <c r="U191" s="45">
        <v>0</v>
      </c>
      <c r="V191">
        <v>0</v>
      </c>
      <c r="W191">
        <v>9.5333333333333338E-4</v>
      </c>
      <c r="X191" s="97">
        <v>7147.3459075272622</v>
      </c>
      <c r="Y191" s="97">
        <v>10.912075536440161</v>
      </c>
      <c r="Z191" s="97">
        <v>2576.6764970770455</v>
      </c>
      <c r="AA191" s="97">
        <v>123.74104108034307</v>
      </c>
      <c r="AB191" s="97">
        <v>8.3280147367720616</v>
      </c>
      <c r="AC191" s="97">
        <v>544.43775346487007</v>
      </c>
      <c r="AD191" s="97">
        <v>174.884475014012</v>
      </c>
      <c r="AE191" s="97">
        <v>1534.3314589607396</v>
      </c>
      <c r="AF191" s="97">
        <v>2573.8846445082759</v>
      </c>
      <c r="AG191" s="97">
        <v>764.7608423327614</v>
      </c>
      <c r="AH191" s="97">
        <v>93848.270290540109</v>
      </c>
      <c r="AI191" s="97">
        <v>1551.9106261854618</v>
      </c>
      <c r="AJ191" s="97">
        <v>126017.77326097105</v>
      </c>
      <c r="AK191" s="97">
        <v>128261.24215151121</v>
      </c>
      <c r="AL191" s="97">
        <v>2243.4688905401395</v>
      </c>
      <c r="AM191" s="97">
        <v>95400.1809167256</v>
      </c>
    </row>
    <row r="192" spans="1:39" x14ac:dyDescent="0.25">
      <c r="A192" s="97">
        <v>190</v>
      </c>
      <c r="B192" s="97">
        <v>9.5333333333333338E-4</v>
      </c>
      <c r="C192" s="97">
        <v>166.59204695588403</v>
      </c>
      <c r="D192" s="97">
        <v>746.69832008278252</v>
      </c>
      <c r="E192" s="97">
        <v>707.91167803768099</v>
      </c>
      <c r="F192" s="97">
        <v>897.07242534873467</v>
      </c>
      <c r="G192" s="97">
        <v>3279.725420038902</v>
      </c>
      <c r="H192" s="97">
        <v>7156.5418035054126</v>
      </c>
      <c r="I192" s="97">
        <v>60</v>
      </c>
      <c r="J192" s="97">
        <v>45</v>
      </c>
      <c r="K192" s="97">
        <v>907.37134908638166</v>
      </c>
      <c r="L192" s="97">
        <v>4067.0168500508885</v>
      </c>
      <c r="M192" s="97">
        <v>3855.7589397119023</v>
      </c>
      <c r="N192" s="97">
        <v>4565.3510846706022</v>
      </c>
      <c r="O192" s="97">
        <v>53164.349058830601</v>
      </c>
      <c r="P192" s="97">
        <v>182146.76977924281</v>
      </c>
      <c r="Q192" s="97">
        <v>13893.991164924815</v>
      </c>
      <c r="R192" s="97">
        <v>262600.60822651797</v>
      </c>
      <c r="S192" s="97">
        <v>48213101.430234633</v>
      </c>
      <c r="T192" s="97">
        <v>32253585.012543652</v>
      </c>
      <c r="U192" s="45">
        <v>0</v>
      </c>
      <c r="V192">
        <v>0</v>
      </c>
      <c r="W192">
        <v>9.5333333333333338E-4</v>
      </c>
      <c r="X192" s="97">
        <v>7156.5418035054126</v>
      </c>
      <c r="Y192" s="97">
        <v>10.88326506078184</v>
      </c>
      <c r="Z192" s="97">
        <v>2587.5597621378274</v>
      </c>
      <c r="AA192" s="97">
        <v>123.42115799604373</v>
      </c>
      <c r="AB192" s="97">
        <v>8.3068144567261779</v>
      </c>
      <c r="AC192" s="97">
        <v>543.6772382752788</v>
      </c>
      <c r="AD192" s="97">
        <v>174.55859243576626</v>
      </c>
      <c r="AE192" s="97">
        <v>1542.102525679315</v>
      </c>
      <c r="AF192" s="97">
        <v>2589.2317871936207</v>
      </c>
      <c r="AG192" s="97">
        <v>771.11133363530632</v>
      </c>
      <c r="AH192" s="97">
        <v>93848.270290540109</v>
      </c>
      <c r="AI192" s="97">
        <v>1551.9106261854618</v>
      </c>
      <c r="AJ192" s="97">
        <v>126017.77326097105</v>
      </c>
      <c r="AK192" s="97">
        <v>128261.24215151121</v>
      </c>
      <c r="AL192" s="97">
        <v>2243.4688905401395</v>
      </c>
      <c r="AM192" s="97">
        <v>95400.1809167256</v>
      </c>
    </row>
    <row r="193" spans="1:39" x14ac:dyDescent="0.25">
      <c r="A193" s="97">
        <v>191</v>
      </c>
      <c r="B193" s="97">
        <v>9.5333333333333338E-4</v>
      </c>
      <c r="C193" s="97">
        <v>164.71473250873422</v>
      </c>
      <c r="D193" s="97">
        <v>742.19786312827932</v>
      </c>
      <c r="E193" s="97">
        <v>705.24270071749015</v>
      </c>
      <c r="F193" s="97">
        <v>894.54832459858721</v>
      </c>
      <c r="G193" s="97">
        <v>3271.0631965221592</v>
      </c>
      <c r="H193" s="97">
        <v>7165.7118979822653</v>
      </c>
      <c r="I193" s="97">
        <v>60</v>
      </c>
      <c r="J193" s="97">
        <v>45</v>
      </c>
      <c r="K193" s="97">
        <v>897.146243064239</v>
      </c>
      <c r="L193" s="97">
        <v>4042.504361172028</v>
      </c>
      <c r="M193" s="97">
        <v>3841.2219099079293</v>
      </c>
      <c r="N193" s="97">
        <v>4552.5055152696432</v>
      </c>
      <c r="O193" s="97">
        <v>53023.9344156242</v>
      </c>
      <c r="P193" s="97">
        <v>181849.42990554631</v>
      </c>
      <c r="Q193" s="97">
        <v>13867.938695833307</v>
      </c>
      <c r="R193" s="97">
        <v>262074.68104641765</v>
      </c>
      <c r="S193" s="97">
        <v>48475176.111281052</v>
      </c>
      <c r="T193" s="97">
        <v>32372030.113115504</v>
      </c>
      <c r="U193" s="45">
        <v>0</v>
      </c>
      <c r="V193">
        <v>0</v>
      </c>
      <c r="W193">
        <v>9.5333333333333338E-4</v>
      </c>
      <c r="X193" s="97">
        <v>7165.7118979822653</v>
      </c>
      <c r="Y193" s="97">
        <v>10.854525840028939</v>
      </c>
      <c r="Z193" s="97">
        <v>2598.4142879778565</v>
      </c>
      <c r="AA193" s="97">
        <v>123.10117103104429</v>
      </c>
      <c r="AB193" s="97">
        <v>8.2856664316765887</v>
      </c>
      <c r="AC193" s="97">
        <v>542.90824104840453</v>
      </c>
      <c r="AD193" s="97">
        <v>174.23127955064146</v>
      </c>
      <c r="AE193" s="97">
        <v>1549.8570741038554</v>
      </c>
      <c r="AF193" s="97">
        <v>2604.5513510345436</v>
      </c>
      <c r="AG193" s="97">
        <v>777.4411398601161</v>
      </c>
      <c r="AH193" s="97">
        <v>93848.270290540109</v>
      </c>
      <c r="AI193" s="97">
        <v>1551.9106261854618</v>
      </c>
      <c r="AJ193" s="97">
        <v>126017.77326097105</v>
      </c>
      <c r="AK193" s="97">
        <v>128261.24215151121</v>
      </c>
      <c r="AL193" s="97">
        <v>2243.4688905401395</v>
      </c>
      <c r="AM193" s="97">
        <v>95400.1809167256</v>
      </c>
    </row>
    <row r="194" spans="1:39" x14ac:dyDescent="0.25">
      <c r="A194" s="97">
        <v>192</v>
      </c>
      <c r="B194" s="97">
        <v>9.5333333333333338E-4</v>
      </c>
      <c r="C194" s="97">
        <v>162.85857339041237</v>
      </c>
      <c r="D194" s="97">
        <v>737.71552306936337</v>
      </c>
      <c r="E194" s="97">
        <v>702.57135686700144</v>
      </c>
      <c r="F194" s="97">
        <v>892.02415100811083</v>
      </c>
      <c r="G194" s="97">
        <v>3262.4222687282368</v>
      </c>
      <c r="H194" s="97">
        <v>7174.8561904818262</v>
      </c>
      <c r="I194" s="97">
        <v>61</v>
      </c>
      <c r="J194" s="97">
        <v>45</v>
      </c>
      <c r="K194" s="97">
        <v>887.03636306644603</v>
      </c>
      <c r="L194" s="97">
        <v>4018.0905489844654</v>
      </c>
      <c r="M194" s="97">
        <v>3826.6719904022675</v>
      </c>
      <c r="N194" s="97">
        <v>4539.6595751721106</v>
      </c>
      <c r="O194" s="97">
        <v>52883.864976084718</v>
      </c>
      <c r="P194" s="97">
        <v>181549.8042889871</v>
      </c>
      <c r="Q194" s="97">
        <v>13841.775654847021</v>
      </c>
      <c r="R194" s="97">
        <v>261546.90339754414</v>
      </c>
      <c r="S194" s="97">
        <v>48736723.014678597</v>
      </c>
      <c r="T194" s="97">
        <v>32489746.199980523</v>
      </c>
      <c r="U194" s="45">
        <v>0</v>
      </c>
      <c r="V194">
        <v>0</v>
      </c>
      <c r="W194">
        <v>9.5333333333333338E-4</v>
      </c>
      <c r="X194" s="97">
        <v>7174.8561904818262</v>
      </c>
      <c r="Y194" s="97">
        <v>10.825857486141718</v>
      </c>
      <c r="Z194" s="97">
        <v>2609.240145463998</v>
      </c>
      <c r="AA194" s="97">
        <v>122.79328075621626</v>
      </c>
      <c r="AB194" s="97">
        <v>8.2523911340955127</v>
      </c>
      <c r="AC194" s="97">
        <v>542.11877577566668</v>
      </c>
      <c r="AD194" s="97">
        <v>173.90257748410102</v>
      </c>
      <c r="AE194" s="97">
        <v>1557.595079138267</v>
      </c>
      <c r="AF194" s="97">
        <v>2619.8431859020948</v>
      </c>
      <c r="AG194" s="97">
        <v>783.75030701879655</v>
      </c>
      <c r="AH194" s="97">
        <v>96940.232909720653</v>
      </c>
      <c r="AI194" s="97">
        <v>1632.9323228685037</v>
      </c>
      <c r="AJ194" s="97">
        <v>132445.74147967205</v>
      </c>
      <c r="AK194" s="97">
        <v>134857.6486585903</v>
      </c>
      <c r="AL194" s="97">
        <v>2411.9071789182358</v>
      </c>
      <c r="AM194" s="97">
        <v>98573.165232589177</v>
      </c>
    </row>
    <row r="195" spans="1:39" x14ac:dyDescent="0.25">
      <c r="A195" s="97">
        <v>193</v>
      </c>
      <c r="B195" s="97">
        <v>1.0516666666666667E-3</v>
      </c>
      <c r="C195" s="97">
        <v>161.00731677657333</v>
      </c>
      <c r="D195" s="97">
        <v>733.1788252210556</v>
      </c>
      <c r="E195" s="97">
        <v>699.82872125219239</v>
      </c>
      <c r="F195" s="97">
        <v>889.4121646068304</v>
      </c>
      <c r="G195" s="97">
        <v>3253.4817152683449</v>
      </c>
      <c r="H195" s="97">
        <v>7183.9746802595037</v>
      </c>
      <c r="I195" s="97">
        <v>61</v>
      </c>
      <c r="J195" s="97">
        <v>45</v>
      </c>
      <c r="K195" s="97">
        <v>876.95318537640264</v>
      </c>
      <c r="L195" s="97">
        <v>3993.3806680373491</v>
      </c>
      <c r="M195" s="97">
        <v>3811.7337684202744</v>
      </c>
      <c r="N195" s="97">
        <v>4526.366741044927</v>
      </c>
      <c r="O195" s="97">
        <v>52738.938604499876</v>
      </c>
      <c r="P195" s="97">
        <v>181230.0755430178</v>
      </c>
      <c r="Q195" s="97">
        <v>13814.144144858286</v>
      </c>
      <c r="R195" s="97">
        <v>260991.59265525491</v>
      </c>
      <c r="S195" s="97">
        <v>48997714.607333854</v>
      </c>
      <c r="T195" s="97">
        <v>32606724.943159778</v>
      </c>
      <c r="U195" s="45">
        <v>0</v>
      </c>
      <c r="V195">
        <v>0</v>
      </c>
      <c r="W195">
        <v>1.0516666666666667E-3</v>
      </c>
      <c r="X195" s="97">
        <v>7183.9746802595037</v>
      </c>
      <c r="Y195" s="97">
        <v>10.797259612231942</v>
      </c>
      <c r="Z195" s="97">
        <v>2620.0374050762298</v>
      </c>
      <c r="AA195" s="97">
        <v>122.47293787857723</v>
      </c>
      <c r="AB195" s="97">
        <v>8.2313777967624446</v>
      </c>
      <c r="AC195" s="97">
        <v>541.26813695576334</v>
      </c>
      <c r="AD195" s="97">
        <v>173.55542615564153</v>
      </c>
      <c r="AE195" s="97">
        <v>1565.3165168046698</v>
      </c>
      <c r="AF195" s="97">
        <v>2635.1072280229464</v>
      </c>
      <c r="AG195" s="97">
        <v>790.68752786207483</v>
      </c>
      <c r="AH195" s="97">
        <v>96940.232909720653</v>
      </c>
      <c r="AI195" s="97">
        <v>1632.9323228685037</v>
      </c>
      <c r="AJ195" s="97">
        <v>132445.74147967205</v>
      </c>
      <c r="AK195" s="97">
        <v>134857.6486585903</v>
      </c>
      <c r="AL195" s="97">
        <v>2411.9071789182358</v>
      </c>
      <c r="AM195" s="97">
        <v>98573.165232589177</v>
      </c>
    </row>
    <row r="196" spans="1:39" x14ac:dyDescent="0.25">
      <c r="A196" s="97">
        <v>194</v>
      </c>
      <c r="B196" s="97">
        <v>1.0516666666666667E-3</v>
      </c>
      <c r="C196" s="97">
        <v>159.17710388784459</v>
      </c>
      <c r="D196" s="97">
        <v>728.66126101511338</v>
      </c>
      <c r="E196" s="97">
        <v>697.08457223518496</v>
      </c>
      <c r="F196" s="97">
        <v>886.80056388252058</v>
      </c>
      <c r="G196" s="97">
        <v>3244.5639516151682</v>
      </c>
      <c r="H196" s="97">
        <v>7193.0664696711956</v>
      </c>
      <c r="I196" s="97">
        <v>61</v>
      </c>
      <c r="J196" s="97">
        <v>45</v>
      </c>
      <c r="K196" s="97">
        <v>866.98462584246022</v>
      </c>
      <c r="L196" s="97">
        <v>3968.7750016623172</v>
      </c>
      <c r="M196" s="97">
        <v>3796.787303440974</v>
      </c>
      <c r="N196" s="97">
        <v>4513.0758696921275</v>
      </c>
      <c r="O196" s="97">
        <v>52594.381655681878</v>
      </c>
      <c r="P196" s="97">
        <v>180908.21450986282</v>
      </c>
      <c r="Q196" s="97">
        <v>13786.413685162877</v>
      </c>
      <c r="R196" s="97">
        <v>260434.63265134546</v>
      </c>
      <c r="S196" s="97">
        <v>49258149.239985198</v>
      </c>
      <c r="T196" s="97">
        <v>32722969.698784385</v>
      </c>
      <c r="U196" s="45">
        <v>0</v>
      </c>
      <c r="V196">
        <v>0</v>
      </c>
      <c r="W196">
        <v>1.0516666666666667E-3</v>
      </c>
      <c r="X196" s="97">
        <v>7193.0664696711956</v>
      </c>
      <c r="Y196" s="97">
        <v>10.767670102097462</v>
      </c>
      <c r="Z196" s="97">
        <v>2630.8050751783271</v>
      </c>
      <c r="AA196" s="97">
        <v>122.15224474435945</v>
      </c>
      <c r="AB196" s="97">
        <v>8.209668120704837</v>
      </c>
      <c r="AC196" s="97">
        <v>540.41003905624416</v>
      </c>
      <c r="AD196" s="97">
        <v>173.2070316623265</v>
      </c>
      <c r="AE196" s="97">
        <v>1573.0206044639328</v>
      </c>
      <c r="AF196" s="97">
        <v>2650.3418315241024</v>
      </c>
      <c r="AG196" s="97">
        <v>797.60140037713575</v>
      </c>
      <c r="AH196" s="97">
        <v>96940.232909720653</v>
      </c>
      <c r="AI196" s="97">
        <v>1632.9323228685037</v>
      </c>
      <c r="AJ196" s="97">
        <v>132445.74147967205</v>
      </c>
      <c r="AK196" s="97">
        <v>134857.6486585903</v>
      </c>
      <c r="AL196" s="97">
        <v>2411.9071789182358</v>
      </c>
      <c r="AM196" s="97">
        <v>98573.165232589177</v>
      </c>
    </row>
    <row r="197" spans="1:39" x14ac:dyDescent="0.25">
      <c r="A197" s="97">
        <v>195</v>
      </c>
      <c r="B197" s="97">
        <v>1.0516666666666667E-3</v>
      </c>
      <c r="C197" s="97">
        <v>157.36769551461944</v>
      </c>
      <c r="D197" s="97">
        <v>724.16288629217877</v>
      </c>
      <c r="E197" s="97">
        <v>694.33906855971486</v>
      </c>
      <c r="F197" s="97">
        <v>884.18932845071868</v>
      </c>
      <c r="G197" s="97">
        <v>3235.6688555588812</v>
      </c>
      <c r="H197" s="97">
        <v>7202.1315626593878</v>
      </c>
      <c r="I197" s="97">
        <v>61</v>
      </c>
      <c r="J197" s="97">
        <v>45</v>
      </c>
      <c r="K197" s="97">
        <v>857.12938156962718</v>
      </c>
      <c r="L197" s="97">
        <v>3944.2738540047335</v>
      </c>
      <c r="M197" s="97">
        <v>3781.8334600885801</v>
      </c>
      <c r="N197" s="97">
        <v>4499.7868573737824</v>
      </c>
      <c r="O197" s="97">
        <v>52450.192148609465</v>
      </c>
      <c r="P197" s="97">
        <v>180584.27815129267</v>
      </c>
      <c r="Q197" s="97">
        <v>13758.587359622923</v>
      </c>
      <c r="R197" s="97">
        <v>259876.08121256178</v>
      </c>
      <c r="S197" s="97">
        <v>49518025.321197763</v>
      </c>
      <c r="T197" s="97">
        <v>32838483.836587209</v>
      </c>
      <c r="U197" s="45">
        <v>0</v>
      </c>
      <c r="V197">
        <v>0</v>
      </c>
      <c r="W197">
        <v>1.0516666666666667E-3</v>
      </c>
      <c r="X197" s="97">
        <v>7202.1315626593878</v>
      </c>
      <c r="Y197" s="97">
        <v>10.738156016736154</v>
      </c>
      <c r="Z197" s="97">
        <v>2641.5432311950631</v>
      </c>
      <c r="AA197" s="97">
        <v>121.83123006765913</v>
      </c>
      <c r="AB197" s="97">
        <v>8.1880133880156105</v>
      </c>
      <c r="AC197" s="97">
        <v>539.54466198107309</v>
      </c>
      <c r="AD197" s="97">
        <v>172.8574327485762</v>
      </c>
      <c r="AE197" s="97">
        <v>1580.7073231811341</v>
      </c>
      <c r="AF197" s="97">
        <v>2665.5468607483258</v>
      </c>
      <c r="AG197" s="97">
        <v>804.49198007825294</v>
      </c>
      <c r="AH197" s="97">
        <v>96940.232909720653</v>
      </c>
      <c r="AI197" s="97">
        <v>1632.9323228685037</v>
      </c>
      <c r="AJ197" s="97">
        <v>132445.74147967205</v>
      </c>
      <c r="AK197" s="97">
        <v>134857.6486585903</v>
      </c>
      <c r="AL197" s="97">
        <v>2411.9071789182358</v>
      </c>
      <c r="AM197" s="97">
        <v>98573.165232589177</v>
      </c>
    </row>
    <row r="198" spans="1:39" x14ac:dyDescent="0.25">
      <c r="A198" s="97">
        <v>196</v>
      </c>
      <c r="B198" s="97">
        <v>1.0516666666666667E-3</v>
      </c>
      <c r="C198" s="97">
        <v>155.57885516645024</v>
      </c>
      <c r="D198" s="97">
        <v>719.68375395473788</v>
      </c>
      <c r="E198" s="97">
        <v>691.59236753232517</v>
      </c>
      <c r="F198" s="97">
        <v>881.57843983886141</v>
      </c>
      <c r="G198" s="97">
        <v>3226.7963053577723</v>
      </c>
      <c r="H198" s="97">
        <v>7211.169962958189</v>
      </c>
      <c r="I198" s="97">
        <v>61</v>
      </c>
      <c r="J198" s="97">
        <v>45</v>
      </c>
      <c r="K198" s="97">
        <v>847.38616447326558</v>
      </c>
      <c r="L198" s="97">
        <v>3919.8775132068054</v>
      </c>
      <c r="M198" s="97">
        <v>3766.8730951593975</v>
      </c>
      <c r="N198" s="97">
        <v>4486.499610079939</v>
      </c>
      <c r="O198" s="97">
        <v>52306.368109849493</v>
      </c>
      <c r="P198" s="97">
        <v>180258.32231143527</v>
      </c>
      <c r="Q198" s="97">
        <v>13730.668194757507</v>
      </c>
      <c r="R198" s="97">
        <v>259315.99499896169</v>
      </c>
      <c r="S198" s="97">
        <v>49777341.316196725</v>
      </c>
      <c r="T198" s="97">
        <v>32953270.738989778</v>
      </c>
      <c r="U198" s="45">
        <v>0</v>
      </c>
      <c r="V198">
        <v>0</v>
      </c>
      <c r="W198">
        <v>1.0516666666666667E-3</v>
      </c>
      <c r="X198" s="97">
        <v>7211.169962958189</v>
      </c>
      <c r="Y198" s="97">
        <v>10.708716951684373</v>
      </c>
      <c r="Z198" s="97">
        <v>2652.2519481467475</v>
      </c>
      <c r="AA198" s="97">
        <v>121.50992177476056</v>
      </c>
      <c r="AB198" s="97">
        <v>8.1664133071255129</v>
      </c>
      <c r="AC198" s="97">
        <v>538.67218232874654</v>
      </c>
      <c r="AD198" s="97">
        <v>172.50666743837562</v>
      </c>
      <c r="AE198" s="97">
        <v>1588.3766550985483</v>
      </c>
      <c r="AF198" s="97">
        <v>2680.7221840439865</v>
      </c>
      <c r="AG198" s="97">
        <v>811.35932256398371</v>
      </c>
      <c r="AH198" s="97">
        <v>96940.232909720653</v>
      </c>
      <c r="AI198" s="97">
        <v>1632.9323228685037</v>
      </c>
      <c r="AJ198" s="97">
        <v>132445.74147967205</v>
      </c>
      <c r="AK198" s="97">
        <v>134857.6486585903</v>
      </c>
      <c r="AL198" s="97">
        <v>2411.9071789182358</v>
      </c>
      <c r="AM198" s="97">
        <v>98573.165232589177</v>
      </c>
    </row>
    <row r="199" spans="1:39" x14ac:dyDescent="0.25">
      <c r="A199" s="97">
        <v>197</v>
      </c>
      <c r="B199" s="97">
        <v>1.0516666666666667E-3</v>
      </c>
      <c r="C199" s="97">
        <v>153.81034904113901</v>
      </c>
      <c r="D199" s="97">
        <v>715.22391401993059</v>
      </c>
      <c r="E199" s="97">
        <v>688.8446250174369</v>
      </c>
      <c r="F199" s="97">
        <v>878.96788144950165</v>
      </c>
      <c r="G199" s="97">
        <v>3217.9461797551976</v>
      </c>
      <c r="H199" s="97">
        <v>7220.1816741128778</v>
      </c>
      <c r="I199" s="97">
        <v>61</v>
      </c>
      <c r="J199" s="97">
        <v>45</v>
      </c>
      <c r="K199" s="97">
        <v>837.7537011107371</v>
      </c>
      <c r="L199" s="97">
        <v>3895.5862516952216</v>
      </c>
      <c r="M199" s="97">
        <v>3751.9070575949727</v>
      </c>
      <c r="N199" s="97">
        <v>4473.2140433434215</v>
      </c>
      <c r="O199" s="97">
        <v>52162.907573831755</v>
      </c>
      <c r="P199" s="97">
        <v>179930.40173737486</v>
      </c>
      <c r="Q199" s="97">
        <v>13702.659160540579</v>
      </c>
      <c r="R199" s="97">
        <v>258754.42952549155</v>
      </c>
      <c r="S199" s="97">
        <v>50036095.745722219</v>
      </c>
      <c r="T199" s="97">
        <v>33067333.800213858</v>
      </c>
      <c r="U199" s="45">
        <v>0</v>
      </c>
      <c r="V199">
        <v>0</v>
      </c>
      <c r="W199">
        <v>1.0516666666666667E-3</v>
      </c>
      <c r="X199" s="97">
        <v>7220.1816741128778</v>
      </c>
      <c r="Y199" s="97">
        <v>10.679352504027731</v>
      </c>
      <c r="Z199" s="97">
        <v>2662.931300650775</v>
      </c>
      <c r="AA199" s="97">
        <v>121.18834702376958</v>
      </c>
      <c r="AB199" s="97">
        <v>8.1448675868984477</v>
      </c>
      <c r="AC199" s="97">
        <v>537.79277344810248</v>
      </c>
      <c r="AD199" s="97">
        <v>172.15477304529907</v>
      </c>
      <c r="AE199" s="97">
        <v>1596.0285834122451</v>
      </c>
      <c r="AF199" s="97">
        <v>2695.8676736867556</v>
      </c>
      <c r="AG199" s="97">
        <v>818.20348351286759</v>
      </c>
      <c r="AH199" s="97">
        <v>96940.232909720653</v>
      </c>
      <c r="AI199" s="97">
        <v>1632.9323228685037</v>
      </c>
      <c r="AJ199" s="97">
        <v>132445.74147967205</v>
      </c>
      <c r="AK199" s="97">
        <v>134857.6486585903</v>
      </c>
      <c r="AL199" s="97">
        <v>2411.9071789182358</v>
      </c>
      <c r="AM199" s="97">
        <v>98573.165232589177</v>
      </c>
    </row>
    <row r="200" spans="1:39" x14ac:dyDescent="0.25">
      <c r="A200" s="97">
        <v>198</v>
      </c>
      <c r="B200" s="97">
        <v>1.0516666666666667E-3</v>
      </c>
      <c r="C200" s="97">
        <v>152.06194599417935</v>
      </c>
      <c r="D200" s="97">
        <v>710.78341367159589</v>
      </c>
      <c r="E200" s="97">
        <v>686.09599543286663</v>
      </c>
      <c r="F200" s="97">
        <v>876.35763852388754</v>
      </c>
      <c r="G200" s="97">
        <v>3209.1183579960616</v>
      </c>
      <c r="H200" s="97">
        <v>7229.1666994990692</v>
      </c>
      <c r="I200" s="97">
        <v>61</v>
      </c>
      <c r="J200" s="97">
        <v>45</v>
      </c>
      <c r="K200" s="97">
        <v>828.23073251496351</v>
      </c>
      <c r="L200" s="97">
        <v>3871.4003264646253</v>
      </c>
      <c r="M200" s="97">
        <v>3736.9361884576801</v>
      </c>
      <c r="N200" s="97">
        <v>4459.930082054484</v>
      </c>
      <c r="O200" s="97">
        <v>52019.808583116159</v>
      </c>
      <c r="P200" s="97">
        <v>179600.57009938528</v>
      </c>
      <c r="Q200" s="97">
        <v>13674.563171198562</v>
      </c>
      <c r="R200" s="97">
        <v>258191.43918319175</v>
      </c>
      <c r="S200" s="97">
        <v>50294287.18490541</v>
      </c>
      <c r="T200" s="97">
        <v>33180676.42541714</v>
      </c>
      <c r="U200" s="45">
        <v>0</v>
      </c>
      <c r="V200">
        <v>0</v>
      </c>
      <c r="W200">
        <v>1.0516666666666667E-3</v>
      </c>
      <c r="X200" s="97">
        <v>7229.1666994990692</v>
      </c>
      <c r="Y200" s="97">
        <v>10.650062272457214</v>
      </c>
      <c r="Z200" s="97">
        <v>2673.5813629232321</v>
      </c>
      <c r="AA200" s="97">
        <v>120.86653222378499</v>
      </c>
      <c r="AB200" s="97">
        <v>8.1233759366880864</v>
      </c>
      <c r="AC200" s="97">
        <v>536.90660549325116</v>
      </c>
      <c r="AD200" s="97">
        <v>171.80178618253109</v>
      </c>
      <c r="AE200" s="97">
        <v>1603.6630923491487</v>
      </c>
      <c r="AF200" s="97">
        <v>2710.9832058026291</v>
      </c>
      <c r="AG200" s="97">
        <v>825.02451867921263</v>
      </c>
      <c r="AH200" s="97">
        <v>96940.232909720653</v>
      </c>
      <c r="AI200" s="97">
        <v>1632.9323228685037</v>
      </c>
      <c r="AJ200" s="97">
        <v>132445.74147967205</v>
      </c>
      <c r="AK200" s="97">
        <v>134857.6486585903</v>
      </c>
      <c r="AL200" s="97">
        <v>2411.9071789182358</v>
      </c>
      <c r="AM200" s="97">
        <v>98573.165232589177</v>
      </c>
    </row>
    <row r="201" spans="1:39" x14ac:dyDescent="0.25">
      <c r="A201" s="97">
        <v>199</v>
      </c>
      <c r="B201" s="97">
        <v>1.0516666666666667E-3</v>
      </c>
      <c r="C201" s="97">
        <v>150.33341750854589</v>
      </c>
      <c r="D201" s="97">
        <v>706.36229731156345</v>
      </c>
      <c r="E201" s="97">
        <v>683.34663174577997</v>
      </c>
      <c r="F201" s="97">
        <v>873.74769810590431</v>
      </c>
      <c r="G201" s="97">
        <v>3200.3127198428379</v>
      </c>
      <c r="H201" s="97">
        <v>7238.1250423415122</v>
      </c>
      <c r="I201" s="97">
        <v>61</v>
      </c>
      <c r="J201" s="97">
        <v>45</v>
      </c>
      <c r="K201" s="97">
        <v>818.81601402987985</v>
      </c>
      <c r="L201" s="97">
        <v>3847.319979356982</v>
      </c>
      <c r="M201" s="97">
        <v>3721.9613209086815</v>
      </c>
      <c r="N201" s="97">
        <v>4446.6476602772982</v>
      </c>
      <c r="O201" s="97">
        <v>51877.069188652407</v>
      </c>
      <c r="P201" s="97">
        <v>179268.88001080361</v>
      </c>
      <c r="Q201" s="97">
        <v>13646.383086007005</v>
      </c>
      <c r="R201" s="97">
        <v>257627.07726003588</v>
      </c>
      <c r="S201" s="97">
        <v>50551914.262165442</v>
      </c>
      <c r="T201" s="97">
        <v>33293302.029852435</v>
      </c>
      <c r="U201" s="45">
        <v>0</v>
      </c>
      <c r="V201">
        <v>0</v>
      </c>
      <c r="W201">
        <v>1.0516666666666667E-3</v>
      </c>
      <c r="X201" s="97">
        <v>7238.1250423415122</v>
      </c>
      <c r="Y201" s="97">
        <v>10.620845857323726</v>
      </c>
      <c r="Z201" s="97">
        <v>2684.2022087805558</v>
      </c>
      <c r="AA201" s="97">
        <v>120.54450305361861</v>
      </c>
      <c r="AB201" s="97">
        <v>8.1019380663932026</v>
      </c>
      <c r="AC201" s="97">
        <v>536.0138454776411</v>
      </c>
      <c r="AD201" s="97">
        <v>171.44774277287524</v>
      </c>
      <c r="AE201" s="97">
        <v>1611.2801671445511</v>
      </c>
      <c r="AF201" s="97">
        <v>2726.0686602922679</v>
      </c>
      <c r="AG201" s="97">
        <v>831.82248388896585</v>
      </c>
      <c r="AH201" s="97">
        <v>96940.232909720653</v>
      </c>
      <c r="AI201" s="97">
        <v>1632.9323228685037</v>
      </c>
      <c r="AJ201" s="97">
        <v>132445.74147967205</v>
      </c>
      <c r="AK201" s="97">
        <v>134857.6486585903</v>
      </c>
      <c r="AL201" s="97">
        <v>2411.9071789182358</v>
      </c>
      <c r="AM201" s="97">
        <v>98573.165232589177</v>
      </c>
    </row>
    <row r="202" spans="1:39" x14ac:dyDescent="0.25">
      <c r="A202" s="97">
        <v>200</v>
      </c>
      <c r="B202" s="97">
        <v>1.0516666666666667E-3</v>
      </c>
      <c r="C202" s="97">
        <v>148.62453766482682</v>
      </c>
      <c r="D202" s="97">
        <v>701.96060661020181</v>
      </c>
      <c r="E202" s="97">
        <v>680.59668546907062</v>
      </c>
      <c r="F202" s="97">
        <v>871.13804900638024</v>
      </c>
      <c r="G202" s="97">
        <v>3191.5291455911301</v>
      </c>
      <c r="H202" s="97">
        <v>7247.0567057325134</v>
      </c>
      <c r="I202" s="97">
        <v>61</v>
      </c>
      <c r="J202" s="97">
        <v>45</v>
      </c>
      <c r="K202" s="97">
        <v>809.50831514775666</v>
      </c>
      <c r="L202" s="97">
        <v>3823.3454373368991</v>
      </c>
      <c r="M202" s="97">
        <v>3706.9832801882044</v>
      </c>
      <c r="N202" s="97">
        <v>4433.3667210683034</v>
      </c>
      <c r="O202" s="97">
        <v>51734.687450032223</v>
      </c>
      <c r="P202" s="97">
        <v>178935.38304755077</v>
      </c>
      <c r="Q202" s="97">
        <v>13618.121710085676</v>
      </c>
      <c r="R202" s="97">
        <v>257061.39596140984</v>
      </c>
      <c r="S202" s="97">
        <v>50808975.658126853</v>
      </c>
      <c r="T202" s="97">
        <v>33405214.03804988</v>
      </c>
      <c r="U202" s="45">
        <v>0</v>
      </c>
      <c r="V202">
        <v>0</v>
      </c>
      <c r="W202">
        <v>1.0516666666666667E-3</v>
      </c>
      <c r="X202" s="97">
        <v>7247.0567057325134</v>
      </c>
      <c r="Y202" s="97">
        <v>10.591702860691106</v>
      </c>
      <c r="Z202" s="97">
        <v>2694.7939116412467</v>
      </c>
      <c r="AA202" s="97">
        <v>120.22228448007431</v>
      </c>
      <c r="AB202" s="97">
        <v>8.0805536865116707</v>
      </c>
      <c r="AC202" s="97">
        <v>535.11465732727288</v>
      </c>
      <c r="AD202" s="97">
        <v>171.09267805874333</v>
      </c>
      <c r="AE202" s="97">
        <v>1618.8797940200691</v>
      </c>
      <c r="AF202" s="97">
        <v>2741.1239207566314</v>
      </c>
      <c r="AG202" s="97">
        <v>838.59743503566858</v>
      </c>
      <c r="AH202" s="97">
        <v>96940.232909720653</v>
      </c>
      <c r="AI202" s="97">
        <v>1632.9323228685037</v>
      </c>
      <c r="AJ202" s="97">
        <v>132445.74147967205</v>
      </c>
      <c r="AK202" s="97">
        <v>134857.6486585903</v>
      </c>
      <c r="AL202" s="97">
        <v>2411.9071789182358</v>
      </c>
      <c r="AM202" s="97">
        <v>98573.165232589177</v>
      </c>
    </row>
    <row r="203" spans="1:39" x14ac:dyDescent="0.25">
      <c r="A203" s="97">
        <v>201</v>
      </c>
      <c r="B203" s="97">
        <v>1.0516666666666667E-3</v>
      </c>
      <c r="C203" s="97">
        <v>146.93508311169626</v>
      </c>
      <c r="D203" s="97">
        <v>697.57838055623188</v>
      </c>
      <c r="E203" s="97">
        <v>677.84630665815405</v>
      </c>
      <c r="F203" s="97">
        <v>868.52868176775667</v>
      </c>
      <c r="G203" s="97">
        <v>3182.7675160847853</v>
      </c>
      <c r="H203" s="97">
        <v>7255.9616926500012</v>
      </c>
      <c r="I203" s="97">
        <v>61</v>
      </c>
      <c r="J203" s="97">
        <v>45</v>
      </c>
      <c r="K203" s="97">
        <v>800.30641934837229</v>
      </c>
      <c r="L203" s="97">
        <v>3799.4769127629429</v>
      </c>
      <c r="M203" s="97">
        <v>3692.0028835980788</v>
      </c>
      <c r="N203" s="97">
        <v>4420.0872162964079</v>
      </c>
      <c r="O203" s="97">
        <v>51592.661435734371</v>
      </c>
      <c r="P203" s="97">
        <v>178600.12976730574</v>
      </c>
      <c r="Q203" s="97">
        <v>13589.781795191506</v>
      </c>
      <c r="R203" s="97">
        <v>256494.44643023741</v>
      </c>
      <c r="S203" s="97">
        <v>51065470.10455709</v>
      </c>
      <c r="T203" s="97">
        <v>33516415.883021574</v>
      </c>
      <c r="U203" s="45">
        <v>0</v>
      </c>
      <c r="V203">
        <v>0</v>
      </c>
      <c r="W203">
        <v>1.0516666666666667E-3</v>
      </c>
      <c r="X203" s="97">
        <v>7255.9616926500012</v>
      </c>
      <c r="Y203" s="97">
        <v>10.562632886387634</v>
      </c>
      <c r="Z203" s="97">
        <v>2705.3565445276345</v>
      </c>
      <c r="AA203" s="97">
        <v>119.89990077579614</v>
      </c>
      <c r="AB203" s="97">
        <v>8.0592225081932458</v>
      </c>
      <c r="AC203" s="97">
        <v>534.2092019330745</v>
      </c>
      <c r="AD203" s="97">
        <v>170.73662661211767</v>
      </c>
      <c r="AE203" s="97">
        <v>1626.4619601620384</v>
      </c>
      <c r="AF203" s="97">
        <v>2756.1488744238941</v>
      </c>
      <c r="AG203" s="97">
        <v>845.34942807649372</v>
      </c>
      <c r="AH203" s="97">
        <v>96940.232909720653</v>
      </c>
      <c r="AI203" s="97">
        <v>1632.9323228685037</v>
      </c>
      <c r="AJ203" s="97">
        <v>132445.74147967205</v>
      </c>
      <c r="AK203" s="97">
        <v>134857.6486585903</v>
      </c>
      <c r="AL203" s="97">
        <v>2411.9071789182358</v>
      </c>
      <c r="AM203" s="97">
        <v>98573.165232589177</v>
      </c>
    </row>
    <row r="204" spans="1:39" x14ac:dyDescent="0.25">
      <c r="A204" s="97">
        <v>202</v>
      </c>
      <c r="B204" s="97">
        <v>1.0516666666666667E-3</v>
      </c>
      <c r="C204" s="97">
        <v>145.26483303672214</v>
      </c>
      <c r="D204" s="97">
        <v>693.21565550581658</v>
      </c>
      <c r="E204" s="97">
        <v>675.09564390816661</v>
      </c>
      <c r="F204" s="97">
        <v>865.9195886291219</v>
      </c>
      <c r="G204" s="97">
        <v>3174.0277127305567</v>
      </c>
      <c r="H204" s="97">
        <v>7264.8400059752275</v>
      </c>
      <c r="I204" s="97">
        <v>61</v>
      </c>
      <c r="J204" s="97">
        <v>45</v>
      </c>
      <c r="K204" s="97">
        <v>791.20912394001323</v>
      </c>
      <c r="L204" s="97">
        <v>3775.7146036550139</v>
      </c>
      <c r="M204" s="97">
        <v>3677.0209404864804</v>
      </c>
      <c r="N204" s="97">
        <v>4406.8091064650389</v>
      </c>
      <c r="O204" s="97">
        <v>51450.989223362325</v>
      </c>
      <c r="P204" s="97">
        <v>178263.16972833898</v>
      </c>
      <c r="Q204" s="97">
        <v>13561.366040508878</v>
      </c>
      <c r="R204" s="97">
        <v>255926.27876675673</v>
      </c>
      <c r="S204" s="97">
        <v>51321396.383323848</v>
      </c>
      <c r="T204" s="97">
        <v>33626911.005488172</v>
      </c>
      <c r="U204" s="45">
        <v>0</v>
      </c>
      <c r="V204">
        <v>0</v>
      </c>
      <c r="W204">
        <v>1.0516666666666667E-3</v>
      </c>
      <c r="X204" s="97">
        <v>7264.8400059752275</v>
      </c>
      <c r="Y204" s="97">
        <v>10.533635540056046</v>
      </c>
      <c r="Z204" s="97">
        <v>2715.8901800676904</v>
      </c>
      <c r="AA204" s="97">
        <v>119.57737553669548</v>
      </c>
      <c r="AB204" s="97">
        <v>8.0379442432910349</v>
      </c>
      <c r="AC204" s="97">
        <v>533.2976372024508</v>
      </c>
      <c r="AD204" s="97">
        <v>170.37962234447991</v>
      </c>
      <c r="AE204" s="97">
        <v>1634.0266537003367</v>
      </c>
      <c r="AF204" s="97">
        <v>2771.1434120776262</v>
      </c>
      <c r="AG204" s="97">
        <v>852.07851902836421</v>
      </c>
      <c r="AH204" s="97">
        <v>96940.232909720653</v>
      </c>
      <c r="AI204" s="97">
        <v>1632.9323228685037</v>
      </c>
      <c r="AJ204" s="97">
        <v>132445.74147967205</v>
      </c>
      <c r="AK204" s="97">
        <v>134857.6486585903</v>
      </c>
      <c r="AL204" s="97">
        <v>2411.9071789182358</v>
      </c>
      <c r="AM204" s="97">
        <v>98573.165232589177</v>
      </c>
    </row>
    <row r="205" spans="1:39" x14ac:dyDescent="0.25">
      <c r="A205" s="97">
        <v>203</v>
      </c>
      <c r="B205" s="97">
        <v>1.0516666666666667E-3</v>
      </c>
      <c r="C205" s="97">
        <v>143.61356913750586</v>
      </c>
      <c r="D205" s="97">
        <v>688.87246523093529</v>
      </c>
      <c r="E205" s="97">
        <v>672.34484435155878</v>
      </c>
      <c r="F205" s="97">
        <v>863.31076349160992</v>
      </c>
      <c r="G205" s="97">
        <v>3165.3096175123337</v>
      </c>
      <c r="H205" s="97">
        <v>7273.6916485101092</v>
      </c>
      <c r="I205" s="97">
        <v>61</v>
      </c>
      <c r="J205" s="97">
        <v>45</v>
      </c>
      <c r="K205" s="97">
        <v>782.21523990228184</v>
      </c>
      <c r="L205" s="97">
        <v>3752.0586939578275</v>
      </c>
      <c r="M205" s="97">
        <v>3662.0382522348232</v>
      </c>
      <c r="N205" s="97">
        <v>4393.5323605360509</v>
      </c>
      <c r="O205" s="97">
        <v>51309.668899874931</v>
      </c>
      <c r="P205" s="97">
        <v>177924.55150801173</v>
      </c>
      <c r="Q205" s="97">
        <v>13532.877093436722</v>
      </c>
      <c r="R205" s="97">
        <v>255356.94204795436</v>
      </c>
      <c r="S205" s="97">
        <v>51576753.325371802</v>
      </c>
      <c r="T205" s="97">
        <v>33736702.853126861</v>
      </c>
      <c r="U205" s="45">
        <v>0</v>
      </c>
      <c r="V205">
        <v>0</v>
      </c>
      <c r="W205">
        <v>1.0516666666666667E-3</v>
      </c>
      <c r="X205" s="97">
        <v>7273.6916485101092</v>
      </c>
      <c r="Y205" s="97">
        <v>10.504710429202065</v>
      </c>
      <c r="Z205" s="97">
        <v>2726.3948904968925</v>
      </c>
      <c r="AA205" s="97">
        <v>119.25473169896684</v>
      </c>
      <c r="AB205" s="97">
        <v>8.0167186044117731</v>
      </c>
      <c r="AC205" s="97">
        <v>532.38011811001968</v>
      </c>
      <c r="AD205" s="97">
        <v>170.02169851669981</v>
      </c>
      <c r="AE205" s="97">
        <v>1641.5738636876272</v>
      </c>
      <c r="AF205" s="97">
        <v>2786.1074279862196</v>
      </c>
      <c r="AG205" s="97">
        <v>858.78476396415113</v>
      </c>
      <c r="AH205" s="97">
        <v>96940.232909720653</v>
      </c>
      <c r="AI205" s="97">
        <v>1632.9323228685037</v>
      </c>
      <c r="AJ205" s="97">
        <v>132445.74147967205</v>
      </c>
      <c r="AK205" s="97">
        <v>134857.6486585903</v>
      </c>
      <c r="AL205" s="97">
        <v>2411.9071789182358</v>
      </c>
      <c r="AM205" s="97">
        <v>98573.165232589177</v>
      </c>
    </row>
    <row r="206" spans="1:39" x14ac:dyDescent="0.25">
      <c r="A206" s="97">
        <v>204</v>
      </c>
      <c r="B206" s="97">
        <v>1.0516666666666667E-3</v>
      </c>
      <c r="C206" s="97">
        <v>141.98107559315011</v>
      </c>
      <c r="D206" s="97">
        <v>684.54884096705314</v>
      </c>
      <c r="E206" s="97">
        <v>669.59405365607302</v>
      </c>
      <c r="F206" s="97">
        <v>860.70220188416363</v>
      </c>
      <c r="G206" s="97">
        <v>3156.6131130049366</v>
      </c>
      <c r="H206" s="97">
        <v>7282.5166229942197</v>
      </c>
      <c r="I206" s="97">
        <v>62</v>
      </c>
      <c r="J206" s="97">
        <v>45</v>
      </c>
      <c r="K206" s="97">
        <v>773.32359173069085</v>
      </c>
      <c r="L206" s="97">
        <v>3728.509353800549</v>
      </c>
      <c r="M206" s="97">
        <v>3647.0556122467442</v>
      </c>
      <c r="N206" s="97">
        <v>4380.2569557554889</v>
      </c>
      <c r="O206" s="97">
        <v>51168.698561810023</v>
      </c>
      <c r="P206" s="97">
        <v>177584.32272094669</v>
      </c>
      <c r="Q206" s="97">
        <v>13504.317550371992</v>
      </c>
      <c r="R206" s="97">
        <v>254786.48434666218</v>
      </c>
      <c r="S206" s="97">
        <v>51831539.809718467</v>
      </c>
      <c r="T206" s="97">
        <v>33845794.879840292</v>
      </c>
      <c r="U206" s="45">
        <v>0</v>
      </c>
      <c r="V206">
        <v>0</v>
      </c>
      <c r="W206">
        <v>1.0516666666666667E-3</v>
      </c>
      <c r="X206" s="97">
        <v>7282.5166229942197</v>
      </c>
      <c r="Y206" s="97">
        <v>10.475857163241493</v>
      </c>
      <c r="Z206" s="97">
        <v>2736.8707476601339</v>
      </c>
      <c r="AA206" s="97">
        <v>118.9447660675354</v>
      </c>
      <c r="AB206" s="97">
        <v>7.9827707931311798</v>
      </c>
      <c r="AC206" s="97">
        <v>531.44402223571319</v>
      </c>
      <c r="AD206" s="97">
        <v>169.6628877488786</v>
      </c>
      <c r="AE206" s="97">
        <v>1649.1035800790141</v>
      </c>
      <c r="AF206" s="97">
        <v>2801.0408198335467</v>
      </c>
      <c r="AG206" s="97">
        <v>865.46821900894997</v>
      </c>
      <c r="AH206" s="97">
        <v>99766.258224230609</v>
      </c>
      <c r="AI206" s="97">
        <v>1708.3521920931894</v>
      </c>
      <c r="AJ206" s="97">
        <v>138614.60032483991</v>
      </c>
      <c r="AK206" s="97">
        <v>141191.13961974782</v>
      </c>
      <c r="AL206" s="97">
        <v>2576.539294907891</v>
      </c>
      <c r="AM206" s="97">
        <v>101474.61041632382</v>
      </c>
    </row>
    <row r="207" spans="1:39" x14ac:dyDescent="0.25">
      <c r="A207" s="97">
        <v>205</v>
      </c>
      <c r="B207" s="97">
        <v>1.1566666666666667E-3</v>
      </c>
      <c r="C207" s="97">
        <v>140.35223102311369</v>
      </c>
      <c r="D207" s="97">
        <v>680.17293383179265</v>
      </c>
      <c r="E207" s="97">
        <v>666.77310864746369</v>
      </c>
      <c r="F207" s="97">
        <v>858.00352719846501</v>
      </c>
      <c r="G207" s="97">
        <v>3147.6066380106195</v>
      </c>
      <c r="H207" s="97">
        <v>7291.3149321214287</v>
      </c>
      <c r="I207" s="97">
        <v>62</v>
      </c>
      <c r="J207" s="97">
        <v>45</v>
      </c>
      <c r="K207" s="97">
        <v>764.45181830589252</v>
      </c>
      <c r="L207" s="97">
        <v>3704.6752462704972</v>
      </c>
      <c r="M207" s="97">
        <v>3631.6908650998521</v>
      </c>
      <c r="N207" s="97">
        <v>4366.5229505008547</v>
      </c>
      <c r="O207" s="97">
        <v>51022.703602152142</v>
      </c>
      <c r="P207" s="97">
        <v>177223.86013229899</v>
      </c>
      <c r="Q207" s="97">
        <v>13474.272004146289</v>
      </c>
      <c r="R207" s="97">
        <v>254188.17661877451</v>
      </c>
      <c r="S207" s="97">
        <v>52085727.986337245</v>
      </c>
      <c r="T207" s="97">
        <v>33954179.127870962</v>
      </c>
      <c r="U207" s="45">
        <v>0</v>
      </c>
      <c r="V207">
        <v>0</v>
      </c>
      <c r="W207">
        <v>1.1566666666666667E-3</v>
      </c>
      <c r="X207" s="97">
        <v>7291.3149321214287</v>
      </c>
      <c r="Y207" s="97">
        <v>10.447075353545864</v>
      </c>
      <c r="Z207" s="97">
        <v>2747.3178230136796</v>
      </c>
      <c r="AA207" s="97">
        <v>118.62190258921201</v>
      </c>
      <c r="AB207" s="97">
        <v>7.9616832928675896</v>
      </c>
      <c r="AC207" s="97">
        <v>530.44671948163989</v>
      </c>
      <c r="AD207" s="97">
        <v>169.28540742692743</v>
      </c>
      <c r="AE207" s="97">
        <v>1656.615793712107</v>
      </c>
      <c r="AF207" s="97">
        <v>2815.943574903411</v>
      </c>
      <c r="AG207" s="97">
        <v>872.79395688735553</v>
      </c>
      <c r="AH207" s="97">
        <v>99766.258224230609</v>
      </c>
      <c r="AI207" s="97">
        <v>1708.3521920931894</v>
      </c>
      <c r="AJ207" s="97">
        <v>138614.60032483991</v>
      </c>
      <c r="AK207" s="97">
        <v>141191.13961974782</v>
      </c>
      <c r="AL207" s="97">
        <v>2576.539294907891</v>
      </c>
      <c r="AM207" s="97">
        <v>101474.61041632382</v>
      </c>
    </row>
    <row r="208" spans="1:39" x14ac:dyDescent="0.25">
      <c r="A208" s="97">
        <v>206</v>
      </c>
      <c r="B208" s="97">
        <v>1.1566666666666667E-3</v>
      </c>
      <c r="C208" s="97">
        <v>138.74207299015453</v>
      </c>
      <c r="D208" s="97">
        <v>675.81755914947234</v>
      </c>
      <c r="E208" s="97">
        <v>663.95304445129466</v>
      </c>
      <c r="F208" s="97">
        <v>855.30566908146307</v>
      </c>
      <c r="G208" s="97">
        <v>3138.6233772607043</v>
      </c>
      <c r="H208" s="97">
        <v>7300.0856547337353</v>
      </c>
      <c r="I208" s="97">
        <v>62</v>
      </c>
      <c r="J208" s="97">
        <v>45</v>
      </c>
      <c r="K208" s="97">
        <v>755.68182421970823</v>
      </c>
      <c r="L208" s="97">
        <v>3680.9529721674589</v>
      </c>
      <c r="M208" s="97">
        <v>3616.3309154447179</v>
      </c>
      <c r="N208" s="97">
        <v>4352.7931009004124</v>
      </c>
      <c r="O208" s="97">
        <v>50877.084945396018</v>
      </c>
      <c r="P208" s="97">
        <v>176861.93058790974</v>
      </c>
      <c r="Q208" s="97">
        <v>13444.16702533762</v>
      </c>
      <c r="R208" s="97">
        <v>253588.94137137567</v>
      </c>
      <c r="S208" s="97">
        <v>52339316.927708618</v>
      </c>
      <c r="T208" s="97">
        <v>34061859.198779494</v>
      </c>
      <c r="U208" s="45">
        <v>0</v>
      </c>
      <c r="V208">
        <v>0</v>
      </c>
      <c r="W208">
        <v>1.1566666666666667E-3</v>
      </c>
      <c r="X208" s="97">
        <v>7300.0856547337353</v>
      </c>
      <c r="Y208" s="97">
        <v>10.417267670574578</v>
      </c>
      <c r="Z208" s="97">
        <v>2757.7350906842544</v>
      </c>
      <c r="AA208" s="97">
        <v>118.29867286513878</v>
      </c>
      <c r="AB208" s="97">
        <v>7.9398645798846266</v>
      </c>
      <c r="AC208" s="97">
        <v>529.44441036185719</v>
      </c>
      <c r="AD208" s="97">
        <v>168.90718041758427</v>
      </c>
      <c r="AE208" s="97">
        <v>1664.1097070003534</v>
      </c>
      <c r="AF208" s="97">
        <v>2830.8140296134138</v>
      </c>
      <c r="AG208" s="97">
        <v>880.09398380891753</v>
      </c>
      <c r="AH208" s="97">
        <v>99766.258224230609</v>
      </c>
      <c r="AI208" s="97">
        <v>1708.3521920931894</v>
      </c>
      <c r="AJ208" s="97">
        <v>138614.60032483991</v>
      </c>
      <c r="AK208" s="97">
        <v>141191.13961974782</v>
      </c>
      <c r="AL208" s="97">
        <v>2576.539294907891</v>
      </c>
      <c r="AM208" s="97">
        <v>101474.61041632382</v>
      </c>
    </row>
    <row r="209" spans="1:39" x14ac:dyDescent="0.25">
      <c r="A209" s="97">
        <v>207</v>
      </c>
      <c r="B209" s="97">
        <v>1.1566666666666667E-3</v>
      </c>
      <c r="C209" s="97">
        <v>137.15038711736128</v>
      </c>
      <c r="D209" s="97">
        <v>671.48273450133365</v>
      </c>
      <c r="E209" s="97">
        <v>661.13400214782996</v>
      </c>
      <c r="F209" s="97">
        <v>852.60862757479526</v>
      </c>
      <c r="G209" s="97">
        <v>3129.6632081630887</v>
      </c>
      <c r="H209" s="97">
        <v>7308.8287991783054</v>
      </c>
      <c r="I209" s="97">
        <v>62</v>
      </c>
      <c r="J209" s="97">
        <v>45</v>
      </c>
      <c r="K209" s="97">
        <v>747.01244183256108</v>
      </c>
      <c r="L209" s="97">
        <v>3657.3426272505972</v>
      </c>
      <c r="M209" s="97">
        <v>3600.9765316985136</v>
      </c>
      <c r="N209" s="97">
        <v>4339.0674071660624</v>
      </c>
      <c r="O209" s="97">
        <v>50731.840604323668</v>
      </c>
      <c r="P209" s="97">
        <v>176498.58047042837</v>
      </c>
      <c r="Q209" s="97">
        <v>13414.005045110582</v>
      </c>
      <c r="R209" s="97">
        <v>252988.82512781036</v>
      </c>
      <c r="S209" s="97">
        <v>52592305.752836429</v>
      </c>
      <c r="T209" s="97">
        <v>34168838.697731301</v>
      </c>
      <c r="U209" s="45">
        <v>0</v>
      </c>
      <c r="V209">
        <v>0</v>
      </c>
      <c r="W209">
        <v>1.1566666666666667E-3</v>
      </c>
      <c r="X209" s="97">
        <v>7308.8287991783054</v>
      </c>
      <c r="Y209" s="97">
        <v>10.387536817088522</v>
      </c>
      <c r="Z209" s="97">
        <v>2768.1226275013428</v>
      </c>
      <c r="AA209" s="97">
        <v>117.97510675505029</v>
      </c>
      <c r="AB209" s="97">
        <v>7.9181014836209052</v>
      </c>
      <c r="AC209" s="97">
        <v>528.43723488948115</v>
      </c>
      <c r="AD209" s="97">
        <v>168.52823726503652</v>
      </c>
      <c r="AE209" s="97">
        <v>1671.5853157653503</v>
      </c>
      <c r="AF209" s="97">
        <v>2845.6520947126314</v>
      </c>
      <c r="AG209" s="97">
        <v>887.36836687339235</v>
      </c>
      <c r="AH209" s="97">
        <v>99766.258224230609</v>
      </c>
      <c r="AI209" s="97">
        <v>1708.3521920931894</v>
      </c>
      <c r="AJ209" s="97">
        <v>138614.60032483991</v>
      </c>
      <c r="AK209" s="97">
        <v>141191.13961974782</v>
      </c>
      <c r="AL209" s="97">
        <v>2576.539294907891</v>
      </c>
      <c r="AM209" s="97">
        <v>101474.61041632382</v>
      </c>
    </row>
    <row r="210" spans="1:39" x14ac:dyDescent="0.25">
      <c r="A210" s="97">
        <v>208</v>
      </c>
      <c r="B210" s="97">
        <v>1.1566666666666667E-3</v>
      </c>
      <c r="C210" s="97">
        <v>135.57696148721143</v>
      </c>
      <c r="D210" s="97">
        <v>667.16847510719003</v>
      </c>
      <c r="E210" s="97">
        <v>658.31612128889662</v>
      </c>
      <c r="F210" s="97">
        <v>849.91240421454586</v>
      </c>
      <c r="G210" s="97">
        <v>3120.7260088175731</v>
      </c>
      <c r="H210" s="97">
        <v>7317.5443738027298</v>
      </c>
      <c r="I210" s="97">
        <v>62</v>
      </c>
      <c r="J210" s="97">
        <v>45</v>
      </c>
      <c r="K210" s="97">
        <v>738.44251690034491</v>
      </c>
      <c r="L210" s="97">
        <v>3633.8442944171616</v>
      </c>
      <c r="M210" s="97">
        <v>3585.6284739535236</v>
      </c>
      <c r="N210" s="97">
        <v>4325.3458771151927</v>
      </c>
      <c r="O210" s="97">
        <v>50586.968602932859</v>
      </c>
      <c r="P210" s="97">
        <v>176133.85521476393</v>
      </c>
      <c r="Q210" s="97">
        <v>13383.788449233918</v>
      </c>
      <c r="R210" s="97">
        <v>252387.87342931694</v>
      </c>
      <c r="S210" s="97">
        <v>52844693.626265742</v>
      </c>
      <c r="T210" s="97">
        <v>34275121.232821062</v>
      </c>
      <c r="U210" s="45">
        <v>0</v>
      </c>
      <c r="V210">
        <v>0</v>
      </c>
      <c r="W210">
        <v>1.1566666666666667E-3</v>
      </c>
      <c r="X210" s="97">
        <v>7317.5443738027298</v>
      </c>
      <c r="Y210" s="97">
        <v>10.35788238735887</v>
      </c>
      <c r="Z210" s="97">
        <v>2778.4805098887018</v>
      </c>
      <c r="AA210" s="97">
        <v>117.65123330621498</v>
      </c>
      <c r="AB210" s="97">
        <v>7.8963937058330229</v>
      </c>
      <c r="AC210" s="97">
        <v>527.42533041906881</v>
      </c>
      <c r="AD210" s="97">
        <v>168.14860794313611</v>
      </c>
      <c r="AE210" s="97">
        <v>1679.0426166787304</v>
      </c>
      <c r="AF210" s="97">
        <v>2860.4576842100059</v>
      </c>
      <c r="AG210" s="97">
        <v>894.61717320615787</v>
      </c>
      <c r="AH210" s="97">
        <v>99766.258224230609</v>
      </c>
      <c r="AI210" s="97">
        <v>1708.3521920931894</v>
      </c>
      <c r="AJ210" s="97">
        <v>138614.60032483991</v>
      </c>
      <c r="AK210" s="97">
        <v>141191.13961974782</v>
      </c>
      <c r="AL210" s="97">
        <v>2576.539294907891</v>
      </c>
      <c r="AM210" s="97">
        <v>101474.61041632382</v>
      </c>
    </row>
    <row r="211" spans="1:39" x14ac:dyDescent="0.25">
      <c r="A211" s="97">
        <v>209</v>
      </c>
      <c r="B211" s="97">
        <v>1.1566666666666667E-3</v>
      </c>
      <c r="C211" s="97">
        <v>134.02158661335653</v>
      </c>
      <c r="D211" s="97">
        <v>662.87479387094413</v>
      </c>
      <c r="E211" s="97">
        <v>655.49953989843232</v>
      </c>
      <c r="F211" s="97">
        <v>847.21700199804479</v>
      </c>
      <c r="G211" s="97">
        <v>3111.8116580272349</v>
      </c>
      <c r="H211" s="97">
        <v>7326.2323869703023</v>
      </c>
      <c r="I211" s="97">
        <v>62</v>
      </c>
      <c r="J211" s="97">
        <v>45</v>
      </c>
      <c r="K211" s="97">
        <v>729.97090842074851</v>
      </c>
      <c r="L211" s="97">
        <v>3610.4580439504089</v>
      </c>
      <c r="M211" s="97">
        <v>3570.2874939801277</v>
      </c>
      <c r="N211" s="97">
        <v>4311.6285260017157</v>
      </c>
      <c r="O211" s="97">
        <v>50442.466976621479</v>
      </c>
      <c r="P211" s="97">
        <v>175767.7993261852</v>
      </c>
      <c r="Q211" s="97">
        <v>13353.519578639603</v>
      </c>
      <c r="R211" s="97">
        <v>251786.13085379929</v>
      </c>
      <c r="S211" s="97">
        <v>53096479.757119544</v>
      </c>
      <c r="T211" s="97">
        <v>34380710.414416775</v>
      </c>
      <c r="U211" s="45">
        <v>0</v>
      </c>
      <c r="V211">
        <v>0</v>
      </c>
      <c r="W211">
        <v>1.1566666666666667E-3</v>
      </c>
      <c r="X211" s="97">
        <v>7326.2323869703023</v>
      </c>
      <c r="Y211" s="97">
        <v>10.328303977946707</v>
      </c>
      <c r="Z211" s="97">
        <v>2788.8088138666485</v>
      </c>
      <c r="AA211" s="97">
        <v>117.32708077376478</v>
      </c>
      <c r="AB211" s="97">
        <v>7.8747409494199685</v>
      </c>
      <c r="AC211" s="97">
        <v>526.40883169257825</v>
      </c>
      <c r="AD211" s="97">
        <v>167.76832186242356</v>
      </c>
      <c r="AE211" s="97">
        <v>1686.4816072426638</v>
      </c>
      <c r="AF211" s="97">
        <v>2875.2307153088082</v>
      </c>
      <c r="AG211" s="97">
        <v>901.84046995441327</v>
      </c>
      <c r="AH211" s="97">
        <v>99766.258224230609</v>
      </c>
      <c r="AI211" s="97">
        <v>1708.3521920931894</v>
      </c>
      <c r="AJ211" s="97">
        <v>138614.60032483991</v>
      </c>
      <c r="AK211" s="97">
        <v>141191.13961974782</v>
      </c>
      <c r="AL211" s="97">
        <v>2576.539294907891</v>
      </c>
      <c r="AM211" s="97">
        <v>101474.61041632382</v>
      </c>
    </row>
    <row r="212" spans="1:39" x14ac:dyDescent="0.25">
      <c r="A212" s="97">
        <v>210</v>
      </c>
      <c r="B212" s="97">
        <v>1.1566666666666667E-3</v>
      </c>
      <c r="C212" s="97">
        <v>132.48405541273107</v>
      </c>
      <c r="D212" s="97">
        <v>658.60170142542631</v>
      </c>
      <c r="E212" s="97">
        <v>652.68439447336175</v>
      </c>
      <c r="F212" s="97">
        <v>844.52242535105074</v>
      </c>
      <c r="G212" s="97">
        <v>3102.9200353093984</v>
      </c>
      <c r="H212" s="97">
        <v>7334.8928470749561</v>
      </c>
      <c r="I212" s="97">
        <v>62</v>
      </c>
      <c r="J212" s="97">
        <v>45</v>
      </c>
      <c r="K212" s="97">
        <v>721.59648848134179</v>
      </c>
      <c r="L212" s="97">
        <v>3587.1839337638216</v>
      </c>
      <c r="M212" s="97">
        <v>3554.9543352315768</v>
      </c>
      <c r="N212" s="97">
        <v>4297.9153763490558</v>
      </c>
      <c r="O212" s="97">
        <v>50298.333772365353</v>
      </c>
      <c r="P212" s="97">
        <v>175400.45639808825</v>
      </c>
      <c r="Q212" s="97">
        <v>13323.200729987859</v>
      </c>
      <c r="R212" s="97">
        <v>251183.64103426726</v>
      </c>
      <c r="S212" s="97">
        <v>53347663.398153812</v>
      </c>
      <c r="T212" s="97">
        <v>34485609.854522973</v>
      </c>
      <c r="U212" s="45">
        <v>0</v>
      </c>
      <c r="V212">
        <v>0</v>
      </c>
      <c r="W212">
        <v>1.1566666666666667E-3</v>
      </c>
      <c r="X212" s="97">
        <v>7334.8928470749561</v>
      </c>
      <c r="Y212" s="97">
        <v>10.298801187740672</v>
      </c>
      <c r="Z212" s="97">
        <v>2799.107615054389</v>
      </c>
      <c r="AA212" s="97">
        <v>117.0026766405411</v>
      </c>
      <c r="AB212" s="97">
        <v>7.853142918464501</v>
      </c>
      <c r="AC212" s="97">
        <v>525.38787088459503</v>
      </c>
      <c r="AD212" s="97">
        <v>167.38740787722671</v>
      </c>
      <c r="AE212" s="97">
        <v>1693.902285770763</v>
      </c>
      <c r="AF212" s="97">
        <v>2889.9711083422108</v>
      </c>
      <c r="AG212" s="97">
        <v>909.03832428345879</v>
      </c>
      <c r="AH212" s="97">
        <v>99766.258224230609</v>
      </c>
      <c r="AI212" s="97">
        <v>1708.3521920931894</v>
      </c>
      <c r="AJ212" s="97">
        <v>138614.60032483991</v>
      </c>
      <c r="AK212" s="97">
        <v>141191.13961974782</v>
      </c>
      <c r="AL212" s="97">
        <v>2576.539294907891</v>
      </c>
      <c r="AM212" s="97">
        <v>101474.61041632382</v>
      </c>
    </row>
    <row r="213" spans="1:39" x14ac:dyDescent="0.25">
      <c r="A213" s="97">
        <v>211</v>
      </c>
      <c r="B213" s="97">
        <v>1.1566666666666667E-3</v>
      </c>
      <c r="C213" s="97">
        <v>130.96416317798142</v>
      </c>
      <c r="D213" s="97">
        <v>654.34920617656246</v>
      </c>
      <c r="E213" s="97">
        <v>649.87081998479391</v>
      </c>
      <c r="F213" s="97">
        <v>841.82868009531637</v>
      </c>
      <c r="G213" s="97">
        <v>3094.0510209062081</v>
      </c>
      <c r="H213" s="97">
        <v>7343.5257625558652</v>
      </c>
      <c r="I213" s="97">
        <v>62</v>
      </c>
      <c r="J213" s="97">
        <v>45</v>
      </c>
      <c r="K213" s="97">
        <v>713.31814210940547</v>
      </c>
      <c r="L213" s="97">
        <v>3564.0220096416765</v>
      </c>
      <c r="M213" s="97">
        <v>3539.6297328505107</v>
      </c>
      <c r="N213" s="97">
        <v>4284.2064577850806</v>
      </c>
      <c r="O213" s="97">
        <v>50154.567048889636</v>
      </c>
      <c r="P213" s="97">
        <v>175031.86912943784</v>
      </c>
      <c r="Q213" s="97">
        <v>13292.834156237241</v>
      </c>
      <c r="R213" s="97">
        <v>250580.4466769514</v>
      </c>
      <c r="S213" s="97">
        <v>53598243.844830766</v>
      </c>
      <c r="T213" s="97">
        <v>34589823.166162603</v>
      </c>
      <c r="U213" s="45">
        <v>0</v>
      </c>
      <c r="V213">
        <v>0</v>
      </c>
      <c r="W213">
        <v>1.1566666666666667E-3</v>
      </c>
      <c r="X213" s="97">
        <v>7343.5257625558652</v>
      </c>
      <c r="Y213" s="97">
        <v>10.269373617993262</v>
      </c>
      <c r="Z213" s="97">
        <v>2809.3769886723821</v>
      </c>
      <c r="AA213" s="97">
        <v>116.67804763646822</v>
      </c>
      <c r="AB213" s="97">
        <v>7.8315993182733692</v>
      </c>
      <c r="AC213" s="97">
        <v>524.3625776468366</v>
      </c>
      <c r="AD213" s="97">
        <v>167.00589429282292</v>
      </c>
      <c r="AE213" s="97">
        <v>1701.3046513693785</v>
      </c>
      <c r="AF213" s="97">
        <v>2904.6787867099556</v>
      </c>
      <c r="AG213" s="97">
        <v>916.210803373055</v>
      </c>
      <c r="AH213" s="97">
        <v>99766.258224230609</v>
      </c>
      <c r="AI213" s="97">
        <v>1708.3521920931894</v>
      </c>
      <c r="AJ213" s="97">
        <v>138614.60032483991</v>
      </c>
      <c r="AK213" s="97">
        <v>141191.13961974782</v>
      </c>
      <c r="AL213" s="97">
        <v>2576.539294907891</v>
      </c>
      <c r="AM213" s="97">
        <v>101474.61041632382</v>
      </c>
    </row>
    <row r="214" spans="1:39" x14ac:dyDescent="0.25">
      <c r="A214" s="97">
        <v>212</v>
      </c>
      <c r="B214" s="97">
        <v>1.1566666666666667E-3</v>
      </c>
      <c r="C214" s="97">
        <v>129.46170755021106</v>
      </c>
      <c r="D214" s="97">
        <v>650.1173143468809</v>
      </c>
      <c r="E214" s="97">
        <v>647.05894987953081</v>
      </c>
      <c r="F214" s="97">
        <v>839.13577341653536</v>
      </c>
      <c r="G214" s="97">
        <v>3085.204495794811</v>
      </c>
      <c r="H214" s="97">
        <v>7352.1311419117155</v>
      </c>
      <c r="I214" s="97">
        <v>62</v>
      </c>
      <c r="J214" s="97">
        <v>45</v>
      </c>
      <c r="K214" s="97">
        <v>705.1347671234829</v>
      </c>
      <c r="L214" s="97">
        <v>3540.9723054760111</v>
      </c>
      <c r="M214" s="97">
        <v>3524.3144136771775</v>
      </c>
      <c r="N214" s="97">
        <v>4270.5018068789841</v>
      </c>
      <c r="O214" s="97">
        <v>50011.164876833886</v>
      </c>
      <c r="P214" s="97">
        <v>174662.07934188846</v>
      </c>
      <c r="Q214" s="97">
        <v>13262.422067218933</v>
      </c>
      <c r="R214" s="97">
        <v>249976.58957909694</v>
      </c>
      <c r="S214" s="97">
        <v>53848220.434409864</v>
      </c>
      <c r="T214" s="97">
        <v>34693353.962777175</v>
      </c>
      <c r="U214" s="45">
        <v>0</v>
      </c>
      <c r="V214">
        <v>0</v>
      </c>
      <c r="W214">
        <v>1.1566666666666667E-3</v>
      </c>
      <c r="X214" s="97">
        <v>7352.1311419117155</v>
      </c>
      <c r="Y214" s="97">
        <v>10.240020872355831</v>
      </c>
      <c r="Z214" s="97">
        <v>2819.6170095447378</v>
      </c>
      <c r="AA214" s="97">
        <v>116.35321975746523</v>
      </c>
      <c r="AB214" s="97">
        <v>7.8101098554164077</v>
      </c>
      <c r="AC214" s="97">
        <v>523.33307915194519</v>
      </c>
      <c r="AD214" s="97">
        <v>166.62380887265448</v>
      </c>
      <c r="AE214" s="97">
        <v>1708.6887039192829</v>
      </c>
      <c r="AF214" s="97">
        <v>2919.3536768161075</v>
      </c>
      <c r="AG214" s="97">
        <v>923.35797441385898</v>
      </c>
      <c r="AH214" s="97">
        <v>99766.258224230609</v>
      </c>
      <c r="AI214" s="97">
        <v>1708.3521920931894</v>
      </c>
      <c r="AJ214" s="97">
        <v>138614.60032483991</v>
      </c>
      <c r="AK214" s="97">
        <v>141191.13961974782</v>
      </c>
      <c r="AL214" s="97">
        <v>2576.539294907891</v>
      </c>
      <c r="AM214" s="97">
        <v>101474.61041632382</v>
      </c>
    </row>
    <row r="215" spans="1:39" x14ac:dyDescent="0.25">
      <c r="A215" s="97">
        <v>213</v>
      </c>
      <c r="B215" s="97">
        <v>1.1566666666666667E-3</v>
      </c>
      <c r="C215" s="97">
        <v>127.97648849203837</v>
      </c>
      <c r="D215" s="97">
        <v>645.90603001836644</v>
      </c>
      <c r="E215" s="97">
        <v>644.2489160818792</v>
      </c>
      <c r="F215" s="97">
        <v>836.44371383267071</v>
      </c>
      <c r="G215" s="97">
        <v>3076.3803416971523</v>
      </c>
      <c r="H215" s="97">
        <v>7360.7089937146457</v>
      </c>
      <c r="I215" s="97">
        <v>62</v>
      </c>
      <c r="J215" s="97">
        <v>45</v>
      </c>
      <c r="K215" s="97">
        <v>697.04527398663561</v>
      </c>
      <c r="L215" s="97">
        <v>3518.0348435000355</v>
      </c>
      <c r="M215" s="97">
        <v>3509.0090962593017</v>
      </c>
      <c r="N215" s="97">
        <v>4256.8014669800996</v>
      </c>
      <c r="O215" s="97">
        <v>49868.125338910839</v>
      </c>
      <c r="P215" s="97">
        <v>174291.12799659147</v>
      </c>
      <c r="Q215" s="97">
        <v>13231.96663021452</v>
      </c>
      <c r="R215" s="97">
        <v>249372.11064644292</v>
      </c>
      <c r="S215" s="97">
        <v>54097592.545056306</v>
      </c>
      <c r="T215" s="97">
        <v>34796205.857644662</v>
      </c>
      <c r="U215" s="45">
        <v>0</v>
      </c>
      <c r="V215">
        <v>0</v>
      </c>
      <c r="W215">
        <v>1.1566666666666667E-3</v>
      </c>
      <c r="X215" s="97">
        <v>7360.7089937146457</v>
      </c>
      <c r="Y215" s="97">
        <v>10.210742556912283</v>
      </c>
      <c r="Z215" s="97">
        <v>2829.8277521016503</v>
      </c>
      <c r="AA215" s="97">
        <v>116.02821828390725</v>
      </c>
      <c r="AB215" s="97">
        <v>7.7886742377645133</v>
      </c>
      <c r="AC215" s="97">
        <v>522.29950013658083</v>
      </c>
      <c r="AD215" s="97">
        <v>166.24117884558729</v>
      </c>
      <c r="AE215" s="97">
        <v>1716.0544440577335</v>
      </c>
      <c r="AF215" s="97">
        <v>2933.9957080078821</v>
      </c>
      <c r="AG215" s="97">
        <v>930.47990460393635</v>
      </c>
      <c r="AH215" s="97">
        <v>99766.258224230609</v>
      </c>
      <c r="AI215" s="97">
        <v>1708.3521920931894</v>
      </c>
      <c r="AJ215" s="97">
        <v>138614.60032483991</v>
      </c>
      <c r="AK215" s="97">
        <v>141191.13961974782</v>
      </c>
      <c r="AL215" s="97">
        <v>2576.539294907891</v>
      </c>
      <c r="AM215" s="97">
        <v>101474.61041632382</v>
      </c>
    </row>
    <row r="216" spans="1:39" x14ac:dyDescent="0.25">
      <c r="A216" s="97">
        <v>214</v>
      </c>
      <c r="B216" s="97">
        <v>1.1566666666666667E-3</v>
      </c>
      <c r="C216" s="97">
        <v>126.50830826096369</v>
      </c>
      <c r="D216" s="97">
        <v>641.71535517467123</v>
      </c>
      <c r="E216" s="97">
        <v>641.44084899575739</v>
      </c>
      <c r="F216" s="97">
        <v>833.7525111626619</v>
      </c>
      <c r="G216" s="97">
        <v>3067.5784410893943</v>
      </c>
      <c r="H216" s="97">
        <v>7369.2593266238682</v>
      </c>
      <c r="I216" s="97">
        <v>62</v>
      </c>
      <c r="J216" s="97">
        <v>45</v>
      </c>
      <c r="K216" s="97">
        <v>689.04858566138216</v>
      </c>
      <c r="L216" s="97">
        <v>3495.2096345180425</v>
      </c>
      <c r="M216" s="97">
        <v>3493.7144908635582</v>
      </c>
      <c r="N216" s="97">
        <v>4243.1054880586471</v>
      </c>
      <c r="O216" s="97">
        <v>49725.446530059082</v>
      </c>
      <c r="P216" s="97">
        <v>173919.05521069339</v>
      </c>
      <c r="Q216" s="97">
        <v>13201.469970536447</v>
      </c>
      <c r="R216" s="97">
        <v>248767.04991039055</v>
      </c>
      <c r="S216" s="97">
        <v>54346359.594966695</v>
      </c>
      <c r="T216" s="97">
        <v>34898382.463314794</v>
      </c>
      <c r="U216" s="45">
        <v>0</v>
      </c>
      <c r="V216">
        <v>0</v>
      </c>
      <c r="W216">
        <v>1.1566666666666667E-3</v>
      </c>
      <c r="X216" s="97">
        <v>7369.2593266238682</v>
      </c>
      <c r="Y216" s="97">
        <v>10.181538280211493</v>
      </c>
      <c r="Z216" s="97">
        <v>2840.0092903818618</v>
      </c>
      <c r="AA216" s="97">
        <v>115.70306779864622</v>
      </c>
      <c r="AB216" s="97">
        <v>7.7672921745265278</v>
      </c>
      <c r="AC216" s="97">
        <v>521.26196294382464</v>
      </c>
      <c r="AD216" s="97">
        <v>165.85803091320369</v>
      </c>
      <c r="AE216" s="97">
        <v>1723.4018731609049</v>
      </c>
      <c r="AF216" s="97">
        <v>2948.6048125155289</v>
      </c>
      <c r="AG216" s="97">
        <v>937.57666114534868</v>
      </c>
      <c r="AH216" s="97">
        <v>99766.258224230609</v>
      </c>
      <c r="AI216" s="97">
        <v>1708.3521920931894</v>
      </c>
      <c r="AJ216" s="97">
        <v>138614.60032483991</v>
      </c>
      <c r="AK216" s="97">
        <v>141191.13961974782</v>
      </c>
      <c r="AL216" s="97">
        <v>2576.539294907891</v>
      </c>
      <c r="AM216" s="97">
        <v>101474.61041632382</v>
      </c>
    </row>
    <row r="217" spans="1:39" x14ac:dyDescent="0.25">
      <c r="A217" s="97">
        <v>215</v>
      </c>
      <c r="B217" s="97">
        <v>1.1566666666666667E-3</v>
      </c>
      <c r="C217" s="97">
        <v>125.05697138304174</v>
      </c>
      <c r="D217" s="97">
        <v>637.54528974269101</v>
      </c>
      <c r="E217" s="97">
        <v>638.6348775070885</v>
      </c>
      <c r="F217" s="97">
        <v>831.06217649551093</v>
      </c>
      <c r="G217" s="97">
        <v>3058.7986772109602</v>
      </c>
      <c r="H217" s="97">
        <v>7377.7821493989668</v>
      </c>
      <c r="I217" s="97">
        <v>62</v>
      </c>
      <c r="J217" s="97">
        <v>45</v>
      </c>
      <c r="K217" s="97">
        <v>681.14363746630067</v>
      </c>
      <c r="L217" s="97">
        <v>3472.4966781318567</v>
      </c>
      <c r="M217" s="97">
        <v>3478.4312994886086</v>
      </c>
      <c r="N217" s="97">
        <v>4229.4139265484046</v>
      </c>
      <c r="O217" s="97">
        <v>49583.126557589669</v>
      </c>
      <c r="P217" s="97">
        <v>173545.9002735315</v>
      </c>
      <c r="Q217" s="97">
        <v>13170.93417211053</v>
      </c>
      <c r="R217" s="97">
        <v>248161.44654486686</v>
      </c>
      <c r="S217" s="97">
        <v>54594521.041511558</v>
      </c>
      <c r="T217" s="97">
        <v>34999887.391061306</v>
      </c>
      <c r="U217" s="45">
        <v>0</v>
      </c>
      <c r="V217">
        <v>0</v>
      </c>
      <c r="W217">
        <v>1.1566666666666667E-3</v>
      </c>
      <c r="X217" s="97">
        <v>7377.7821493989668</v>
      </c>
      <c r="Y217" s="97">
        <v>10.15240765329848</v>
      </c>
      <c r="Z217" s="97">
        <v>2850.16169803516</v>
      </c>
      <c r="AA217" s="97">
        <v>115.37779220460168</v>
      </c>
      <c r="AB217" s="97">
        <v>7.7459633762850189</v>
      </c>
      <c r="AC217" s="97">
        <v>520.2205875649031</v>
      </c>
      <c r="AD217" s="97">
        <v>165.4743912571208</v>
      </c>
      <c r="AE217" s="97">
        <v>1730.7309933266886</v>
      </c>
      <c r="AF217" s="97">
        <v>2963.1809253932684</v>
      </c>
      <c r="AG217" s="97">
        <v>944.64831124081422</v>
      </c>
      <c r="AH217" s="97">
        <v>99766.258224230609</v>
      </c>
      <c r="AI217" s="97">
        <v>1708.3521920931894</v>
      </c>
      <c r="AJ217" s="97">
        <v>138614.60032483991</v>
      </c>
      <c r="AK217" s="97">
        <v>141191.13961974782</v>
      </c>
      <c r="AL217" s="97">
        <v>2576.539294907891</v>
      </c>
      <c r="AM217" s="97">
        <v>101474.61041632382</v>
      </c>
    </row>
    <row r="218" spans="1:39" x14ac:dyDescent="0.25">
      <c r="A218" s="97">
        <v>216</v>
      </c>
      <c r="B218" s="97">
        <v>1.1566666666666667E-3</v>
      </c>
      <c r="C218" s="97">
        <v>123.62228462685623</v>
      </c>
      <c r="D218" s="97">
        <v>633.39583163351426</v>
      </c>
      <c r="E218" s="97">
        <v>635.83112898647221</v>
      </c>
      <c r="F218" s="97">
        <v>828.37272215974519</v>
      </c>
      <c r="G218" s="97">
        <v>3050.0409340732131</v>
      </c>
      <c r="H218" s="97">
        <v>7386.2774709128789</v>
      </c>
      <c r="I218" s="97">
        <v>63</v>
      </c>
      <c r="J218" s="97">
        <v>45</v>
      </c>
      <c r="K218" s="97">
        <v>673.32937693427687</v>
      </c>
      <c r="L218" s="97">
        <v>3449.8959629638744</v>
      </c>
      <c r="M218" s="97">
        <v>3463.1602158796518</v>
      </c>
      <c r="N218" s="97">
        <v>4215.7268451913033</v>
      </c>
      <c r="O218" s="97">
        <v>49441.163541326787</v>
      </c>
      <c r="P218" s="97">
        <v>173171.70166253205</v>
      </c>
      <c r="Q218" s="97">
        <v>13140.361278059832</v>
      </c>
      <c r="R218" s="97">
        <v>247555.33888288777</v>
      </c>
      <c r="S218" s="97">
        <v>54842076.380394444</v>
      </c>
      <c r="T218" s="97">
        <v>35100724.250350684</v>
      </c>
      <c r="U218" s="45">
        <v>0</v>
      </c>
      <c r="V218">
        <v>0</v>
      </c>
      <c r="W218">
        <v>1.1566666666666667E-3</v>
      </c>
      <c r="X218" s="97">
        <v>7386.2774709128789</v>
      </c>
      <c r="Y218" s="97">
        <v>10.123350289744343</v>
      </c>
      <c r="Z218" s="97">
        <v>2860.2850483249044</v>
      </c>
      <c r="AA218" s="97">
        <v>115.0656143219571</v>
      </c>
      <c r="AB218" s="97">
        <v>7.711487975005328</v>
      </c>
      <c r="AC218" s="97">
        <v>519.16229210021777</v>
      </c>
      <c r="AD218" s="97">
        <v>165.09028554632619</v>
      </c>
      <c r="AE218" s="97">
        <v>1738.0418073578487</v>
      </c>
      <c r="AF218" s="97">
        <v>2977.7239844612577</v>
      </c>
      <c r="AG218" s="97">
        <v>951.69492209044074</v>
      </c>
      <c r="AH218" s="97">
        <v>102344.83383070221</v>
      </c>
      <c r="AI218" s="97">
        <v>1778.3510085661808</v>
      </c>
      <c r="AJ218" s="97">
        <v>144524.74284870771</v>
      </c>
      <c r="AK218" s="97">
        <v>147261.72071319612</v>
      </c>
      <c r="AL218" s="97">
        <v>2736.97786448838</v>
      </c>
      <c r="AM218" s="97">
        <v>104123.1848392684</v>
      </c>
    </row>
    <row r="219" spans="1:39" x14ac:dyDescent="0.25">
      <c r="A219" s="97">
        <v>217</v>
      </c>
      <c r="B219" s="97">
        <v>1.2716666666666666E-3</v>
      </c>
      <c r="C219" s="97">
        <v>122.18984041506086</v>
      </c>
      <c r="D219" s="97">
        <v>629.19413626211656</v>
      </c>
      <c r="E219" s="97">
        <v>632.95660871229347</v>
      </c>
      <c r="F219" s="97">
        <v>825.58889883020834</v>
      </c>
      <c r="G219" s="97">
        <v>3040.9543417603527</v>
      </c>
      <c r="H219" s="97">
        <v>7394.745300164569</v>
      </c>
      <c r="I219" s="97">
        <v>63</v>
      </c>
      <c r="J219" s="97">
        <v>45</v>
      </c>
      <c r="K219" s="97">
        <v>665.5273307940314</v>
      </c>
      <c r="L219" s="97">
        <v>3427.0107288409945</v>
      </c>
      <c r="M219" s="97">
        <v>3447.503662119625</v>
      </c>
      <c r="N219" s="97">
        <v>4201.5595042967352</v>
      </c>
      <c r="O219" s="97">
        <v>49293.869879935322</v>
      </c>
      <c r="P219" s="97">
        <v>172776.55797879159</v>
      </c>
      <c r="Q219" s="97">
        <v>13108.24214974236</v>
      </c>
      <c r="R219" s="97">
        <v>246920.27123452065</v>
      </c>
      <c r="S219" s="97">
        <v>55088996.651628964</v>
      </c>
      <c r="T219" s="97">
        <v>35200885.090334482</v>
      </c>
      <c r="U219" s="45">
        <v>0</v>
      </c>
      <c r="V219">
        <v>0</v>
      </c>
      <c r="W219">
        <v>1.2716666666666666E-3</v>
      </c>
      <c r="X219" s="97">
        <v>7394.745300164569</v>
      </c>
      <c r="Y219" s="97">
        <v>10.094365805674977</v>
      </c>
      <c r="Z219" s="97">
        <v>2870.3794141305793</v>
      </c>
      <c r="AA219" s="97">
        <v>114.73977671540372</v>
      </c>
      <c r="AB219" s="97">
        <v>7.6903011092521814</v>
      </c>
      <c r="AC219" s="97">
        <v>518.04094665741229</v>
      </c>
      <c r="AD219" s="97">
        <v>164.68675356168555</v>
      </c>
      <c r="AE219" s="97">
        <v>1745.3343187455291</v>
      </c>
      <c r="AF219" s="97">
        <v>2992.2340193711912</v>
      </c>
      <c r="AG219" s="97">
        <v>959.41467771427585</v>
      </c>
      <c r="AH219" s="97">
        <v>102344.83383070221</v>
      </c>
      <c r="AI219" s="97">
        <v>1778.3510085661808</v>
      </c>
      <c r="AJ219" s="97">
        <v>144524.74284870771</v>
      </c>
      <c r="AK219" s="97">
        <v>147261.72071319612</v>
      </c>
      <c r="AL219" s="97">
        <v>2736.97786448838</v>
      </c>
      <c r="AM219" s="97">
        <v>104123.1848392684</v>
      </c>
    </row>
    <row r="220" spans="1:39" x14ac:dyDescent="0.25">
      <c r="A220" s="97">
        <v>218</v>
      </c>
      <c r="B220" s="97">
        <v>1.2716666666666666E-3</v>
      </c>
      <c r="C220" s="97">
        <v>120.77399431440782</v>
      </c>
      <c r="D220" s="97">
        <v>625.01399616227138</v>
      </c>
      <c r="E220" s="97">
        <v>630.08521434422448</v>
      </c>
      <c r="F220" s="97">
        <v>822.80661341155462</v>
      </c>
      <c r="G220" s="97">
        <v>3031.8915901390737</v>
      </c>
      <c r="H220" s="97">
        <v>7403.1846724910238</v>
      </c>
      <c r="I220" s="97">
        <v>63</v>
      </c>
      <c r="J220" s="97">
        <v>45</v>
      </c>
      <c r="K220" s="97">
        <v>657.81568903247455</v>
      </c>
      <c r="L220" s="97">
        <v>3404.2428990971712</v>
      </c>
      <c r="M220" s="97">
        <v>3431.8641341282091</v>
      </c>
      <c r="N220" s="97">
        <v>4187.3999900869694</v>
      </c>
      <c r="O220" s="97">
        <v>49146.962676154391</v>
      </c>
      <c r="P220" s="97">
        <v>172380.51051259847</v>
      </c>
      <c r="Q220" s="97">
        <v>13076.097064087273</v>
      </c>
      <c r="R220" s="97">
        <v>246284.89296518496</v>
      </c>
      <c r="S220" s="97">
        <v>55335281.544594146</v>
      </c>
      <c r="T220" s="97">
        <v>35300373.659511894</v>
      </c>
      <c r="U220" s="45">
        <v>0</v>
      </c>
      <c r="V220">
        <v>0</v>
      </c>
      <c r="W220">
        <v>1.2716666666666666E-3</v>
      </c>
      <c r="X220" s="97">
        <v>7403.1846724910238</v>
      </c>
      <c r="Y220" s="97">
        <v>10.064292967730944</v>
      </c>
      <c r="Z220" s="97">
        <v>2880.4437070983104</v>
      </c>
      <c r="AA220" s="97">
        <v>114.41353871646605</v>
      </c>
      <c r="AB220" s="97">
        <v>7.6683590776633581</v>
      </c>
      <c r="AC220" s="97">
        <v>516.91669157395836</v>
      </c>
      <c r="AD220" s="97">
        <v>164.28289545935388</v>
      </c>
      <c r="AE220" s="97">
        <v>1752.6076924928075</v>
      </c>
      <c r="AF220" s="97">
        <v>3006.7093014242078</v>
      </c>
      <c r="AG220" s="97">
        <v>967.10616445448227</v>
      </c>
      <c r="AH220" s="97">
        <v>102344.83383070221</v>
      </c>
      <c r="AI220" s="97">
        <v>1778.3510085661808</v>
      </c>
      <c r="AJ220" s="97">
        <v>144524.74284870771</v>
      </c>
      <c r="AK220" s="97">
        <v>147261.72071319612</v>
      </c>
      <c r="AL220" s="97">
        <v>2736.97786448838</v>
      </c>
      <c r="AM220" s="97">
        <v>104123.1848392684</v>
      </c>
    </row>
    <row r="221" spans="1:39" x14ac:dyDescent="0.25">
      <c r="A221" s="97">
        <v>219</v>
      </c>
      <c r="B221" s="97">
        <v>1.2716666666666666E-3</v>
      </c>
      <c r="C221" s="97">
        <v>119.37455399817945</v>
      </c>
      <c r="D221" s="97">
        <v>620.85539616637743</v>
      </c>
      <c r="E221" s="97">
        <v>627.21706776023427</v>
      </c>
      <c r="F221" s="97">
        <v>820.02588135002622</v>
      </c>
      <c r="G221" s="97">
        <v>3022.8525577158744</v>
      </c>
      <c r="H221" s="97">
        <v>7411.5956036131456</v>
      </c>
      <c r="I221" s="97">
        <v>63</v>
      </c>
      <c r="J221" s="97">
        <v>45</v>
      </c>
      <c r="K221" s="97">
        <v>650.19340411008409</v>
      </c>
      <c r="L221" s="97">
        <v>3381.5923911195355</v>
      </c>
      <c r="M221" s="97">
        <v>3416.2422957340759</v>
      </c>
      <c r="N221" s="97">
        <v>4173.2483811705079</v>
      </c>
      <c r="O221" s="97">
        <v>49000.439960574324</v>
      </c>
      <c r="P221" s="97">
        <v>171983.59688571151</v>
      </c>
      <c r="Q221" s="97">
        <v>13043.927917743436</v>
      </c>
      <c r="R221" s="97">
        <v>245649.24123616348</v>
      </c>
      <c r="S221" s="97">
        <v>55580930.785830311</v>
      </c>
      <c r="T221" s="97">
        <v>35399193.702383421</v>
      </c>
      <c r="U221" s="45">
        <v>0</v>
      </c>
      <c r="V221">
        <v>0</v>
      </c>
      <c r="W221">
        <v>1.2716666666666666E-3</v>
      </c>
      <c r="X221" s="97">
        <v>7411.5956036131456</v>
      </c>
      <c r="Y221" s="97">
        <v>10.034299032551527</v>
      </c>
      <c r="Z221" s="97">
        <v>2890.478006130862</v>
      </c>
      <c r="AA221" s="97">
        <v>114.08693217139505</v>
      </c>
      <c r="AB221" s="97">
        <v>7.6464736017952024</v>
      </c>
      <c r="AC221" s="97">
        <v>515.78963279037475</v>
      </c>
      <c r="AD221" s="97">
        <v>163.87873506807509</v>
      </c>
      <c r="AE221" s="97">
        <v>1759.861937225741</v>
      </c>
      <c r="AF221" s="97">
        <v>3021.1497805257573</v>
      </c>
      <c r="AG221" s="97">
        <v>974.76946245370664</v>
      </c>
      <c r="AH221" s="97">
        <v>102344.83383070221</v>
      </c>
      <c r="AI221" s="97">
        <v>1778.3510085661808</v>
      </c>
      <c r="AJ221" s="97">
        <v>144524.74284870771</v>
      </c>
      <c r="AK221" s="97">
        <v>147261.72071319612</v>
      </c>
      <c r="AL221" s="97">
        <v>2736.97786448838</v>
      </c>
      <c r="AM221" s="97">
        <v>104123.1848392684</v>
      </c>
    </row>
    <row r="222" spans="1:39" x14ac:dyDescent="0.25">
      <c r="A222" s="97">
        <v>220</v>
      </c>
      <c r="B222" s="97">
        <v>1.2716666666666666E-3</v>
      </c>
      <c r="C222" s="97">
        <v>117.99132936819879</v>
      </c>
      <c r="D222" s="97">
        <v>616.71831925402114</v>
      </c>
      <c r="E222" s="97">
        <v>624.35228927999003</v>
      </c>
      <c r="F222" s="97">
        <v>817.24671920577589</v>
      </c>
      <c r="G222" s="97">
        <v>3013.8371238543996</v>
      </c>
      <c r="H222" s="97">
        <v>7419.9781094097325</v>
      </c>
      <c r="I222" s="97">
        <v>63</v>
      </c>
      <c r="J222" s="97">
        <v>45</v>
      </c>
      <c r="K222" s="97">
        <v>642.659440625456</v>
      </c>
      <c r="L222" s="97">
        <v>3359.0591122035685</v>
      </c>
      <c r="M222" s="97">
        <v>3400.6388022783453</v>
      </c>
      <c r="N222" s="97">
        <v>4159.1047618247276</v>
      </c>
      <c r="O222" s="97">
        <v>48854.299777679822</v>
      </c>
      <c r="P222" s="97">
        <v>171585.8539128429</v>
      </c>
      <c r="Q222" s="97">
        <v>13011.736571760863</v>
      </c>
      <c r="R222" s="97">
        <v>245013.35237921568</v>
      </c>
      <c r="S222" s="97">
        <v>55825944.138209529</v>
      </c>
      <c r="T222" s="97">
        <v>35497348.958960995</v>
      </c>
      <c r="U222" s="45">
        <v>0</v>
      </c>
      <c r="V222">
        <v>0</v>
      </c>
      <c r="W222">
        <v>1.2716666666666666E-3</v>
      </c>
      <c r="X222" s="97">
        <v>7419.9781094097325</v>
      </c>
      <c r="Y222" s="97">
        <v>10.004383598043807</v>
      </c>
      <c r="Z222" s="97">
        <v>2900.4823897289057</v>
      </c>
      <c r="AA222" s="97">
        <v>113.75998806746972</v>
      </c>
      <c r="AB222" s="97">
        <v>7.6246443829826118</v>
      </c>
      <c r="AC222" s="97">
        <v>514.65987415040615</v>
      </c>
      <c r="AD222" s="97">
        <v>163.47429576934309</v>
      </c>
      <c r="AE222" s="97">
        <v>1767.0970622339657</v>
      </c>
      <c r="AF222" s="97">
        <v>3035.5554092340112</v>
      </c>
      <c r="AG222" s="97">
        <v>982.40465181638444</v>
      </c>
      <c r="AH222" s="97">
        <v>102344.83383070221</v>
      </c>
      <c r="AI222" s="97">
        <v>1778.3510085661808</v>
      </c>
      <c r="AJ222" s="97">
        <v>144524.74284870771</v>
      </c>
      <c r="AK222" s="97">
        <v>147261.72071319612</v>
      </c>
      <c r="AL222" s="97">
        <v>2736.97786448838</v>
      </c>
      <c r="AM222" s="97">
        <v>104123.1848392684</v>
      </c>
    </row>
    <row r="223" spans="1:39" x14ac:dyDescent="0.25">
      <c r="A223" s="97">
        <v>221</v>
      </c>
      <c r="B223" s="97">
        <v>1.2716666666666666E-3</v>
      </c>
      <c r="C223" s="97">
        <v>116.6241325290069</v>
      </c>
      <c r="D223" s="97">
        <v>612.60274659098718</v>
      </c>
      <c r="E223" s="97">
        <v>621.49099766968629</v>
      </c>
      <c r="F223" s="97">
        <v>814.46914462355153</v>
      </c>
      <c r="G223" s="97">
        <v>3004.8451687818965</v>
      </c>
      <c r="H223" s="97">
        <v>7428.3322059288639</v>
      </c>
      <c r="I223" s="97">
        <v>63</v>
      </c>
      <c r="J223" s="97">
        <v>45</v>
      </c>
      <c r="K223" s="97">
        <v>635.21277517465751</v>
      </c>
      <c r="L223" s="97">
        <v>3336.6429597655765</v>
      </c>
      <c r="M223" s="97">
        <v>3385.0543006408911</v>
      </c>
      <c r="N223" s="97">
        <v>4144.9692218466907</v>
      </c>
      <c r="O223" s="97">
        <v>48708.540185954545</v>
      </c>
      <c r="P223" s="97">
        <v>171187.317617714</v>
      </c>
      <c r="Q223" s="97">
        <v>12979.524851953714</v>
      </c>
      <c r="R223" s="97">
        <v>244377.26191305008</v>
      </c>
      <c r="S223" s="97">
        <v>56070321.400122583</v>
      </c>
      <c r="T223" s="97">
        <v>35594843.164293677</v>
      </c>
      <c r="U223" s="45">
        <v>0</v>
      </c>
      <c r="V223">
        <v>0</v>
      </c>
      <c r="W223">
        <v>1.2716666666666666E-3</v>
      </c>
      <c r="X223" s="97">
        <v>7428.3322059288639</v>
      </c>
      <c r="Y223" s="97">
        <v>9.9745462649516696</v>
      </c>
      <c r="Z223" s="97">
        <v>2910.4569359938573</v>
      </c>
      <c r="AA223" s="97">
        <v>113.43273655452711</v>
      </c>
      <c r="AB223" s="97">
        <v>7.6028711242461302</v>
      </c>
      <c r="AC223" s="97">
        <v>513.52751743829697</v>
      </c>
      <c r="AD223" s="97">
        <v>163.06960050196261</v>
      </c>
      <c r="AE223" s="97">
        <v>1774.3130774544079</v>
      </c>
      <c r="AF223" s="97">
        <v>3049.9261427046699</v>
      </c>
      <c r="AG223" s="97">
        <v>990.01181260541534</v>
      </c>
      <c r="AH223" s="97">
        <v>102344.83383070221</v>
      </c>
      <c r="AI223" s="97">
        <v>1778.3510085661808</v>
      </c>
      <c r="AJ223" s="97">
        <v>144524.74284870771</v>
      </c>
      <c r="AK223" s="97">
        <v>147261.72071319612</v>
      </c>
      <c r="AL223" s="97">
        <v>2736.97786448838</v>
      </c>
      <c r="AM223" s="97">
        <v>104123.1848392684</v>
      </c>
    </row>
    <row r="224" spans="1:39" x14ac:dyDescent="0.25">
      <c r="A224" s="97">
        <v>222</v>
      </c>
      <c r="B224" s="97">
        <v>1.2716666666666666E-3</v>
      </c>
      <c r="C224" s="97">
        <v>115.27277776233936</v>
      </c>
      <c r="D224" s="97">
        <v>608.50865756766405</v>
      </c>
      <c r="E224" s="97">
        <v>618.63331014710388</v>
      </c>
      <c r="F224" s="97">
        <v>811.69317630376918</v>
      </c>
      <c r="G224" s="97">
        <v>2995.8765735953289</v>
      </c>
      <c r="H224" s="97">
        <v>7436.6579093989885</v>
      </c>
      <c r="I224" s="97">
        <v>63</v>
      </c>
      <c r="J224" s="97">
        <v>45</v>
      </c>
      <c r="K224" s="97">
        <v>627.8523962122083</v>
      </c>
      <c r="L224" s="97">
        <v>3314.3438215518768</v>
      </c>
      <c r="M224" s="97">
        <v>3369.4894292678923</v>
      </c>
      <c r="N224" s="97">
        <v>4130.841856405932</v>
      </c>
      <c r="O224" s="97">
        <v>48563.159257980282</v>
      </c>
      <c r="P224" s="97">
        <v>170788.02324880502</v>
      </c>
      <c r="Q224" s="97">
        <v>12947.294549274409</v>
      </c>
      <c r="R224" s="97">
        <v>243741.00455949761</v>
      </c>
      <c r="S224" s="97">
        <v>56314062.404682077</v>
      </c>
      <c r="T224" s="97">
        <v>35691680.048008651</v>
      </c>
      <c r="U224" s="45">
        <v>0</v>
      </c>
      <c r="V224">
        <v>0</v>
      </c>
      <c r="W224">
        <v>1.2716666666666666E-3</v>
      </c>
      <c r="X224" s="97">
        <v>7436.6579093989885</v>
      </c>
      <c r="Y224" s="97">
        <v>9.9447866368771631</v>
      </c>
      <c r="Z224" s="97">
        <v>2920.4017226307346</v>
      </c>
      <c r="AA224" s="97">
        <v>113.10520696597524</v>
      </c>
      <c r="AB224" s="97">
        <v>7.5811535303196633</v>
      </c>
      <c r="AC224" s="97">
        <v>512.39266241545999</v>
      </c>
      <c r="AD224" s="97">
        <v>162.66467176674928</v>
      </c>
      <c r="AE224" s="97">
        <v>1781.5099934553466</v>
      </c>
      <c r="AF224" s="97">
        <v>3064.2619386366978</v>
      </c>
      <c r="AG224" s="97">
        <v>997.59102483891274</v>
      </c>
      <c r="AH224" s="97">
        <v>102344.83383070221</v>
      </c>
      <c r="AI224" s="97">
        <v>1778.3510085661808</v>
      </c>
      <c r="AJ224" s="97">
        <v>144524.74284870771</v>
      </c>
      <c r="AK224" s="97">
        <v>147261.72071319612</v>
      </c>
      <c r="AL224" s="97">
        <v>2736.97786448838</v>
      </c>
      <c r="AM224" s="97">
        <v>104123.1848392684</v>
      </c>
    </row>
    <row r="225" spans="1:39" x14ac:dyDescent="0.25">
      <c r="A225" s="97">
        <v>223</v>
      </c>
      <c r="B225" s="97">
        <v>1.2716666666666666E-3</v>
      </c>
      <c r="C225" s="97">
        <v>113.93708150189858</v>
      </c>
      <c r="D225" s="97">
        <v>604.43602983685537</v>
      </c>
      <c r="E225" s="97">
        <v>615.77934238689227</v>
      </c>
      <c r="F225" s="97">
        <v>808.91883397397169</v>
      </c>
      <c r="G225" s="97">
        <v>2986.931220267164</v>
      </c>
      <c r="H225" s="97">
        <v>7444.9552362397153</v>
      </c>
      <c r="I225" s="97">
        <v>63</v>
      </c>
      <c r="J225" s="97">
        <v>45</v>
      </c>
      <c r="K225" s="97">
        <v>620.5773039136742</v>
      </c>
      <c r="L225" s="97">
        <v>3292.1615758447388</v>
      </c>
      <c r="M225" s="97">
        <v>3353.9448182006063</v>
      </c>
      <c r="N225" s="97">
        <v>4116.7227658992042</v>
      </c>
      <c r="O225" s="97">
        <v>48418.155080530734</v>
      </c>
      <c r="P225" s="97">
        <v>170388.00529480411</v>
      </c>
      <c r="Q225" s="97">
        <v>12915.047420197709</v>
      </c>
      <c r="R225" s="97">
        <v>243104.61425939077</v>
      </c>
      <c r="S225" s="97">
        <v>56557167.018941469</v>
      </c>
      <c r="T225" s="97">
        <v>35787863.333867036</v>
      </c>
      <c r="U225" s="45">
        <v>0</v>
      </c>
      <c r="V225">
        <v>0</v>
      </c>
      <c r="W225">
        <v>1.2716666666666666E-3</v>
      </c>
      <c r="X225" s="97">
        <v>7444.9552362397153</v>
      </c>
      <c r="Y225" s="97">
        <v>9.915104320300733</v>
      </c>
      <c r="Z225" s="97">
        <v>2930.3168269510352</v>
      </c>
      <c r="AA225" s="97">
        <v>112.77742783930096</v>
      </c>
      <c r="AB225" s="97">
        <v>7.5594913076771997</v>
      </c>
      <c r="AC225" s="97">
        <v>511.25540685654988</v>
      </c>
      <c r="AD225" s="97">
        <v>162.25953163135509</v>
      </c>
      <c r="AE225" s="97">
        <v>1788.6878214208223</v>
      </c>
      <c r="AF225" s="97">
        <v>3078.562757218986</v>
      </c>
      <c r="AG225" s="97">
        <v>1005.1423684870263</v>
      </c>
      <c r="AH225" s="97">
        <v>102344.83383070221</v>
      </c>
      <c r="AI225" s="97">
        <v>1778.3510085661808</v>
      </c>
      <c r="AJ225" s="97">
        <v>144524.74284870771</v>
      </c>
      <c r="AK225" s="97">
        <v>147261.72071319612</v>
      </c>
      <c r="AL225" s="97">
        <v>2736.97786448838</v>
      </c>
      <c r="AM225" s="97">
        <v>104123.1848392684</v>
      </c>
    </row>
    <row r="226" spans="1:39" x14ac:dyDescent="0.25">
      <c r="A226" s="97">
        <v>224</v>
      </c>
      <c r="B226" s="97">
        <v>1.2716666666666666E-3</v>
      </c>
      <c r="C226" s="97">
        <v>112.61686230841833</v>
      </c>
      <c r="D226" s="97">
        <v>600.38483935100317</v>
      </c>
      <c r="E226" s="97">
        <v>612.92920852606846</v>
      </c>
      <c r="F226" s="97">
        <v>806.1461383606719</v>
      </c>
      <c r="G226" s="97">
        <v>2978.0089916508332</v>
      </c>
      <c r="H226" s="97">
        <v>7453.2242030723128</v>
      </c>
      <c r="I226" s="97">
        <v>63</v>
      </c>
      <c r="J226" s="97">
        <v>45</v>
      </c>
      <c r="K226" s="97">
        <v>613.38651003985183</v>
      </c>
      <c r="L226" s="97">
        <v>3270.0960916651302</v>
      </c>
      <c r="M226" s="97">
        <v>3338.4210891053194</v>
      </c>
      <c r="N226" s="97">
        <v>4102.6120558071862</v>
      </c>
      <c r="O226" s="97">
        <v>48273.525754660011</v>
      </c>
      <c r="P226" s="97">
        <v>169987.29749976168</v>
      </c>
      <c r="Q226" s="97">
        <v>12882.78518711379</v>
      </c>
      <c r="R226" s="97">
        <v>242468.12418815299</v>
      </c>
      <c r="S226" s="97">
        <v>56799635.143129624</v>
      </c>
      <c r="T226" s="97">
        <v>35883396.739334203</v>
      </c>
      <c r="U226" s="45">
        <v>0</v>
      </c>
      <c r="V226">
        <v>0</v>
      </c>
      <c r="W226">
        <v>1.2716666666666666E-3</v>
      </c>
      <c r="X226" s="97">
        <v>7453.2242030723128</v>
      </c>
      <c r="Y226" s="97">
        <v>9.8854989246003822</v>
      </c>
      <c r="Z226" s="97">
        <v>2940.2023258756358</v>
      </c>
      <c r="AA226" s="97">
        <v>112.44942693608472</v>
      </c>
      <c r="AB226" s="97">
        <v>7.5378841645585748</v>
      </c>
      <c r="AC226" s="97">
        <v>510.11584658494985</v>
      </c>
      <c r="AD226" s="97">
        <v>161.85420173520686</v>
      </c>
      <c r="AE226" s="97">
        <v>1795.8465731353815</v>
      </c>
      <c r="AF226" s="97">
        <v>3092.8285610779271</v>
      </c>
      <c r="AG226" s="97">
        <v>1012.6659234688368</v>
      </c>
      <c r="AH226" s="97">
        <v>102344.83383070221</v>
      </c>
      <c r="AI226" s="97">
        <v>1778.3510085661808</v>
      </c>
      <c r="AJ226" s="97">
        <v>144524.74284870771</v>
      </c>
      <c r="AK226" s="97">
        <v>147261.72071319612</v>
      </c>
      <c r="AL226" s="97">
        <v>2736.97786448838</v>
      </c>
      <c r="AM226" s="97">
        <v>104123.1848392684</v>
      </c>
    </row>
    <row r="227" spans="1:39" x14ac:dyDescent="0.25">
      <c r="A227" s="97">
        <v>225</v>
      </c>
      <c r="B227" s="97">
        <v>1.2716666666666666E-3</v>
      </c>
      <c r="C227" s="97">
        <v>111.31194084501735</v>
      </c>
      <c r="D227" s="97">
        <v>596.35506039883262</v>
      </c>
      <c r="E227" s="97">
        <v>610.08302116972459</v>
      </c>
      <c r="F227" s="97">
        <v>803.37511116157725</v>
      </c>
      <c r="G227" s="97">
        <v>2969.109771485872</v>
      </c>
      <c r="H227" s="97">
        <v>7461.4648267299217</v>
      </c>
      <c r="I227" s="97">
        <v>63</v>
      </c>
      <c r="J227" s="97">
        <v>45</v>
      </c>
      <c r="K227" s="97">
        <v>606.2790378025278</v>
      </c>
      <c r="L227" s="97">
        <v>3248.1472289723083</v>
      </c>
      <c r="M227" s="97">
        <v>3322.9188553044332</v>
      </c>
      <c r="N227" s="97">
        <v>4088.5098365531267</v>
      </c>
      <c r="O227" s="97">
        <v>48129.269395785988</v>
      </c>
      <c r="P227" s="97">
        <v>169585.93287795558</v>
      </c>
      <c r="Q227" s="97">
        <v>12850.509538729359</v>
      </c>
      <c r="R227" s="97">
        <v>241831.56677110333</v>
      </c>
      <c r="S227" s="97">
        <v>57041466.709900729</v>
      </c>
      <c r="T227" s="97">
        <v>35978283.975164205</v>
      </c>
      <c r="U227" s="45">
        <v>0</v>
      </c>
      <c r="V227">
        <v>0</v>
      </c>
      <c r="W227">
        <v>1.2716666666666666E-3</v>
      </c>
      <c r="X227" s="97">
        <v>7461.4648267299217</v>
      </c>
      <c r="Y227" s="97">
        <v>9.8559700620697317</v>
      </c>
      <c r="Z227" s="97">
        <v>2950.0582959377057</v>
      </c>
      <c r="AA227" s="97">
        <v>112.12123126153371</v>
      </c>
      <c r="AB227" s="97">
        <v>7.5163318109942701</v>
      </c>
      <c r="AC227" s="97">
        <v>508.97407550768088</v>
      </c>
      <c r="AD227" s="97">
        <v>161.44870329454562</v>
      </c>
      <c r="AE227" s="97">
        <v>1802.9862609691545</v>
      </c>
      <c r="AF227" s="97">
        <v>3107.0593152258948</v>
      </c>
      <c r="AG227" s="97">
        <v>1020.1617696493215</v>
      </c>
      <c r="AH227" s="97">
        <v>102344.83383070221</v>
      </c>
      <c r="AI227" s="97">
        <v>1778.3510085661808</v>
      </c>
      <c r="AJ227" s="97">
        <v>144524.74284870771</v>
      </c>
      <c r="AK227" s="97">
        <v>147261.72071319612</v>
      </c>
      <c r="AL227" s="97">
        <v>2736.97786448838</v>
      </c>
      <c r="AM227" s="97">
        <v>104123.1848392684</v>
      </c>
    </row>
    <row r="228" spans="1:39" x14ac:dyDescent="0.25">
      <c r="A228" s="97">
        <v>226</v>
      </c>
      <c r="B228" s="97">
        <v>1.2716666666666666E-3</v>
      </c>
      <c r="C228" s="97">
        <v>110.02213985283834</v>
      </c>
      <c r="D228" s="97">
        <v>592.34666564142526</v>
      </c>
      <c r="E228" s="97">
        <v>607.24089139693831</v>
      </c>
      <c r="F228" s="97">
        <v>800.60577501819421</v>
      </c>
      <c r="G228" s="97">
        <v>2960.2334444027501</v>
      </c>
      <c r="H228" s="97">
        <v>7469.6771242674813</v>
      </c>
      <c r="I228" s="97">
        <v>63</v>
      </c>
      <c r="J228" s="97">
        <v>45</v>
      </c>
      <c r="K228" s="97">
        <v>599.25392173179273</v>
      </c>
      <c r="L228" s="97">
        <v>3226.3148388602963</v>
      </c>
      <c r="M228" s="97">
        <v>3307.4387218086572</v>
      </c>
      <c r="N228" s="97">
        <v>4074.4162233634265</v>
      </c>
      <c r="O228" s="97">
        <v>47985.384133768581</v>
      </c>
      <c r="P228" s="97">
        <v>169183.94372847246</v>
      </c>
      <c r="Q228" s="97">
        <v>12818.222130475908</v>
      </c>
      <c r="R228" s="97">
        <v>241194.9736984811</v>
      </c>
      <c r="S228" s="97">
        <v>57282661.683599211</v>
      </c>
      <c r="T228" s="97">
        <v>36072528.744997986</v>
      </c>
      <c r="U228" s="45">
        <v>0</v>
      </c>
      <c r="V228">
        <v>0</v>
      </c>
      <c r="W228">
        <v>1.2716666666666666E-3</v>
      </c>
      <c r="X228" s="97">
        <v>7469.6771242674813</v>
      </c>
      <c r="Y228" s="97">
        <v>9.8265173479350434</v>
      </c>
      <c r="Z228" s="97">
        <v>2959.8848132856406</v>
      </c>
      <c r="AA228" s="97">
        <v>111.79286708354471</v>
      </c>
      <c r="AB228" s="97">
        <v>7.4948339588292843</v>
      </c>
      <c r="AC228" s="97">
        <v>507.83018564974219</v>
      </c>
      <c r="AD228" s="97">
        <v>161.04305710755585</v>
      </c>
      <c r="AE228" s="97">
        <v>1810.1068978632559</v>
      </c>
      <c r="AF228" s="97">
        <v>3121.2549870106227</v>
      </c>
      <c r="AG228" s="97">
        <v>1027.6299868363885</v>
      </c>
      <c r="AH228" s="97">
        <v>102344.83383070221</v>
      </c>
      <c r="AI228" s="97">
        <v>1778.3510085661808</v>
      </c>
      <c r="AJ228" s="97">
        <v>144524.74284870771</v>
      </c>
      <c r="AK228" s="97">
        <v>147261.72071319612</v>
      </c>
      <c r="AL228" s="97">
        <v>2736.97786448838</v>
      </c>
      <c r="AM228" s="97">
        <v>104123.1848392684</v>
      </c>
    </row>
    <row r="229" spans="1:39" x14ac:dyDescent="0.25">
      <c r="A229" s="97">
        <v>227</v>
      </c>
      <c r="B229" s="97">
        <v>1.2716666666666666E-3</v>
      </c>
      <c r="C229" s="97">
        <v>108.74728412696946</v>
      </c>
      <c r="D229" s="97">
        <v>588.35962614772927</v>
      </c>
      <c r="E229" s="97">
        <v>604.4029287668792</v>
      </c>
      <c r="F229" s="97">
        <v>797.83815348881058</v>
      </c>
      <c r="G229" s="97">
        <v>2951.37989592739</v>
      </c>
      <c r="H229" s="97">
        <v>7477.8611129713772</v>
      </c>
      <c r="I229" s="97">
        <v>63</v>
      </c>
      <c r="J229" s="97">
        <v>45</v>
      </c>
      <c r="K229" s="97">
        <v>592.31020754489361</v>
      </c>
      <c r="L229" s="97">
        <v>3204.5987637512985</v>
      </c>
      <c r="M229" s="97">
        <v>3291.9812853502685</v>
      </c>
      <c r="N229" s="97">
        <v>4060.3313361301384</v>
      </c>
      <c r="O229" s="97">
        <v>47841.868112982993</v>
      </c>
      <c r="P229" s="97">
        <v>168781.36164951095</v>
      </c>
      <c r="Q229" s="97">
        <v>12785.924584924247</v>
      </c>
      <c r="R229" s="97">
        <v>240558.37594019479</v>
      </c>
      <c r="S229" s="97">
        <v>57523220.059539407</v>
      </c>
      <c r="T229" s="97">
        <v>36166134.744975008</v>
      </c>
      <c r="U229" s="45">
        <v>0</v>
      </c>
      <c r="V229">
        <v>0</v>
      </c>
      <c r="W229">
        <v>1.2716666666666666E-3</v>
      </c>
      <c r="X229" s="97">
        <v>7477.8611129713772</v>
      </c>
      <c r="Y229" s="97">
        <v>9.7971404003711964</v>
      </c>
      <c r="Z229" s="97">
        <v>2969.6819536860116</v>
      </c>
      <c r="AA229" s="97">
        <v>111.46435995130781</v>
      </c>
      <c r="AB229" s="97">
        <v>7.4733903217460771</v>
      </c>
      <c r="AC229" s="97">
        <v>506.68426718789203</v>
      </c>
      <c r="AD229" s="97">
        <v>160.63728355957343</v>
      </c>
      <c r="AE229" s="97">
        <v>1817.2084973155045</v>
      </c>
      <c r="AF229" s="97">
        <v>3135.4155460654688</v>
      </c>
      <c r="AG229" s="97">
        <v>1035.0706547779798</v>
      </c>
      <c r="AH229" s="97">
        <v>102344.83383070221</v>
      </c>
      <c r="AI229" s="97">
        <v>1778.3510085661808</v>
      </c>
      <c r="AJ229" s="97">
        <v>144524.74284870771</v>
      </c>
      <c r="AK229" s="97">
        <v>147261.72071319612</v>
      </c>
      <c r="AL229" s="97">
        <v>2736.97786448838</v>
      </c>
      <c r="AM229" s="97">
        <v>104123.1848392684</v>
      </c>
    </row>
    <row r="230" spans="1:39" x14ac:dyDescent="0.25">
      <c r="A230" s="97">
        <v>228</v>
      </c>
      <c r="B230" s="97">
        <v>1.2716666666666666E-3</v>
      </c>
      <c r="C230" s="97">
        <v>107.48720049264466</v>
      </c>
      <c r="D230" s="97">
        <v>584.39391142951433</v>
      </c>
      <c r="E230" s="97">
        <v>601.56924132510449</v>
      </c>
      <c r="F230" s="97">
        <v>795.07227102185254</v>
      </c>
      <c r="G230" s="97">
        <v>2942.5490124853841</v>
      </c>
      <c r="H230" s="97">
        <v>7486.0168103688156</v>
      </c>
      <c r="I230" s="97">
        <v>64</v>
      </c>
      <c r="J230" s="97">
        <v>45</v>
      </c>
      <c r="K230" s="97">
        <v>585.44695201660454</v>
      </c>
      <c r="L230" s="97">
        <v>3182.998837586088</v>
      </c>
      <c r="M230" s="97">
        <v>3276.547134417402</v>
      </c>
      <c r="N230" s="97">
        <v>4046.2552992753776</v>
      </c>
      <c r="O230" s="97">
        <v>47698.719492388082</v>
      </c>
      <c r="P230" s="97">
        <v>168378.21755241198</v>
      </c>
      <c r="Q230" s="97">
        <v>12753.618492204547</v>
      </c>
      <c r="R230" s="97">
        <v>239921.80376030007</v>
      </c>
      <c r="S230" s="97">
        <v>57763141.863299705</v>
      </c>
      <c r="T230" s="97">
        <v>36259105.663357973</v>
      </c>
      <c r="U230" s="45">
        <v>0</v>
      </c>
      <c r="V230">
        <v>0</v>
      </c>
      <c r="W230">
        <v>1.2716666666666666E-3</v>
      </c>
      <c r="X230" s="97">
        <v>7486.0168103688156</v>
      </c>
      <c r="Y230" s="97">
        <v>9.7678388405166512</v>
      </c>
      <c r="Z230" s="97">
        <v>2979.4497925265282</v>
      </c>
      <c r="AA230" s="97">
        <v>111.14970493686144</v>
      </c>
      <c r="AB230" s="97">
        <v>7.4380303918867581</v>
      </c>
      <c r="AC230" s="97">
        <v>505.52243826047714</v>
      </c>
      <c r="AD230" s="97">
        <v>160.23140262836293</v>
      </c>
      <c r="AE230" s="97">
        <v>1824.2910733664548</v>
      </c>
      <c r="AF230" s="97">
        <v>3149.5409642605582</v>
      </c>
      <c r="AG230" s="97">
        <v>1042.4838531592407</v>
      </c>
      <c r="AH230" s="97">
        <v>104693.38187603027</v>
      </c>
      <c r="AI230" s="97">
        <v>1843.1366145579377</v>
      </c>
      <c r="AJ230" s="97">
        <v>150176.80374584181</v>
      </c>
      <c r="AK230" s="97">
        <v>153069.69589577633</v>
      </c>
      <c r="AL230" s="97">
        <v>2892.8921499344747</v>
      </c>
      <c r="AM230" s="97">
        <v>106536.51849058822</v>
      </c>
    </row>
    <row r="231" spans="1:39" x14ac:dyDescent="0.25">
      <c r="A231" s="97">
        <v>229</v>
      </c>
      <c r="B231" s="97">
        <v>1.3975000000000001E-3</v>
      </c>
      <c r="C231" s="97">
        <v>106.22819230899117</v>
      </c>
      <c r="D231" s="97">
        <v>580.37595324192353</v>
      </c>
      <c r="E231" s="97">
        <v>598.66423814717086</v>
      </c>
      <c r="F231" s="97">
        <v>792.20810633551139</v>
      </c>
      <c r="G231" s="97">
        <v>2933.37041065518</v>
      </c>
      <c r="H231" s="97">
        <v>7494.1442342369182</v>
      </c>
      <c r="I231" s="97">
        <v>64</v>
      </c>
      <c r="J231" s="97">
        <v>45</v>
      </c>
      <c r="K231" s="97">
        <v>578.58955410963858</v>
      </c>
      <c r="L231" s="97">
        <v>3161.1143586576768</v>
      </c>
      <c r="M231" s="97">
        <v>3260.7245504415905</v>
      </c>
      <c r="N231" s="97">
        <v>4031.6790878258066</v>
      </c>
      <c r="O231" s="97">
        <v>47549.934356720471</v>
      </c>
      <c r="P231" s="97">
        <v>167953.32832797777</v>
      </c>
      <c r="Q231" s="97">
        <v>12719.700580104183</v>
      </c>
      <c r="R231" s="97">
        <v>239255.07081583713</v>
      </c>
      <c r="S231" s="97">
        <v>58002396.934115544</v>
      </c>
      <c r="T231" s="97">
        <v>36351433.51993382</v>
      </c>
      <c r="U231" s="45">
        <v>0</v>
      </c>
      <c r="V231">
        <v>0</v>
      </c>
      <c r="W231">
        <v>1.3975000000000001E-3</v>
      </c>
      <c r="X231" s="97">
        <v>7494.1442342369182</v>
      </c>
      <c r="Y231" s="97">
        <v>9.7386122924873959</v>
      </c>
      <c r="Z231" s="97">
        <v>2989.1884048190154</v>
      </c>
      <c r="AA231" s="97">
        <v>110.82059820616981</v>
      </c>
      <c r="AB231" s="97">
        <v>7.4167343320616324</v>
      </c>
      <c r="AC231" s="97">
        <v>504.29542120947025</v>
      </c>
      <c r="AD231" s="97">
        <v>159.80527143795695</v>
      </c>
      <c r="AE231" s="97">
        <v>1831.3546405857337</v>
      </c>
      <c r="AF231" s="97">
        <v>3163.6313099807303</v>
      </c>
      <c r="AG231" s="97">
        <v>1050.6004984768965</v>
      </c>
      <c r="AH231" s="97">
        <v>104693.38187603027</v>
      </c>
      <c r="AI231" s="97">
        <v>1843.1366145579377</v>
      </c>
      <c r="AJ231" s="97">
        <v>150176.80374584181</v>
      </c>
      <c r="AK231" s="97">
        <v>153069.69589577633</v>
      </c>
      <c r="AL231" s="97">
        <v>2892.8921499344747</v>
      </c>
      <c r="AM231" s="97">
        <v>106536.51849058822</v>
      </c>
    </row>
    <row r="232" spans="1:39" x14ac:dyDescent="0.25">
      <c r="A232" s="97">
        <v>230</v>
      </c>
      <c r="B232" s="97">
        <v>1.3975000000000001E-3</v>
      </c>
      <c r="C232" s="97">
        <v>104.98393101240183</v>
      </c>
      <c r="D232" s="97">
        <v>576.38025625173952</v>
      </c>
      <c r="E232" s="97">
        <v>595.76444330109314</v>
      </c>
      <c r="F232" s="97">
        <v>789.34644039973819</v>
      </c>
      <c r="G232" s="97">
        <v>2924.2165127796466</v>
      </c>
      <c r="H232" s="97">
        <v>7502.242379910721</v>
      </c>
      <c r="I232" s="97">
        <v>64</v>
      </c>
      <c r="J232" s="97">
        <v>45</v>
      </c>
      <c r="K232" s="97">
        <v>571.81247758088193</v>
      </c>
      <c r="L232" s="97">
        <v>3139.351129051141</v>
      </c>
      <c r="M232" s="97">
        <v>3244.9303345132871</v>
      </c>
      <c r="N232" s="97">
        <v>4017.115592934334</v>
      </c>
      <c r="O232" s="97">
        <v>47401.549672158071</v>
      </c>
      <c r="P232" s="97">
        <v>167528.01653349161</v>
      </c>
      <c r="Q232" s="97">
        <v>12685.785495612885</v>
      </c>
      <c r="R232" s="97">
        <v>238588.5612353422</v>
      </c>
      <c r="S232" s="97">
        <v>58240985.49535089</v>
      </c>
      <c r="T232" s="97">
        <v>36443122.136441536</v>
      </c>
      <c r="U232" s="45">
        <v>0</v>
      </c>
      <c r="V232">
        <v>0</v>
      </c>
      <c r="W232">
        <v>1.3975000000000001E-3</v>
      </c>
      <c r="X232" s="97">
        <v>7502.242379910721</v>
      </c>
      <c r="Y232" s="97">
        <v>9.7082349413431324</v>
      </c>
      <c r="Z232" s="97">
        <v>2998.8966397603585</v>
      </c>
      <c r="AA232" s="97">
        <v>110.49105922698776</v>
      </c>
      <c r="AB232" s="97">
        <v>7.394638615110634</v>
      </c>
      <c r="AC232" s="97">
        <v>503.06728877696133</v>
      </c>
      <c r="AD232" s="97">
        <v>159.3791757725094</v>
      </c>
      <c r="AE232" s="97">
        <v>1838.3983246745343</v>
      </c>
      <c r="AF232" s="97">
        <v>3177.6847829543458</v>
      </c>
      <c r="AG232" s="97">
        <v>1058.686109524577</v>
      </c>
      <c r="AH232" s="97">
        <v>104693.38187603027</v>
      </c>
      <c r="AI232" s="97">
        <v>1843.1366145579377</v>
      </c>
      <c r="AJ232" s="97">
        <v>150176.80374584181</v>
      </c>
      <c r="AK232" s="97">
        <v>153069.69589577633</v>
      </c>
      <c r="AL232" s="97">
        <v>2892.8921499344747</v>
      </c>
      <c r="AM232" s="97">
        <v>106536.51849058822</v>
      </c>
    </row>
    <row r="233" spans="1:39" x14ac:dyDescent="0.25">
      <c r="A233" s="97">
        <v>231</v>
      </c>
      <c r="B233" s="97">
        <v>1.3975000000000001E-3</v>
      </c>
      <c r="C233" s="97">
        <v>103.75424387113358</v>
      </c>
      <c r="D233" s="97">
        <v>572.40677728957974</v>
      </c>
      <c r="E233" s="97">
        <v>592.86995850181529</v>
      </c>
      <c r="F233" s="97">
        <v>786.48729936842722</v>
      </c>
      <c r="G233" s="97">
        <v>2915.0871991101549</v>
      </c>
      <c r="H233" s="97">
        <v>7510.3112729330642</v>
      </c>
      <c r="I233" s="97">
        <v>64</v>
      </c>
      <c r="J233" s="97">
        <v>45</v>
      </c>
      <c r="K233" s="97">
        <v>565.11478161810749</v>
      </c>
      <c r="L233" s="97">
        <v>3117.7089136372442</v>
      </c>
      <c r="M233" s="97">
        <v>3229.1650406398871</v>
      </c>
      <c r="N233" s="97">
        <v>4002.5649477024872</v>
      </c>
      <c r="O233" s="97">
        <v>47253.563497575611</v>
      </c>
      <c r="P233" s="97">
        <v>167102.31251518094</v>
      </c>
      <c r="Q233" s="97">
        <v>12651.874694651839</v>
      </c>
      <c r="R233" s="97">
        <v>237922.30439100612</v>
      </c>
      <c r="S233" s="97">
        <v>58478907.799741894</v>
      </c>
      <c r="T233" s="97">
        <v>36534175.324860841</v>
      </c>
      <c r="U233" s="45">
        <v>0</v>
      </c>
      <c r="V233">
        <v>0</v>
      </c>
      <c r="W233">
        <v>1.3975000000000001E-3</v>
      </c>
      <c r="X233" s="97">
        <v>7510.3112729330642</v>
      </c>
      <c r="Y233" s="97">
        <v>9.6779393500049444</v>
      </c>
      <c r="Z233" s="97">
        <v>3008.5745791103636</v>
      </c>
      <c r="AA233" s="97">
        <v>110.16112209548037</v>
      </c>
      <c r="AB233" s="97">
        <v>7.3726008711769087</v>
      </c>
      <c r="AC233" s="97">
        <v>501.83811800748589</v>
      </c>
      <c r="AD233" s="97">
        <v>158.95313392363639</v>
      </c>
      <c r="AE233" s="97">
        <v>1845.4221455850161</v>
      </c>
      <c r="AF233" s="97">
        <v>3191.7013666299495</v>
      </c>
      <c r="AG233" s="97">
        <v>1066.7407812023378</v>
      </c>
      <c r="AH233" s="97">
        <v>104693.38187603027</v>
      </c>
      <c r="AI233" s="97">
        <v>1843.1366145579377</v>
      </c>
      <c r="AJ233" s="97">
        <v>150176.80374584181</v>
      </c>
      <c r="AK233" s="97">
        <v>153069.69589577633</v>
      </c>
      <c r="AL233" s="97">
        <v>2892.8921499344747</v>
      </c>
      <c r="AM233" s="97">
        <v>106536.51849058822</v>
      </c>
    </row>
    <row r="234" spans="1:39" x14ac:dyDescent="0.25">
      <c r="A234" s="97">
        <v>232</v>
      </c>
      <c r="B234" s="97">
        <v>1.3975000000000001E-3</v>
      </c>
      <c r="C234" s="97">
        <v>102.53896017666732</v>
      </c>
      <c r="D234" s="97">
        <v>568.45547178294544</v>
      </c>
      <c r="E234" s="97">
        <v>589.98088392595264</v>
      </c>
      <c r="F234" s="97">
        <v>783.63071016936738</v>
      </c>
      <c r="G234" s="97">
        <v>2905.982350869705</v>
      </c>
      <c r="H234" s="97">
        <v>7518.3509391141415</v>
      </c>
      <c r="I234" s="97">
        <v>64</v>
      </c>
      <c r="J234" s="97">
        <v>45</v>
      </c>
      <c r="K234" s="97">
        <v>558.49553642891465</v>
      </c>
      <c r="L234" s="97">
        <v>3096.1874696444424</v>
      </c>
      <c r="M234" s="97">
        <v>3213.4292144500218</v>
      </c>
      <c r="N234" s="97">
        <v>3988.0272891702721</v>
      </c>
      <c r="O234" s="97">
        <v>47105.973907597923</v>
      </c>
      <c r="P234" s="97">
        <v>166676.24592932287</v>
      </c>
      <c r="Q234" s="97">
        <v>12617.969605658618</v>
      </c>
      <c r="R234" s="97">
        <v>237256.32895227306</v>
      </c>
      <c r="S234" s="97">
        <v>58716164.128694169</v>
      </c>
      <c r="T234" s="97">
        <v>36624596.88706775</v>
      </c>
      <c r="U234" s="45">
        <v>0</v>
      </c>
      <c r="V234">
        <v>0</v>
      </c>
      <c r="W234">
        <v>1.3975000000000001E-3</v>
      </c>
      <c r="X234" s="97">
        <v>7518.3509391141415</v>
      </c>
      <c r="Y234" s="97">
        <v>9.6477251221547213</v>
      </c>
      <c r="Z234" s="97">
        <v>3018.2223042325181</v>
      </c>
      <c r="AA234" s="97">
        <v>109.83081999371511</v>
      </c>
      <c r="AB234" s="97">
        <v>7.3506208048267068</v>
      </c>
      <c r="AC234" s="97">
        <v>500.60798433278813</v>
      </c>
      <c r="AD234" s="97">
        <v>158.52716383766088</v>
      </c>
      <c r="AE234" s="97">
        <v>1852.4261237790513</v>
      </c>
      <c r="AF234" s="97">
        <v>3205.6810466104566</v>
      </c>
      <c r="AG234" s="97">
        <v>1074.7646083007421</v>
      </c>
      <c r="AH234" s="97">
        <v>104693.38187603027</v>
      </c>
      <c r="AI234" s="97">
        <v>1843.1366145579377</v>
      </c>
      <c r="AJ234" s="97">
        <v>150176.80374584181</v>
      </c>
      <c r="AK234" s="97">
        <v>153069.69589577633</v>
      </c>
      <c r="AL234" s="97">
        <v>2892.8921499344747</v>
      </c>
      <c r="AM234" s="97">
        <v>106536.51849058822</v>
      </c>
    </row>
    <row r="235" spans="1:39" x14ac:dyDescent="0.25">
      <c r="A235" s="97">
        <v>233</v>
      </c>
      <c r="B235" s="97">
        <v>1.3975000000000001E-3</v>
      </c>
      <c r="C235" s="97">
        <v>101.33791122000966</v>
      </c>
      <c r="D235" s="97">
        <v>564.52629378940162</v>
      </c>
      <c r="E235" s="97">
        <v>587.09731821989408</v>
      </c>
      <c r="F235" s="97">
        <v>780.77670047894878</v>
      </c>
      <c r="G235" s="97">
        <v>2896.901850255123</v>
      </c>
      <c r="H235" s="97">
        <v>7526.3614045394079</v>
      </c>
      <c r="I235" s="97">
        <v>64</v>
      </c>
      <c r="J235" s="97">
        <v>45</v>
      </c>
      <c r="K235" s="97">
        <v>551.95382311165258</v>
      </c>
      <c r="L235" s="97">
        <v>3074.7865468396071</v>
      </c>
      <c r="M235" s="97">
        <v>3197.7233932376894</v>
      </c>
      <c r="N235" s="97">
        <v>3973.5027581874501</v>
      </c>
      <c r="O235" s="97">
        <v>46958.778992635547</v>
      </c>
      <c r="P235" s="97">
        <v>166249.84575660492</v>
      </c>
      <c r="Q235" s="97">
        <v>12584.071629785809</v>
      </c>
      <c r="R235" s="97">
        <v>236590.66290040268</v>
      </c>
      <c r="S235" s="97">
        <v>58952754.791594572</v>
      </c>
      <c r="T235" s="97">
        <v>36714390.614502586</v>
      </c>
      <c r="U235" s="45">
        <v>0</v>
      </c>
      <c r="V235">
        <v>0</v>
      </c>
      <c r="W235">
        <v>1.3975000000000001E-3</v>
      </c>
      <c r="X235" s="97">
        <v>7526.3614045394079</v>
      </c>
      <c r="Y235" s="97">
        <v>9.617591864690036</v>
      </c>
      <c r="Z235" s="97">
        <v>3027.8398960972081</v>
      </c>
      <c r="AA235" s="97">
        <v>109.50018521259499</v>
      </c>
      <c r="AB235" s="97">
        <v>7.3286981227105894</v>
      </c>
      <c r="AC235" s="97">
        <v>499.37696160148181</v>
      </c>
      <c r="AD235" s="97">
        <v>158.10128311810803</v>
      </c>
      <c r="AE235" s="97">
        <v>1859.4102802145787</v>
      </c>
      <c r="AF235" s="97">
        <v>3219.6238106064347</v>
      </c>
      <c r="AG235" s="97">
        <v>1082.7576854980036</v>
      </c>
      <c r="AH235" s="97">
        <v>104693.38187603027</v>
      </c>
      <c r="AI235" s="97">
        <v>1843.1366145579377</v>
      </c>
      <c r="AJ235" s="97">
        <v>150176.80374584181</v>
      </c>
      <c r="AK235" s="97">
        <v>153069.69589577633</v>
      </c>
      <c r="AL235" s="97">
        <v>2892.8921499344747</v>
      </c>
      <c r="AM235" s="97">
        <v>106536.51849058822</v>
      </c>
    </row>
    <row r="236" spans="1:39" x14ac:dyDescent="0.25">
      <c r="A236" s="97">
        <v>234</v>
      </c>
      <c r="B236" s="97">
        <v>1.3975000000000001E-3</v>
      </c>
      <c r="C236" s="97">
        <v>100.1509302682723</v>
      </c>
      <c r="D236" s="97">
        <v>560.61919602922126</v>
      </c>
      <c r="E236" s="97">
        <v>584.21935850805153</v>
      </c>
      <c r="F236" s="97">
        <v>777.92529869725013</v>
      </c>
      <c r="G236" s="97">
        <v>2887.8455804389864</v>
      </c>
      <c r="H236" s="97">
        <v>7534.3426955772347</v>
      </c>
      <c r="I236" s="97">
        <v>64</v>
      </c>
      <c r="J236" s="97">
        <v>45</v>
      </c>
      <c r="K236" s="97">
        <v>545.48873352785643</v>
      </c>
      <c r="L236" s="97">
        <v>3053.505887705825</v>
      </c>
      <c r="M236" s="97">
        <v>3182.048106007187</v>
      </c>
      <c r="N236" s="97">
        <v>3958.9914992867552</v>
      </c>
      <c r="O236" s="97">
        <v>46811.976858915972</v>
      </c>
      <c r="P236" s="97">
        <v>165823.14031619937</v>
      </c>
      <c r="Q236" s="97">
        <v>12550.182141115018</v>
      </c>
      <c r="R236" s="97">
        <v>235925.33354275799</v>
      </c>
      <c r="S236" s="97">
        <v>59188680.125137329</v>
      </c>
      <c r="T236" s="97">
        <v>36803560.287850142</v>
      </c>
      <c r="U236" s="45">
        <v>0</v>
      </c>
      <c r="V236">
        <v>0</v>
      </c>
      <c r="W236">
        <v>1.3975000000000001E-3</v>
      </c>
      <c r="X236" s="97">
        <v>7534.3426955772347</v>
      </c>
      <c r="Y236" s="97">
        <v>9.5875391877314229</v>
      </c>
      <c r="Z236" s="97">
        <v>3037.4274352849397</v>
      </c>
      <c r="AA236" s="97">
        <v>109.16924917423627</v>
      </c>
      <c r="AB236" s="97">
        <v>7.3068325335791267</v>
      </c>
      <c r="AC236" s="97">
        <v>498.1451221082196</v>
      </c>
      <c r="AD236" s="97">
        <v>157.67550902839398</v>
      </c>
      <c r="AE236" s="97">
        <v>1866.3746363322703</v>
      </c>
      <c r="AF236" s="97">
        <v>3233.5296483901711</v>
      </c>
      <c r="AG236" s="97">
        <v>1090.7201073571978</v>
      </c>
      <c r="AH236" s="97">
        <v>104693.38187603027</v>
      </c>
      <c r="AI236" s="97">
        <v>1843.1366145579377</v>
      </c>
      <c r="AJ236" s="97">
        <v>150176.80374584181</v>
      </c>
      <c r="AK236" s="97">
        <v>153069.69589577633</v>
      </c>
      <c r="AL236" s="97">
        <v>2892.8921499344747</v>
      </c>
      <c r="AM236" s="97">
        <v>106536.51849058822</v>
      </c>
    </row>
    <row r="237" spans="1:39" x14ac:dyDescent="0.25">
      <c r="A237" s="97">
        <v>235</v>
      </c>
      <c r="B237" s="97">
        <v>1.3975000000000001E-3</v>
      </c>
      <c r="C237" s="97">
        <v>98.977852541525735</v>
      </c>
      <c r="D237" s="97">
        <v>556.73412991750206</v>
      </c>
      <c r="E237" s="97">
        <v>581.34710040125083</v>
      </c>
      <c r="F237" s="97">
        <v>775.07653392350198</v>
      </c>
      <c r="G237" s="97">
        <v>2878.813425571283</v>
      </c>
      <c r="H237" s="97">
        <v>7542.2948388863042</v>
      </c>
      <c r="I237" s="97">
        <v>64</v>
      </c>
      <c r="J237" s="97">
        <v>45</v>
      </c>
      <c r="K237" s="97">
        <v>539.09937017617676</v>
      </c>
      <c r="L237" s="97">
        <v>3032.3452276173275</v>
      </c>
      <c r="M237" s="97">
        <v>3166.4038735188128</v>
      </c>
      <c r="N237" s="97">
        <v>3944.4936605590219</v>
      </c>
      <c r="O237" s="97">
        <v>46665.5656285105</v>
      </c>
      <c r="P237" s="97">
        <v>165396.15727955784</v>
      </c>
      <c r="Q237" s="97">
        <v>12516.30248688509</v>
      </c>
      <c r="R237" s="97">
        <v>235260.36752682476</v>
      </c>
      <c r="S237" s="97">
        <v>59423940.492664151</v>
      </c>
      <c r="T237" s="97">
        <v>36892109.676731668</v>
      </c>
      <c r="U237" s="45">
        <v>0</v>
      </c>
      <c r="V237">
        <v>0</v>
      </c>
      <c r="W237">
        <v>1.3975000000000001E-3</v>
      </c>
      <c r="X237" s="97">
        <v>7542.2948388863042</v>
      </c>
      <c r="Y237" s="97">
        <v>9.5575667046287496</v>
      </c>
      <c r="Z237" s="97">
        <v>3046.9850019895684</v>
      </c>
      <c r="AA237" s="97">
        <v>108.83804245380404</v>
      </c>
      <c r="AB237" s="97">
        <v>7.2850237482977604</v>
      </c>
      <c r="AC237" s="97">
        <v>496.91253662237864</v>
      </c>
      <c r="AD237" s="97">
        <v>157.249858494693</v>
      </c>
      <c r="AE237" s="97">
        <v>1873.3192140425001</v>
      </c>
      <c r="AF237" s="97">
        <v>3247.3985517505203</v>
      </c>
      <c r="AG237" s="97">
        <v>1098.6519683235408</v>
      </c>
      <c r="AH237" s="97">
        <v>104693.38187603027</v>
      </c>
      <c r="AI237" s="97">
        <v>1843.1366145579377</v>
      </c>
      <c r="AJ237" s="97">
        <v>150176.80374584181</v>
      </c>
      <c r="AK237" s="97">
        <v>153069.69589577633</v>
      </c>
      <c r="AL237" s="97">
        <v>2892.8921499344747</v>
      </c>
      <c r="AM237" s="97">
        <v>106536.51849058822</v>
      </c>
    </row>
    <row r="238" spans="1:39" x14ac:dyDescent="0.25">
      <c r="A238" s="97">
        <v>236</v>
      </c>
      <c r="B238" s="97">
        <v>1.3975000000000001E-3</v>
      </c>
      <c r="C238" s="97">
        <v>97.818515189923986</v>
      </c>
      <c r="D238" s="97">
        <v>552.8710455957621</v>
      </c>
      <c r="E238" s="97">
        <v>578.48063800525995</v>
      </c>
      <c r="F238" s="97">
        <v>772.23043593192472</v>
      </c>
      <c r="G238" s="97">
        <v>2869.8052707808092</v>
      </c>
      <c r="H238" s="97">
        <v>7550.2178614227587</v>
      </c>
      <c r="I238" s="97">
        <v>64</v>
      </c>
      <c r="J238" s="97">
        <v>45</v>
      </c>
      <c r="K238" s="97">
        <v>532.78484606778591</v>
      </c>
      <c r="L238" s="97">
        <v>3011.3042950115841</v>
      </c>
      <c r="M238" s="97">
        <v>3150.7912083353158</v>
      </c>
      <c r="N238" s="97">
        <v>3930.0093935302198</v>
      </c>
      <c r="O238" s="97">
        <v>46519.543439356923</v>
      </c>
      <c r="P238" s="97">
        <v>164968.92368393106</v>
      </c>
      <c r="Q238" s="97">
        <v>12482.433987733328</v>
      </c>
      <c r="R238" s="97">
        <v>234595.79085396623</v>
      </c>
      <c r="S238" s="97">
        <v>59658536.283518121</v>
      </c>
      <c r="T238" s="97">
        <v>36980042.539408349</v>
      </c>
      <c r="U238" s="45">
        <v>0</v>
      </c>
      <c r="V238">
        <v>0</v>
      </c>
      <c r="W238">
        <v>1.3975000000000001E-3</v>
      </c>
      <c r="X238" s="97">
        <v>7550.2178614227587</v>
      </c>
      <c r="Y238" s="97">
        <v>9.5276740319666988</v>
      </c>
      <c r="Z238" s="97">
        <v>3056.5126760215353</v>
      </c>
      <c r="AA238" s="97">
        <v>108.50659480081826</v>
      </c>
      <c r="AB238" s="97">
        <v>7.2632714798608848</v>
      </c>
      <c r="AC238" s="97">
        <v>495.67927441626961</v>
      </c>
      <c r="AD238" s="97">
        <v>156.82434810896825</v>
      </c>
      <c r="AE238" s="97">
        <v>1880.2440357126118</v>
      </c>
      <c r="AF238" s="97">
        <v>3261.2305144485272</v>
      </c>
      <c r="AG238" s="97">
        <v>1106.5533627217374</v>
      </c>
      <c r="AH238" s="97">
        <v>104693.38187603027</v>
      </c>
      <c r="AI238" s="97">
        <v>1843.1366145579377</v>
      </c>
      <c r="AJ238" s="97">
        <v>150176.80374584181</v>
      </c>
      <c r="AK238" s="97">
        <v>153069.69589577633</v>
      </c>
      <c r="AL238" s="97">
        <v>2892.8921499344747</v>
      </c>
      <c r="AM238" s="97">
        <v>106536.51849058822</v>
      </c>
    </row>
    <row r="239" spans="1:39" x14ac:dyDescent="0.25">
      <c r="A239" s="97">
        <v>237</v>
      </c>
      <c r="B239" s="97">
        <v>1.3975000000000001E-3</v>
      </c>
      <c r="C239" s="97">
        <v>96.67275727109741</v>
      </c>
      <c r="D239" s="97">
        <v>549.02989196302281</v>
      </c>
      <c r="E239" s="97">
        <v>575.62006392944659</v>
      </c>
      <c r="F239" s="97">
        <v>769.38703514793713</v>
      </c>
      <c r="G239" s="97">
        <v>2860.821002176313</v>
      </c>
      <c r="H239" s="97">
        <v>7558.1117904471002</v>
      </c>
      <c r="I239" s="97">
        <v>64</v>
      </c>
      <c r="J239" s="97">
        <v>45</v>
      </c>
      <c r="K239" s="97">
        <v>526.54428460324391</v>
      </c>
      <c r="L239" s="97">
        <v>2990.3828115585975</v>
      </c>
      <c r="M239" s="97">
        <v>3135.2106148690523</v>
      </c>
      <c r="N239" s="97">
        <v>3915.5388530403766</v>
      </c>
      <c r="O239" s="97">
        <v>46373.908445278037</v>
      </c>
      <c r="P239" s="97">
        <v>164541.46594561951</v>
      </c>
      <c r="Q239" s="97">
        <v>12448.577937948641</v>
      </c>
      <c r="R239" s="97">
        <v>233931.62889291745</v>
      </c>
      <c r="S239" s="97">
        <v>59892467.912411042</v>
      </c>
      <c r="T239" s="97">
        <v>37067362.622496009</v>
      </c>
      <c r="U239" s="45">
        <v>0</v>
      </c>
      <c r="V239">
        <v>0</v>
      </c>
      <c r="W239">
        <v>1.3975000000000001E-3</v>
      </c>
      <c r="X239" s="97">
        <v>7558.1117904471002</v>
      </c>
      <c r="Y239" s="97">
        <v>9.4978607895694065</v>
      </c>
      <c r="Z239" s="97">
        <v>3066.0105368111049</v>
      </c>
      <c r="AA239" s="97">
        <v>108.17493515994326</v>
      </c>
      <c r="AB239" s="97">
        <v>7.2415754434051145</v>
      </c>
      <c r="AC239" s="97">
        <v>494.44540329287685</v>
      </c>
      <c r="AD239" s="97">
        <v>156.39899413215204</v>
      </c>
      <c r="AE239" s="97">
        <v>1887.1491241544759</v>
      </c>
      <c r="AF239" s="97">
        <v>3275.0255321738196</v>
      </c>
      <c r="AG239" s="97">
        <v>1114.4243847533919</v>
      </c>
      <c r="AH239" s="97">
        <v>104693.38187603027</v>
      </c>
      <c r="AI239" s="97">
        <v>1843.1366145579377</v>
      </c>
      <c r="AJ239" s="97">
        <v>150176.80374584181</v>
      </c>
      <c r="AK239" s="97">
        <v>153069.69589577633</v>
      </c>
      <c r="AL239" s="97">
        <v>2892.8921499344747</v>
      </c>
      <c r="AM239" s="97">
        <v>106536.51849058822</v>
      </c>
    </row>
    <row r="240" spans="1:39" x14ac:dyDescent="0.25">
      <c r="A240" s="97">
        <v>238</v>
      </c>
      <c r="B240" s="97">
        <v>1.3975000000000001E-3</v>
      </c>
      <c r="C240" s="97">
        <v>95.540419727810217</v>
      </c>
      <c r="D240" s="97">
        <v>545.21061670638596</v>
      </c>
      <c r="E240" s="97">
        <v>572.76546929556241</v>
      </c>
      <c r="F240" s="97">
        <v>766.54636262473355</v>
      </c>
      <c r="G240" s="97">
        <v>2851.8605068473876</v>
      </c>
      <c r="H240" s="97">
        <v>7565.9766535308463</v>
      </c>
      <c r="I240" s="97">
        <v>64</v>
      </c>
      <c r="J240" s="97">
        <v>45</v>
      </c>
      <c r="K240" s="97">
        <v>520.37681945080624</v>
      </c>
      <c r="L240" s="97">
        <v>2969.5804923274486</v>
      </c>
      <c r="M240" s="97">
        <v>3119.6625894298299</v>
      </c>
      <c r="N240" s="97">
        <v>3901.0821971243731</v>
      </c>
      <c r="O240" s="97">
        <v>46228.658815996154</v>
      </c>
      <c r="P240" s="97">
        <v>164113.80987296015</v>
      </c>
      <c r="Q240" s="97">
        <v>12414.735605735556</v>
      </c>
      <c r="R240" s="97">
        <v>233267.90639302431</v>
      </c>
      <c r="S240" s="97">
        <v>60125735.818804063</v>
      </c>
      <c r="T240" s="97">
        <v>37154073.660690747</v>
      </c>
      <c r="U240" s="45">
        <v>0</v>
      </c>
      <c r="V240">
        <v>0</v>
      </c>
      <c r="W240">
        <v>1.3975000000000001E-3</v>
      </c>
      <c r="X240" s="97">
        <v>7565.9766535308463</v>
      </c>
      <c r="Y240" s="97">
        <v>9.4681266005042417</v>
      </c>
      <c r="Z240" s="97">
        <v>3075.478663411609</v>
      </c>
      <c r="AA240" s="97">
        <v>107.84309169127233</v>
      </c>
      <c r="AB240" s="97">
        <v>7.2199353562217938</v>
      </c>
      <c r="AC240" s="97">
        <v>493.21098961313652</v>
      </c>
      <c r="AD240" s="97">
        <v>155.97381249746286</v>
      </c>
      <c r="AE240" s="97">
        <v>1894.0345026123346</v>
      </c>
      <c r="AF240" s="97">
        <v>3288.7836025017627</v>
      </c>
      <c r="AG240" s="97">
        <v>1122.2651284944861</v>
      </c>
      <c r="AH240" s="97">
        <v>104693.38187603027</v>
      </c>
      <c r="AI240" s="97">
        <v>1843.1366145579377</v>
      </c>
      <c r="AJ240" s="97">
        <v>150176.80374584181</v>
      </c>
      <c r="AK240" s="97">
        <v>153069.69589577633</v>
      </c>
      <c r="AL240" s="97">
        <v>2892.8921499344747</v>
      </c>
      <c r="AM240" s="97">
        <v>106536.51849058822</v>
      </c>
    </row>
    <row r="241" spans="1:39" x14ac:dyDescent="0.25">
      <c r="A241" s="97">
        <v>239</v>
      </c>
      <c r="B241" s="97">
        <v>1.3975000000000001E-3</v>
      </c>
      <c r="C241" s="97">
        <v>94.421345365879716</v>
      </c>
      <c r="D241" s="97">
        <v>541.4131663311116</v>
      </c>
      <c r="E241" s="97">
        <v>569.91694374664667</v>
      </c>
      <c r="F241" s="97">
        <v>763.70845002022622</v>
      </c>
      <c r="G241" s="97">
        <v>2842.9236728651204</v>
      </c>
      <c r="H241" s="97">
        <v>7573.8124785629489</v>
      </c>
      <c r="I241" s="97">
        <v>64</v>
      </c>
      <c r="J241" s="97">
        <v>45</v>
      </c>
      <c r="K241" s="97">
        <v>514.28159442615811</v>
      </c>
      <c r="L241" s="97">
        <v>2948.8970459501211</v>
      </c>
      <c r="M241" s="97">
        <v>3104.147620273402</v>
      </c>
      <c r="N241" s="97">
        <v>3886.6395868946011</v>
      </c>
      <c r="O241" s="97">
        <v>46083.792737143602</v>
      </c>
      <c r="P241" s="97">
        <v>163685.98067905451</v>
      </c>
      <c r="Q241" s="97">
        <v>12380.908233488131</v>
      </c>
      <c r="R241" s="97">
        <v>232604.64749723053</v>
      </c>
      <c r="S241" s="97">
        <v>60358340.466301292</v>
      </c>
      <c r="T241" s="97">
        <v>37240179.376505174</v>
      </c>
      <c r="U241" s="45">
        <v>0</v>
      </c>
      <c r="V241">
        <v>0</v>
      </c>
      <c r="W241">
        <v>1.3975000000000001E-3</v>
      </c>
      <c r="X241" s="97">
        <v>7573.8124785629489</v>
      </c>
      <c r="Y241" s="97">
        <v>9.4384710910847591</v>
      </c>
      <c r="Z241" s="97">
        <v>3084.9171345026939</v>
      </c>
      <c r="AA241" s="97">
        <v>107.51109179012008</v>
      </c>
      <c r="AB241" s="97">
        <v>7.1983509377687325</v>
      </c>
      <c r="AC241" s="97">
        <v>491.97609832276009</v>
      </c>
      <c r="AD241" s="97">
        <v>155.54881881384674</v>
      </c>
      <c r="AE241" s="97">
        <v>1900.9001947509241</v>
      </c>
      <c r="AF241" s="97">
        <v>3302.5047248513702</v>
      </c>
      <c r="AG241" s="97">
        <v>1130.0756878929187</v>
      </c>
      <c r="AH241" s="97">
        <v>104693.38187603027</v>
      </c>
      <c r="AI241" s="97">
        <v>1843.1366145579377</v>
      </c>
      <c r="AJ241" s="97">
        <v>150176.80374584181</v>
      </c>
      <c r="AK241" s="97">
        <v>153069.69589577633</v>
      </c>
      <c r="AL241" s="97">
        <v>2892.8921499344747</v>
      </c>
      <c r="AM241" s="97">
        <v>106536.51849058822</v>
      </c>
    </row>
    <row r="242" spans="1:39" x14ac:dyDescent="0.25">
      <c r="A242" s="97">
        <v>240</v>
      </c>
      <c r="B242" s="97">
        <v>1.3975000000000001E-3</v>
      </c>
      <c r="C242" s="97">
        <v>93.31537883235417</v>
      </c>
      <c r="D242" s="97">
        <v>537.63748619020464</v>
      </c>
      <c r="E242" s="97">
        <v>567.07457545604495</v>
      </c>
      <c r="F242" s="97">
        <v>760.87332957434978</v>
      </c>
      <c r="G242" s="97">
        <v>2834.0103892825014</v>
      </c>
      <c r="H242" s="97">
        <v>7581.6192937559736</v>
      </c>
      <c r="I242" s="97">
        <v>65</v>
      </c>
      <c r="J242" s="97">
        <v>45</v>
      </c>
      <c r="K242" s="97">
        <v>508.25776337355569</v>
      </c>
      <c r="L242" s="97">
        <v>2928.3321747826476</v>
      </c>
      <c r="M242" s="97">
        <v>3088.6661876505914</v>
      </c>
      <c r="N242" s="97">
        <v>3872.2111864254616</v>
      </c>
      <c r="O242" s="97">
        <v>45939.308410269346</v>
      </c>
      <c r="P242" s="97">
        <v>163258.0029942434</v>
      </c>
      <c r="Q242" s="97">
        <v>12347.097038072836</v>
      </c>
      <c r="R242" s="97">
        <v>231941.87575481785</v>
      </c>
      <c r="S242" s="97">
        <v>60590282.342056111</v>
      </c>
      <c r="T242" s="97">
        <v>37325683.480015017</v>
      </c>
      <c r="U242" s="45">
        <v>0</v>
      </c>
      <c r="V242">
        <v>0</v>
      </c>
      <c r="W242">
        <v>1.3975000000000001E-3</v>
      </c>
      <c r="X242" s="97">
        <v>7581.6192937559736</v>
      </c>
      <c r="Y242" s="97">
        <v>9.4088938908728537</v>
      </c>
      <c r="Z242" s="97">
        <v>3094.326028393567</v>
      </c>
      <c r="AA242" s="97">
        <v>107.1937115429828</v>
      </c>
      <c r="AB242" s="97">
        <v>7.1620724730320244</v>
      </c>
      <c r="AC242" s="97">
        <v>490.72604354196119</v>
      </c>
      <c r="AD242" s="97">
        <v>155.1240283695312</v>
      </c>
      <c r="AE242" s="97">
        <v>1907.7462246438713</v>
      </c>
      <c r="AF242" s="97">
        <v>3316.1889004439618</v>
      </c>
      <c r="AG242" s="97">
        <v>1137.8561567661086</v>
      </c>
      <c r="AH242" s="97">
        <v>106828.30701863382</v>
      </c>
      <c r="AI242" s="97">
        <v>1902.9341669007067</v>
      </c>
      <c r="AJ242" s="97">
        <v>155571.65325205619</v>
      </c>
      <c r="AK242" s="97">
        <v>158615.65083856625</v>
      </c>
      <c r="AL242" s="97">
        <v>3043.9975865100196</v>
      </c>
      <c r="AM242" s="97">
        <v>108731.24118553453</v>
      </c>
    </row>
    <row r="243" spans="1:39" x14ac:dyDescent="0.25">
      <c r="A243" s="97">
        <v>241</v>
      </c>
      <c r="B243" s="97">
        <v>1.5349999999999999E-3</v>
      </c>
      <c r="C243" s="97">
        <v>92.209535729356872</v>
      </c>
      <c r="D243" s="97">
        <v>533.80959535916566</v>
      </c>
      <c r="E243" s="97">
        <v>564.16047838241309</v>
      </c>
      <c r="F243" s="97">
        <v>757.93641400390857</v>
      </c>
      <c r="G243" s="97">
        <v>2824.7308697060716</v>
      </c>
      <c r="H243" s="97">
        <v>7589.3971276520515</v>
      </c>
      <c r="I243" s="97">
        <v>65</v>
      </c>
      <c r="J243" s="97">
        <v>45</v>
      </c>
      <c r="K243" s="97">
        <v>502.23460460589706</v>
      </c>
      <c r="L243" s="97">
        <v>2907.4829293895887</v>
      </c>
      <c r="M243" s="97">
        <v>3072.7940722562098</v>
      </c>
      <c r="N243" s="97">
        <v>3857.264733601558</v>
      </c>
      <c r="O243" s="97">
        <v>45788.887397935425</v>
      </c>
      <c r="P243" s="97">
        <v>162807.42571131969</v>
      </c>
      <c r="Q243" s="97">
        <v>12311.605485276796</v>
      </c>
      <c r="R243" s="97">
        <v>231247.69493438516</v>
      </c>
      <c r="S243" s="97">
        <v>60821530.036990494</v>
      </c>
      <c r="T243" s="97">
        <v>37410577.950602584</v>
      </c>
      <c r="U243" s="45">
        <v>0</v>
      </c>
      <c r="V243">
        <v>0</v>
      </c>
      <c r="W243">
        <v>1.5349999999999999E-3</v>
      </c>
      <c r="X243" s="97">
        <v>7589.3971276520515</v>
      </c>
      <c r="Y243" s="97">
        <v>9.3793946326801052</v>
      </c>
      <c r="Z243" s="97">
        <v>3103.705423026247</v>
      </c>
      <c r="AA243" s="97">
        <v>106.86109238642098</v>
      </c>
      <c r="AB243" s="97">
        <v>7.140642691220533</v>
      </c>
      <c r="AC243" s="97">
        <v>489.40845839789785</v>
      </c>
      <c r="AD243" s="97">
        <v>154.67812658178022</v>
      </c>
      <c r="AE243" s="97">
        <v>1914.5726167623579</v>
      </c>
      <c r="AF243" s="97">
        <v>3329.8362318496943</v>
      </c>
      <c r="AG243" s="97">
        <v>1146.369197603291</v>
      </c>
      <c r="AH243" s="97">
        <v>106828.30701863382</v>
      </c>
      <c r="AI243" s="97">
        <v>1902.9341669007067</v>
      </c>
      <c r="AJ243" s="97">
        <v>155571.65325205619</v>
      </c>
      <c r="AK243" s="97">
        <v>158615.65083856625</v>
      </c>
      <c r="AL243" s="97">
        <v>3043.9975865100196</v>
      </c>
      <c r="AM243" s="97">
        <v>108731.24118553453</v>
      </c>
    </row>
    <row r="244" spans="1:39" x14ac:dyDescent="0.25">
      <c r="A244" s="97">
        <v>242</v>
      </c>
      <c r="B244" s="97">
        <v>1.5349999999999999E-3</v>
      </c>
      <c r="C244" s="97">
        <v>91.116797529149963</v>
      </c>
      <c r="D244" s="97">
        <v>530.0044046329383</v>
      </c>
      <c r="E244" s="97">
        <v>561.25350119676853</v>
      </c>
      <c r="F244" s="97">
        <v>755.00314999556667</v>
      </c>
      <c r="G244" s="97">
        <v>2815.477179868823</v>
      </c>
      <c r="H244" s="97">
        <v>7597.1449396764383</v>
      </c>
      <c r="I244" s="97">
        <v>65</v>
      </c>
      <c r="J244" s="97">
        <v>45</v>
      </c>
      <c r="K244" s="97">
        <v>496.28282387543675</v>
      </c>
      <c r="L244" s="97">
        <v>2886.757323900737</v>
      </c>
      <c r="M244" s="97">
        <v>3056.9607365183992</v>
      </c>
      <c r="N244" s="97">
        <v>3842.336864185771</v>
      </c>
      <c r="O244" s="97">
        <v>45638.885085673624</v>
      </c>
      <c r="P244" s="97">
        <v>162356.8423239406</v>
      </c>
      <c r="Q244" s="97">
        <v>12276.141947992399</v>
      </c>
      <c r="R244" s="97">
        <v>230554.20710608695</v>
      </c>
      <c r="S244" s="97">
        <v>61052084.244096577</v>
      </c>
      <c r="T244" s="97">
        <v>37494866.62866161</v>
      </c>
      <c r="U244" s="45">
        <v>0</v>
      </c>
      <c r="V244">
        <v>0</v>
      </c>
      <c r="W244">
        <v>1.5349999999999999E-3</v>
      </c>
      <c r="X244" s="97">
        <v>7597.1449396764383</v>
      </c>
      <c r="Y244" s="97">
        <v>9.3486832858063735</v>
      </c>
      <c r="Z244" s="97">
        <v>3113.0541063120536</v>
      </c>
      <c r="AA244" s="97">
        <v>106.52801436238848</v>
      </c>
      <c r="AB244" s="97">
        <v>7.1183691060410252</v>
      </c>
      <c r="AC244" s="97">
        <v>488.09130976421142</v>
      </c>
      <c r="AD244" s="97">
        <v>154.23257676980211</v>
      </c>
      <c r="AE244" s="97">
        <v>1921.3784567524119</v>
      </c>
      <c r="AF244" s="97">
        <v>3343.4448436112707</v>
      </c>
      <c r="AG244" s="97">
        <v>1154.8482222690807</v>
      </c>
      <c r="AH244" s="97">
        <v>106828.30701863382</v>
      </c>
      <c r="AI244" s="97">
        <v>1902.9341669007067</v>
      </c>
      <c r="AJ244" s="97">
        <v>155571.65325205619</v>
      </c>
      <c r="AK244" s="97">
        <v>158615.65083856625</v>
      </c>
      <c r="AL244" s="97">
        <v>3043.9975865100196</v>
      </c>
      <c r="AM244" s="97">
        <v>108731.24118553453</v>
      </c>
    </row>
    <row r="245" spans="1:39" x14ac:dyDescent="0.25">
      <c r="A245" s="97">
        <v>243</v>
      </c>
      <c r="B245" s="97">
        <v>1.5349999999999999E-3</v>
      </c>
      <c r="C245" s="97">
        <v>90.037008930790051</v>
      </c>
      <c r="D245" s="97">
        <v>526.22184693239149</v>
      </c>
      <c r="E245" s="97">
        <v>558.35372494542173</v>
      </c>
      <c r="F245" s="97">
        <v>752.07357006106156</v>
      </c>
      <c r="G245" s="97">
        <v>2806.2492016337783</v>
      </c>
      <c r="H245" s="97">
        <v>7604.8627671562981</v>
      </c>
      <c r="I245" s="97">
        <v>65</v>
      </c>
      <c r="J245" s="97">
        <v>45</v>
      </c>
      <c r="K245" s="97">
        <v>490.40157530970311</v>
      </c>
      <c r="L245" s="97">
        <v>2866.1549929584253</v>
      </c>
      <c r="M245" s="97">
        <v>3041.1666218693967</v>
      </c>
      <c r="N245" s="97">
        <v>3827.4277436357524</v>
      </c>
      <c r="O245" s="97">
        <v>45489.299558483552</v>
      </c>
      <c r="P245" s="97">
        <v>161906.27712457333</v>
      </c>
      <c r="Q245" s="97">
        <v>12240.707516526574</v>
      </c>
      <c r="R245" s="97">
        <v>229861.43513335675</v>
      </c>
      <c r="S245" s="97">
        <v>61281945.679229937</v>
      </c>
      <c r="T245" s="97">
        <v>37578553.340484321</v>
      </c>
      <c r="U245" s="45">
        <v>0</v>
      </c>
      <c r="V245">
        <v>0</v>
      </c>
      <c r="W245">
        <v>1.5349999999999999E-3</v>
      </c>
      <c r="X245" s="97">
        <v>7604.8627671562981</v>
      </c>
      <c r="Y245" s="97">
        <v>9.3180574246168</v>
      </c>
      <c r="Z245" s="97">
        <v>3122.3721637366702</v>
      </c>
      <c r="AA245" s="97">
        <v>106.19451401517547</v>
      </c>
      <c r="AB245" s="97">
        <v>7.0961554696041258</v>
      </c>
      <c r="AC245" s="97">
        <v>486.77465006588608</v>
      </c>
      <c r="AD245" s="97">
        <v>153.78739263178056</v>
      </c>
      <c r="AE245" s="97">
        <v>1928.1637748130211</v>
      </c>
      <c r="AF245" s="97">
        <v>3357.0147483707601</v>
      </c>
      <c r="AG245" s="97">
        <v>1163.2933424129544</v>
      </c>
      <c r="AH245" s="97">
        <v>106828.30701863382</v>
      </c>
      <c r="AI245" s="97">
        <v>1902.9341669007067</v>
      </c>
      <c r="AJ245" s="97">
        <v>155571.65325205619</v>
      </c>
      <c r="AK245" s="97">
        <v>158615.65083856625</v>
      </c>
      <c r="AL245" s="97">
        <v>3043.9975865100196</v>
      </c>
      <c r="AM245" s="97">
        <v>108731.24118553453</v>
      </c>
    </row>
    <row r="246" spans="1:39" x14ac:dyDescent="0.25">
      <c r="A246" s="97">
        <v>244</v>
      </c>
      <c r="B246" s="97">
        <v>1.5349999999999999E-3</v>
      </c>
      <c r="C246" s="97">
        <v>88.970016473742888</v>
      </c>
      <c r="D246" s="97">
        <v>522.46185417406514</v>
      </c>
      <c r="E246" s="97">
        <v>555.46122919676418</v>
      </c>
      <c r="F246" s="97">
        <v>749.14770718866851</v>
      </c>
      <c r="G246" s="97">
        <v>2797.0468179073464</v>
      </c>
      <c r="H246" s="97">
        <v>7612.5506477511371</v>
      </c>
      <c r="I246" s="97">
        <v>65</v>
      </c>
      <c r="J246" s="97">
        <v>45</v>
      </c>
      <c r="K246" s="97">
        <v>484.59002306031954</v>
      </c>
      <c r="L246" s="97">
        <v>2845.6755657347412</v>
      </c>
      <c r="M246" s="97">
        <v>3025.4121616917087</v>
      </c>
      <c r="N246" s="97">
        <v>3812.5375398343317</v>
      </c>
      <c r="O246" s="97">
        <v>45340.128918278089</v>
      </c>
      <c r="P246" s="97">
        <v>161455.75381284894</v>
      </c>
      <c r="Q246" s="97">
        <v>12205.303260467179</v>
      </c>
      <c r="R246" s="97">
        <v>229169.40128191531</v>
      </c>
      <c r="S246" s="97">
        <v>61511115.080511853</v>
      </c>
      <c r="T246" s="97">
        <v>37661641.898030937</v>
      </c>
      <c r="U246" s="45">
        <v>0</v>
      </c>
      <c r="V246">
        <v>0</v>
      </c>
      <c r="W246">
        <v>1.5349999999999999E-3</v>
      </c>
      <c r="X246" s="97">
        <v>7612.5506477511371</v>
      </c>
      <c r="Y246" s="97">
        <v>9.2875166581271689</v>
      </c>
      <c r="Z246" s="97">
        <v>3131.6596803947973</v>
      </c>
      <c r="AA246" s="97">
        <v>105.86062691205295</v>
      </c>
      <c r="AB246" s="97">
        <v>7.0740014913175067</v>
      </c>
      <c r="AC246" s="97">
        <v>485.45853053370871</v>
      </c>
      <c r="AD246" s="97">
        <v>153.34258760559305</v>
      </c>
      <c r="AE246" s="97">
        <v>1934.9286015250457</v>
      </c>
      <c r="AF246" s="97">
        <v>3370.5459605144565</v>
      </c>
      <c r="AG246" s="97">
        <v>1171.7046694936014</v>
      </c>
      <c r="AH246" s="97">
        <v>106828.30701863382</v>
      </c>
      <c r="AI246" s="97">
        <v>1902.9341669007067</v>
      </c>
      <c r="AJ246" s="97">
        <v>155571.65325205619</v>
      </c>
      <c r="AK246" s="97">
        <v>158615.65083856625</v>
      </c>
      <c r="AL246" s="97">
        <v>3043.9975865100196</v>
      </c>
      <c r="AM246" s="97">
        <v>108731.24118553453</v>
      </c>
    </row>
    <row r="247" spans="1:39" x14ac:dyDescent="0.25">
      <c r="A247" s="97">
        <v>245</v>
      </c>
      <c r="B247" s="97">
        <v>1.5349999999999999E-3</v>
      </c>
      <c r="C247" s="97">
        <v>87.915668516073424</v>
      </c>
      <c r="D247" s="97">
        <v>518.72435729810366</v>
      </c>
      <c r="E247" s="97">
        <v>552.57609205179017</v>
      </c>
      <c r="F247" s="97">
        <v>746.22559482193753</v>
      </c>
      <c r="G247" s="97">
        <v>2787.8699126379138</v>
      </c>
      <c r="H247" s="97">
        <v>7620.2086194576768</v>
      </c>
      <c r="I247" s="97">
        <v>65</v>
      </c>
      <c r="J247" s="97">
        <v>45</v>
      </c>
      <c r="K247" s="97">
        <v>478.84734118421324</v>
      </c>
      <c r="L247" s="97">
        <v>2825.3186660836709</v>
      </c>
      <c r="M247" s="97">
        <v>3009.697781375417</v>
      </c>
      <c r="N247" s="97">
        <v>3797.66642298131</v>
      </c>
      <c r="O247" s="97">
        <v>45191.371283860586</v>
      </c>
      <c r="P247" s="97">
        <v>161005.29550852461</v>
      </c>
      <c r="Q247" s="97">
        <v>12169.930228740626</v>
      </c>
      <c r="R247" s="97">
        <v>228478.12723275044</v>
      </c>
      <c r="S247" s="97">
        <v>61739593.207744606</v>
      </c>
      <c r="T247" s="97">
        <v>37744136.098709099</v>
      </c>
      <c r="U247" s="45">
        <v>0</v>
      </c>
      <c r="V247">
        <v>0</v>
      </c>
      <c r="W247">
        <v>1.5349999999999999E-3</v>
      </c>
      <c r="X247" s="97">
        <v>7620.2086194576768</v>
      </c>
      <c r="Y247" s="97">
        <v>9.2570605988064365</v>
      </c>
      <c r="Z247" s="97">
        <v>3140.9167409936035</v>
      </c>
      <c r="AA247" s="97">
        <v>105.5263876678049</v>
      </c>
      <c r="AB247" s="97">
        <v>7.0519068829466747</v>
      </c>
      <c r="AC247" s="97">
        <v>484.14300122721028</v>
      </c>
      <c r="AD247" s="97">
        <v>152.89817486953484</v>
      </c>
      <c r="AE247" s="97">
        <v>1941.6729678397378</v>
      </c>
      <c r="AF247" s="97">
        <v>3384.0384961330919</v>
      </c>
      <c r="AG247" s="97">
        <v>1180.0823147765391</v>
      </c>
      <c r="AH247" s="97">
        <v>106828.30701863382</v>
      </c>
      <c r="AI247" s="97">
        <v>1902.9341669007067</v>
      </c>
      <c r="AJ247" s="97">
        <v>155571.65325205619</v>
      </c>
      <c r="AK247" s="97">
        <v>158615.65083856625</v>
      </c>
      <c r="AL247" s="97">
        <v>3043.9975865100196</v>
      </c>
      <c r="AM247" s="97">
        <v>108731.24118553453</v>
      </c>
    </row>
    <row r="248" spans="1:39" x14ac:dyDescent="0.25">
      <c r="A248" s="97">
        <v>246</v>
      </c>
      <c r="B248" s="97">
        <v>1.5349999999999999E-3</v>
      </c>
      <c r="C248" s="97">
        <v>86.873815212894328</v>
      </c>
      <c r="D248" s="97">
        <v>515.00928629571627</v>
      </c>
      <c r="E248" s="97">
        <v>549.69839015469699</v>
      </c>
      <c r="F248" s="97">
        <v>743.30726683879141</v>
      </c>
      <c r="G248" s="97">
        <v>2778.7183708142275</v>
      </c>
      <c r="H248" s="97">
        <v>7627.8367206145067</v>
      </c>
      <c r="I248" s="97">
        <v>65</v>
      </c>
      <c r="J248" s="97">
        <v>45</v>
      </c>
      <c r="K248" s="97">
        <v>473.17271352623106</v>
      </c>
      <c r="L248" s="97">
        <v>2805.0839126906676</v>
      </c>
      <c r="M248" s="97">
        <v>2994.0238983759159</v>
      </c>
      <c r="N248" s="97">
        <v>3782.8145654870823</v>
      </c>
      <c r="O248" s="97">
        <v>45043.024790898628</v>
      </c>
      <c r="P248" s="97">
        <v>160554.92476417599</v>
      </c>
      <c r="Q248" s="97">
        <v>12134.589449688774</v>
      </c>
      <c r="R248" s="97">
        <v>227787.63409484329</v>
      </c>
      <c r="S248" s="97">
        <v>61967380.841839448</v>
      </c>
      <c r="T248" s="97">
        <v>37826039.725162961</v>
      </c>
      <c r="U248" s="45">
        <v>0</v>
      </c>
      <c r="V248">
        <v>0</v>
      </c>
      <c r="W248">
        <v>1.5349999999999999E-3</v>
      </c>
      <c r="X248" s="97">
        <v>7627.8367206145067</v>
      </c>
      <c r="Y248" s="97">
        <v>9.2266888625720735</v>
      </c>
      <c r="Z248" s="97">
        <v>3150.1434298561758</v>
      </c>
      <c r="AA248" s="97">
        <v>105.19182996866193</v>
      </c>
      <c r="AB248" s="97">
        <v>7.0298713586203112</v>
      </c>
      <c r="AC248" s="97">
        <v>482.82811105721669</v>
      </c>
      <c r="AD248" s="97">
        <v>152.45416734328506</v>
      </c>
      <c r="AE248" s="97">
        <v>1948.3969050675387</v>
      </c>
      <c r="AF248" s="97">
        <v>3397.4923729827165</v>
      </c>
      <c r="AG248" s="97">
        <v>1188.4263893317927</v>
      </c>
      <c r="AH248" s="97">
        <v>106828.30701863382</v>
      </c>
      <c r="AI248" s="97">
        <v>1902.9341669007067</v>
      </c>
      <c r="AJ248" s="97">
        <v>155571.65325205619</v>
      </c>
      <c r="AK248" s="97">
        <v>158615.65083856625</v>
      </c>
      <c r="AL248" s="97">
        <v>3043.9975865100196</v>
      </c>
      <c r="AM248" s="97">
        <v>108731.24118553453</v>
      </c>
    </row>
    <row r="249" spans="1:39" x14ac:dyDescent="0.25">
      <c r="A249" s="97">
        <v>247</v>
      </c>
      <c r="B249" s="97">
        <v>1.5349999999999999E-3</v>
      </c>
      <c r="C249" s="97">
        <v>85.844308495069882</v>
      </c>
      <c r="D249" s="97">
        <v>511.31657023616947</v>
      </c>
      <c r="E249" s="97">
        <v>546.828198703559</v>
      </c>
      <c r="F249" s="97">
        <v>740.39275753098241</v>
      </c>
      <c r="G249" s="97">
        <v>2769.5920784635728</v>
      </c>
      <c r="H249" s="97">
        <v>7635.4349899065237</v>
      </c>
      <c r="I249" s="97">
        <v>65</v>
      </c>
      <c r="J249" s="97">
        <v>45</v>
      </c>
      <c r="K249" s="97">
        <v>467.56533360314728</v>
      </c>
      <c r="L249" s="97">
        <v>2784.9709192196697</v>
      </c>
      <c r="M249" s="97">
        <v>2978.3909222720513</v>
      </c>
      <c r="N249" s="97">
        <v>3767.9821418680913</v>
      </c>
      <c r="O249" s="97">
        <v>44895.087591894517</v>
      </c>
      <c r="P249" s="97">
        <v>160104.66357762527</v>
      </c>
      <c r="Q249" s="97">
        <v>12099.281931163723</v>
      </c>
      <c r="R249" s="97">
        <v>227097.94241764647</v>
      </c>
      <c r="S249" s="97">
        <v>62194478.784257092</v>
      </c>
      <c r="T249" s="97">
        <v>37907356.545071736</v>
      </c>
      <c r="U249" s="45">
        <v>0</v>
      </c>
      <c r="V249">
        <v>0</v>
      </c>
      <c r="W249">
        <v>1.5349999999999999E-3</v>
      </c>
      <c r="X249" s="97">
        <v>7635.4349899065237</v>
      </c>
      <c r="Y249" s="97">
        <v>9.1964010687847111</v>
      </c>
      <c r="Z249" s="97">
        <v>3159.3398309249606</v>
      </c>
      <c r="AA249" s="97">
        <v>104.85698659565089</v>
      </c>
      <c r="AB249" s="97">
        <v>7.0078946348349378</v>
      </c>
      <c r="AC249" s="97">
        <v>481.51390780801609</v>
      </c>
      <c r="AD249" s="97">
        <v>152.0105776890976</v>
      </c>
      <c r="AE249" s="97">
        <v>1955.1004448671456</v>
      </c>
      <c r="AF249" s="97">
        <v>3410.9076104462415</v>
      </c>
      <c r="AG249" s="97">
        <v>1196.7370040316398</v>
      </c>
      <c r="AH249" s="97">
        <v>106828.30701863382</v>
      </c>
      <c r="AI249" s="97">
        <v>1902.9341669007067</v>
      </c>
      <c r="AJ249" s="97">
        <v>155571.65325205619</v>
      </c>
      <c r="AK249" s="97">
        <v>158615.65083856625</v>
      </c>
      <c r="AL249" s="97">
        <v>3043.9975865100196</v>
      </c>
      <c r="AM249" s="97">
        <v>108731.24118553453</v>
      </c>
    </row>
    <row r="250" spans="1:39" x14ac:dyDescent="0.25">
      <c r="A250" s="97">
        <v>248</v>
      </c>
      <c r="B250" s="97">
        <v>1.5349999999999999E-3</v>
      </c>
      <c r="C250" s="97">
        <v>84.827002048172275</v>
      </c>
      <c r="D250" s="97">
        <v>507.64613729332007</v>
      </c>
      <c r="E250" s="97">
        <v>543.96559146107143</v>
      </c>
      <c r="F250" s="97">
        <v>737.48210158390305</v>
      </c>
      <c r="G250" s="97">
        <v>2760.490922649753</v>
      </c>
      <c r="H250" s="97">
        <v>7643.0034663691649</v>
      </c>
      <c r="I250" s="97">
        <v>65</v>
      </c>
      <c r="J250" s="97">
        <v>45</v>
      </c>
      <c r="K250" s="97">
        <v>462.02440448904497</v>
      </c>
      <c r="L250" s="97">
        <v>2764.9792944576166</v>
      </c>
      <c r="M250" s="97">
        <v>2962.7992548246357</v>
      </c>
      <c r="N250" s="97">
        <v>3753.1693286440795</v>
      </c>
      <c r="O250" s="97">
        <v>44747.557856152496</v>
      </c>
      <c r="P250" s="97">
        <v>159654.53340411012</v>
      </c>
      <c r="Q250" s="97">
        <v>12064.00866063918</v>
      </c>
      <c r="R250" s="97">
        <v>226409.07220331716</v>
      </c>
      <c r="S250" s="97">
        <v>62420887.856460407</v>
      </c>
      <c r="T250" s="97">
        <v>37988090.310957357</v>
      </c>
      <c r="U250" s="45">
        <v>0</v>
      </c>
      <c r="V250">
        <v>0</v>
      </c>
      <c r="W250">
        <v>1.5349999999999999E-3</v>
      </c>
      <c r="X250" s="97">
        <v>7643.0034663691649</v>
      </c>
      <c r="Y250" s="97">
        <v>9.1661968402421081</v>
      </c>
      <c r="Z250" s="97">
        <v>3168.5060277652028</v>
      </c>
      <c r="AA250" s="97">
        <v>104.52188944737415</v>
      </c>
      <c r="AB250" s="97">
        <v>6.9859764304589422</v>
      </c>
      <c r="AC250" s="97">
        <v>480.20043815914784</v>
      </c>
      <c r="AD250" s="97">
        <v>151.56741831320033</v>
      </c>
      <c r="AE250" s="97">
        <v>1961.7836192348427</v>
      </c>
      <c r="AF250" s="97">
        <v>3424.2842294956413</v>
      </c>
      <c r="AG250" s="97">
        <v>1205.0142695484162</v>
      </c>
      <c r="AH250" s="97">
        <v>106828.30701863382</v>
      </c>
      <c r="AI250" s="97">
        <v>1902.9341669007067</v>
      </c>
      <c r="AJ250" s="97">
        <v>155571.65325205619</v>
      </c>
      <c r="AK250" s="97">
        <v>158615.65083856625</v>
      </c>
      <c r="AL250" s="97">
        <v>3043.9975865100196</v>
      </c>
      <c r="AM250" s="97">
        <v>108731.24118553453</v>
      </c>
    </row>
    <row r="251" spans="1:39" x14ac:dyDescent="0.25">
      <c r="A251" s="97">
        <v>249</v>
      </c>
      <c r="B251" s="97">
        <v>1.5349999999999999E-3</v>
      </c>
      <c r="C251" s="97">
        <v>83.821751291687264</v>
      </c>
      <c r="D251" s="97">
        <v>503.99791477169413</v>
      </c>
      <c r="E251" s="97">
        <v>541.11064076535911</v>
      </c>
      <c r="F251" s="97">
        <v>734.5753340567486</v>
      </c>
      <c r="G251" s="97">
        <v>2751.4147914708751</v>
      </c>
      <c r="H251" s="97">
        <v>7650.5421893924295</v>
      </c>
      <c r="I251" s="97">
        <v>65</v>
      </c>
      <c r="J251" s="97">
        <v>45</v>
      </c>
      <c r="K251" s="97">
        <v>456.54913870205661</v>
      </c>
      <c r="L251" s="97">
        <v>2745.1086424564937</v>
      </c>
      <c r="M251" s="97">
        <v>2947.2492900353222</v>
      </c>
      <c r="N251" s="97">
        <v>3738.3763042371361</v>
      </c>
      <c r="O251" s="97">
        <v>44600.433769742885</v>
      </c>
      <c r="P251" s="97">
        <v>159204.5551681995</v>
      </c>
      <c r="Q251" s="97">
        <v>12028.770605337188</v>
      </c>
      <c r="R251" s="97">
        <v>225721.04291871059</v>
      </c>
      <c r="S251" s="97">
        <v>62646608.899379119</v>
      </c>
      <c r="T251" s="97">
        <v>38068244.760001063</v>
      </c>
      <c r="U251" s="45">
        <v>0</v>
      </c>
      <c r="V251">
        <v>0</v>
      </c>
      <c r="W251">
        <v>1.5349999999999999E-3</v>
      </c>
      <c r="X251" s="97">
        <v>7650.5421893924295</v>
      </c>
      <c r="Y251" s="97">
        <v>9.1360758031724671</v>
      </c>
      <c r="Z251" s="97">
        <v>3177.6421035683752</v>
      </c>
      <c r="AA251" s="97">
        <v>104.18656956223246</v>
      </c>
      <c r="AB251" s="97">
        <v>6.9641164667359758</v>
      </c>
      <c r="AC251" s="97">
        <v>478.88774770681937</v>
      </c>
      <c r="AD251" s="97">
        <v>151.12470136738725</v>
      </c>
      <c r="AE251" s="97">
        <v>1968.4464604940908</v>
      </c>
      <c r="AF251" s="97">
        <v>3437.6222526548127</v>
      </c>
      <c r="AG251" s="97">
        <v>1213.2582963523837</v>
      </c>
      <c r="AH251" s="97">
        <v>106828.30701863382</v>
      </c>
      <c r="AI251" s="97">
        <v>1902.9341669007067</v>
      </c>
      <c r="AJ251" s="97">
        <v>155571.65325205619</v>
      </c>
      <c r="AK251" s="97">
        <v>158615.65083856625</v>
      </c>
      <c r="AL251" s="97">
        <v>3043.9975865100196</v>
      </c>
      <c r="AM251" s="97">
        <v>108731.24118553453</v>
      </c>
    </row>
    <row r="252" spans="1:39" x14ac:dyDescent="0.25">
      <c r="A252" s="97">
        <v>250</v>
      </c>
      <c r="B252" s="97">
        <v>1.5349999999999999E-3</v>
      </c>
      <c r="C252" s="97">
        <v>82.828413358466236</v>
      </c>
      <c r="D252" s="97">
        <v>500.3718291321195</v>
      </c>
      <c r="E252" s="97">
        <v>538.26341754084694</v>
      </c>
      <c r="F252" s="97">
        <v>731.67249036302678</v>
      </c>
      <c r="G252" s="97">
        <v>2742.3635740569457</v>
      </c>
      <c r="H252" s="97">
        <v>7658.0511987247</v>
      </c>
      <c r="I252" s="97">
        <v>65</v>
      </c>
      <c r="J252" s="97">
        <v>45</v>
      </c>
      <c r="K252" s="97">
        <v>451.1387580924461</v>
      </c>
      <c r="L252" s="97">
        <v>2725.3585626729441</v>
      </c>
      <c r="M252" s="97">
        <v>2931.7414142058128</v>
      </c>
      <c r="N252" s="97">
        <v>3723.6032488725036</v>
      </c>
      <c r="O252" s="97">
        <v>44453.713535463095</v>
      </c>
      <c r="P252" s="97">
        <v>158754.74927546052</v>
      </c>
      <c r="Q252" s="97">
        <v>11993.568712369019</v>
      </c>
      <c r="R252" s="97">
        <v>225033.87350713633</v>
      </c>
      <c r="S252" s="97">
        <v>62871642.772886254</v>
      </c>
      <c r="T252" s="97">
        <v>38147823.613868631</v>
      </c>
      <c r="U252" s="45">
        <v>0</v>
      </c>
      <c r="V252">
        <v>0</v>
      </c>
      <c r="W252">
        <v>1.5349999999999999E-3</v>
      </c>
      <c r="X252" s="97">
        <v>7658.0511987247</v>
      </c>
      <c r="Y252" s="97">
        <v>9.1060375872271049</v>
      </c>
      <c r="Z252" s="97">
        <v>3186.7481411556023</v>
      </c>
      <c r="AA252" s="97">
        <v>103.85105714010466</v>
      </c>
      <c r="AB252" s="97">
        <v>6.9423144672877255</v>
      </c>
      <c r="AC252" s="97">
        <v>477.57588098495677</v>
      </c>
      <c r="AD252" s="97">
        <v>150.68243875078861</v>
      </c>
      <c r="AE252" s="97">
        <v>1975.089001285369</v>
      </c>
      <c r="AF252" s="97">
        <v>3450.9217039630871</v>
      </c>
      <c r="AG252" s="97">
        <v>1221.4691947096576</v>
      </c>
      <c r="AH252" s="97">
        <v>106828.30701863382</v>
      </c>
      <c r="AI252" s="97">
        <v>1902.9341669007067</v>
      </c>
      <c r="AJ252" s="97">
        <v>155571.65325205619</v>
      </c>
      <c r="AK252" s="97">
        <v>158615.65083856625</v>
      </c>
      <c r="AL252" s="97">
        <v>3043.9975865100196</v>
      </c>
      <c r="AM252" s="97">
        <v>108731.24118553453</v>
      </c>
    </row>
    <row r="253" spans="1:39" x14ac:dyDescent="0.25">
      <c r="A253" s="97">
        <v>251</v>
      </c>
      <c r="B253" s="97">
        <v>1.5349999999999999E-3</v>
      </c>
      <c r="C253" s="97">
        <v>81.846847074421831</v>
      </c>
      <c r="D253" s="97">
        <v>496.76780601691763</v>
      </c>
      <c r="E253" s="97">
        <v>535.42399130918761</v>
      </c>
      <c r="F253" s="97">
        <v>728.7736062514125</v>
      </c>
      <c r="G253" s="97">
        <v>2733.337160567281</v>
      </c>
      <c r="H253" s="97">
        <v>7665.5305344763647</v>
      </c>
      <c r="I253" s="97">
        <v>65</v>
      </c>
      <c r="J253" s="97">
        <v>45</v>
      </c>
      <c r="K253" s="97">
        <v>445.79249373201753</v>
      </c>
      <c r="L253" s="97">
        <v>2705.7286501054778</v>
      </c>
      <c r="M253" s="97">
        <v>2916.2760059973748</v>
      </c>
      <c r="N253" s="97">
        <v>3708.8503444811467</v>
      </c>
      <c r="O253" s="97">
        <v>44307.395372795625</v>
      </c>
      <c r="P253" s="97">
        <v>158305.1356238827</v>
      </c>
      <c r="Q253" s="97">
        <v>11958.40390888915</v>
      </c>
      <c r="R253" s="97">
        <v>224347.58239988348</v>
      </c>
      <c r="S253" s="97">
        <v>63095990.355286136</v>
      </c>
      <c r="T253" s="97">
        <v>38226830.578544028</v>
      </c>
      <c r="U253" s="45">
        <v>0</v>
      </c>
      <c r="V253">
        <v>0</v>
      </c>
      <c r="W253">
        <v>1.5349999999999999E-3</v>
      </c>
      <c r="X253" s="97">
        <v>7665.5305344763647</v>
      </c>
      <c r="Y253" s="97">
        <v>9.0760818254724978</v>
      </c>
      <c r="Z253" s="97">
        <v>3195.8242229810749</v>
      </c>
      <c r="AA253" s="97">
        <v>103.51538156349709</v>
      </c>
      <c r="AB253" s="97">
        <v>6.9205701581160781</v>
      </c>
      <c r="AC253" s="97">
        <v>476.26488148589448</v>
      </c>
      <c r="AD253" s="97">
        <v>150.24064211180539</v>
      </c>
      <c r="AE253" s="97">
        <v>1981.7112745562647</v>
      </c>
      <c r="AF253" s="97">
        <v>3464.1826089393876</v>
      </c>
      <c r="AG253" s="97">
        <v>1229.6470746801949</v>
      </c>
      <c r="AH253" s="97">
        <v>106828.30701863382</v>
      </c>
      <c r="AI253" s="97">
        <v>1902.9341669007067</v>
      </c>
      <c r="AJ253" s="97">
        <v>155571.65325205619</v>
      </c>
      <c r="AK253" s="97">
        <v>158615.65083856625</v>
      </c>
      <c r="AL253" s="97">
        <v>3043.9975865100196</v>
      </c>
      <c r="AM253" s="97">
        <v>108731.24118553453</v>
      </c>
    </row>
    <row r="254" spans="1:39" x14ac:dyDescent="0.25">
      <c r="A254" s="97">
        <v>252</v>
      </c>
      <c r="B254" s="97">
        <v>1.5349999999999999E-3</v>
      </c>
      <c r="C254" s="97">
        <v>80.87691293846413</v>
      </c>
      <c r="D254" s="97">
        <v>493.18577027466176</v>
      </c>
      <c r="E254" s="97">
        <v>532.59243020024167</v>
      </c>
      <c r="F254" s="97">
        <v>725.87871778694284</v>
      </c>
      <c r="G254" s="97">
        <v>2724.3354421877389</v>
      </c>
      <c r="H254" s="97">
        <v>7672.9802371232427</v>
      </c>
      <c r="I254" s="97">
        <v>66</v>
      </c>
      <c r="J254" s="97">
        <v>45</v>
      </c>
      <c r="K254" s="97">
        <v>440.50958580483461</v>
      </c>
      <c r="L254" s="97">
        <v>2686.2184954293243</v>
      </c>
      <c r="M254" s="97">
        <v>2900.8534364906495</v>
      </c>
      <c r="N254" s="97">
        <v>3694.1177746040498</v>
      </c>
      <c r="O254" s="97">
        <v>44161.477517863248</v>
      </c>
      <c r="P254" s="97">
        <v>157855.73361506351</v>
      </c>
      <c r="Q254" s="97">
        <v>11923.277102261251</v>
      </c>
      <c r="R254" s="97">
        <v>223662.18752751686</v>
      </c>
      <c r="S254" s="97">
        <v>63319652.542813651</v>
      </c>
      <c r="T254" s="97">
        <v>38305269.344171241</v>
      </c>
      <c r="U254" s="45">
        <v>0</v>
      </c>
      <c r="V254">
        <v>0</v>
      </c>
      <c r="W254">
        <v>1.5349999999999999E-3</v>
      </c>
      <c r="X254" s="97">
        <v>7672.9802371232427</v>
      </c>
      <c r="Y254" s="97">
        <v>9.0462081543817057</v>
      </c>
      <c r="Z254" s="97">
        <v>3204.8704311354568</v>
      </c>
      <c r="AA254" s="97">
        <v>103.19509609309561</v>
      </c>
      <c r="AB254" s="97">
        <v>6.883358592684762</v>
      </c>
      <c r="AC254" s="97">
        <v>474.93926700579038</v>
      </c>
      <c r="AD254" s="97">
        <v>149.79932285019476</v>
      </c>
      <c r="AE254" s="97">
        <v>1988.3133135518042</v>
      </c>
      <c r="AF254" s="97">
        <v>3477.404994547031</v>
      </c>
      <c r="AG254" s="97">
        <v>1237.792046115839</v>
      </c>
      <c r="AH254" s="97">
        <v>108765.04891825603</v>
      </c>
      <c r="AI254" s="97">
        <v>1957.9789217087648</v>
      </c>
      <c r="AJ254" s="97">
        <v>160710.40608978085</v>
      </c>
      <c r="AK254" s="97">
        <v>163900.45379790338</v>
      </c>
      <c r="AL254" s="97">
        <v>3190.0477081224776</v>
      </c>
      <c r="AM254" s="97">
        <v>110723.02783996479</v>
      </c>
    </row>
    <row r="255" spans="1:39" x14ac:dyDescent="0.25">
      <c r="A255" s="97">
        <v>253</v>
      </c>
      <c r="B255" s="97">
        <v>1.6833333333333333E-3</v>
      </c>
      <c r="C255" s="97">
        <v>79.906476360588783</v>
      </c>
      <c r="D255" s="97">
        <v>489.55249009524982</v>
      </c>
      <c r="E255" s="97">
        <v>529.68979975262835</v>
      </c>
      <c r="F255" s="97">
        <v>722.88018932274474</v>
      </c>
      <c r="G255" s="97">
        <v>2714.9542013705163</v>
      </c>
      <c r="H255" s="97">
        <v>7680.4003475098207</v>
      </c>
      <c r="I255" s="97">
        <v>66</v>
      </c>
      <c r="J255" s="97">
        <v>45</v>
      </c>
      <c r="K255" s="97">
        <v>435.22394124400688</v>
      </c>
      <c r="L255" s="97">
        <v>2666.4292293854605</v>
      </c>
      <c r="M255" s="97">
        <v>2885.0437759859824</v>
      </c>
      <c r="N255" s="97">
        <v>3678.8577634950016</v>
      </c>
      <c r="O255" s="97">
        <v>44009.407604216074</v>
      </c>
      <c r="P255" s="97">
        <v>157383.11827720134</v>
      </c>
      <c r="Q255" s="97">
        <v>11886.420560798395</v>
      </c>
      <c r="R255" s="97">
        <v>222944.50115232627</v>
      </c>
      <c r="S255" s="97">
        <v>63542597.04396598</v>
      </c>
      <c r="T255" s="97">
        <v>38383131.988103114</v>
      </c>
      <c r="U255" s="45">
        <v>0</v>
      </c>
      <c r="V255">
        <v>0</v>
      </c>
      <c r="W255">
        <v>1.6833333333333333E-3</v>
      </c>
      <c r="X255" s="97">
        <v>7680.4003475098207</v>
      </c>
      <c r="Y255" s="97">
        <v>9.0164162138252166</v>
      </c>
      <c r="Z255" s="97">
        <v>3213.8868473492821</v>
      </c>
      <c r="AA255" s="97">
        <v>102.85897550965886</v>
      </c>
      <c r="AB255" s="97">
        <v>6.8617775253761115</v>
      </c>
      <c r="AC255" s="97">
        <v>473.54447062417091</v>
      </c>
      <c r="AD255" s="97">
        <v>149.33627188640486</v>
      </c>
      <c r="AE255" s="97">
        <v>1994.8951518050208</v>
      </c>
      <c r="AF255" s="97">
        <v>3490.588993980648</v>
      </c>
      <c r="AG255" s="97">
        <v>1246.6881310973897</v>
      </c>
      <c r="AH255" s="97">
        <v>108765.04891825603</v>
      </c>
      <c r="AI255" s="97">
        <v>1957.9789217087648</v>
      </c>
      <c r="AJ255" s="97">
        <v>160710.40608978085</v>
      </c>
      <c r="AK255" s="97">
        <v>163900.45379790338</v>
      </c>
      <c r="AL255" s="97">
        <v>3190.0477081224776</v>
      </c>
      <c r="AM255" s="97">
        <v>110723.02783996479</v>
      </c>
    </row>
    <row r="256" spans="1:39" x14ac:dyDescent="0.25">
      <c r="A256" s="97">
        <v>254</v>
      </c>
      <c r="B256" s="97">
        <v>1.6833333333333333E-3</v>
      </c>
      <c r="C256" s="97">
        <v>78.947683985211555</v>
      </c>
      <c r="D256" s="97">
        <v>485.94211172324901</v>
      </c>
      <c r="E256" s="97">
        <v>526.79601595142674</v>
      </c>
      <c r="F256" s="97">
        <v>719.88660310341322</v>
      </c>
      <c r="G256" s="97">
        <v>2705.6001642613014</v>
      </c>
      <c r="H256" s="97">
        <v>7687.7898062025879</v>
      </c>
      <c r="I256" s="97">
        <v>66</v>
      </c>
      <c r="J256" s="97">
        <v>45</v>
      </c>
      <c r="K256" s="97">
        <v>430.00171877278558</v>
      </c>
      <c r="L256" s="97">
        <v>2646.7647018526295</v>
      </c>
      <c r="M256" s="97">
        <v>2869.2823002154373</v>
      </c>
      <c r="N256" s="97">
        <v>3663.6229042937871</v>
      </c>
      <c r="O256" s="97">
        <v>43857.778662675701</v>
      </c>
      <c r="P256" s="97">
        <v>156910.8613244475</v>
      </c>
      <c r="Q256" s="97">
        <v>11849.614395203384</v>
      </c>
      <c r="R256" s="97">
        <v>222227.92600746121</v>
      </c>
      <c r="S256" s="97">
        <v>63764824.969973445</v>
      </c>
      <c r="T256" s="97">
        <v>38460422.327409334</v>
      </c>
      <c r="U256" s="45">
        <v>0</v>
      </c>
      <c r="V256">
        <v>0</v>
      </c>
      <c r="W256">
        <v>1.6833333333333333E-3</v>
      </c>
      <c r="X256" s="97">
        <v>7687.7898062025879</v>
      </c>
      <c r="Y256" s="97">
        <v>8.9853682119894813</v>
      </c>
      <c r="Z256" s="97">
        <v>3222.8722155612718</v>
      </c>
      <c r="AA256" s="97">
        <v>102.52238747614282</v>
      </c>
      <c r="AB256" s="97">
        <v>6.8393097182302265</v>
      </c>
      <c r="AC256" s="97">
        <v>472.15145425025281</v>
      </c>
      <c r="AD256" s="97">
        <v>148.87385382503152</v>
      </c>
      <c r="AE256" s="97">
        <v>2001.4558462083985</v>
      </c>
      <c r="AF256" s="97">
        <v>3503.7326774871294</v>
      </c>
      <c r="AG256" s="97">
        <v>1255.5470479368416</v>
      </c>
      <c r="AH256" s="97">
        <v>108765.04891825603</v>
      </c>
      <c r="AI256" s="97">
        <v>1957.9789217087648</v>
      </c>
      <c r="AJ256" s="97">
        <v>160710.40608978085</v>
      </c>
      <c r="AK256" s="97">
        <v>163900.45379790338</v>
      </c>
      <c r="AL256" s="97">
        <v>3190.0477081224776</v>
      </c>
      <c r="AM256" s="97">
        <v>110723.02783996479</v>
      </c>
    </row>
    <row r="257" spans="1:39" x14ac:dyDescent="0.25">
      <c r="A257" s="97">
        <v>255</v>
      </c>
      <c r="B257" s="97">
        <v>1.6833333333333333E-3</v>
      </c>
      <c r="C257" s="97">
        <v>78.000396094338598</v>
      </c>
      <c r="D257" s="97">
        <v>482.35454781720432</v>
      </c>
      <c r="E257" s="97">
        <v>523.9111390705832</v>
      </c>
      <c r="F257" s="97">
        <v>716.89799402986057</v>
      </c>
      <c r="G257" s="97">
        <v>2696.2732136119271</v>
      </c>
      <c r="H257" s="97">
        <v>7695.1486637223834</v>
      </c>
      <c r="I257" s="97">
        <v>66</v>
      </c>
      <c r="J257" s="97">
        <v>45</v>
      </c>
      <c r="K257" s="97">
        <v>424.84215739383086</v>
      </c>
      <c r="L257" s="97">
        <v>2627.2244371110392</v>
      </c>
      <c r="M257" s="97">
        <v>2853.5693374711095</v>
      </c>
      <c r="N257" s="97">
        <v>3648.413374616965</v>
      </c>
      <c r="O257" s="97">
        <v>43706.588792649338</v>
      </c>
      <c r="P257" s="97">
        <v>156438.98197113484</v>
      </c>
      <c r="Q257" s="97">
        <v>11812.859390180794</v>
      </c>
      <c r="R257" s="97">
        <v>221512.47946055792</v>
      </c>
      <c r="S257" s="97">
        <v>63986337.449434005</v>
      </c>
      <c r="T257" s="97">
        <v>38537144.161813632</v>
      </c>
      <c r="U257" s="45">
        <v>0</v>
      </c>
      <c r="V257">
        <v>0</v>
      </c>
      <c r="W257">
        <v>1.6833333333333333E-3</v>
      </c>
      <c r="X257" s="97">
        <v>7695.1486637223834</v>
      </c>
      <c r="Y257" s="97">
        <v>8.9544102431027568</v>
      </c>
      <c r="Z257" s="97">
        <v>3231.8266258043745</v>
      </c>
      <c r="AA257" s="97">
        <v>102.18537076844703</v>
      </c>
      <c r="AB257" s="97">
        <v>6.8169044507011582</v>
      </c>
      <c r="AC257" s="97">
        <v>470.76024947913817</v>
      </c>
      <c r="AD257" s="97">
        <v>148.4120785247917</v>
      </c>
      <c r="AE257" s="97">
        <v>2007.9954363853244</v>
      </c>
      <c r="AF257" s="97">
        <v>3516.8360835379981</v>
      </c>
      <c r="AG257" s="97">
        <v>1264.3689270657112</v>
      </c>
      <c r="AH257" s="97">
        <v>108765.04891825603</v>
      </c>
      <c r="AI257" s="97">
        <v>1957.9789217087648</v>
      </c>
      <c r="AJ257" s="97">
        <v>160710.40608978085</v>
      </c>
      <c r="AK257" s="97">
        <v>163900.45379790338</v>
      </c>
      <c r="AL257" s="97">
        <v>3190.0477081224776</v>
      </c>
      <c r="AM257" s="97">
        <v>110723.02783996479</v>
      </c>
    </row>
    <row r="258" spans="1:39" x14ac:dyDescent="0.25">
      <c r="A258" s="97">
        <v>256</v>
      </c>
      <c r="B258" s="97">
        <v>1.6833333333333333E-3</v>
      </c>
      <c r="C258" s="97">
        <v>77.064474646442775</v>
      </c>
      <c r="D258" s="97">
        <v>478.78971038557756</v>
      </c>
      <c r="E258" s="97">
        <v>521.03522799973871</v>
      </c>
      <c r="F258" s="97">
        <v>713.91439722616076</v>
      </c>
      <c r="G258" s="97">
        <v>2686.9732332540775</v>
      </c>
      <c r="H258" s="97">
        <v>7702.4769709468137</v>
      </c>
      <c r="I258" s="97">
        <v>66</v>
      </c>
      <c r="J258" s="97">
        <v>45</v>
      </c>
      <c r="K258" s="97">
        <v>419.74450524095829</v>
      </c>
      <c r="L258" s="97">
        <v>2607.8079559001121</v>
      </c>
      <c r="M258" s="97">
        <v>2837.9052085052435</v>
      </c>
      <c r="N258" s="97">
        <v>3633.2293532168028</v>
      </c>
      <c r="O258" s="97">
        <v>43555.8361110486</v>
      </c>
      <c r="P258" s="97">
        <v>155967.49892012644</v>
      </c>
      <c r="Q258" s="97">
        <v>11776.156315347671</v>
      </c>
      <c r="R258" s="97">
        <v>220798.17836938583</v>
      </c>
      <c r="S258" s="97">
        <v>64207135.627803393</v>
      </c>
      <c r="T258" s="97">
        <v>38613301.273552895</v>
      </c>
      <c r="U258" s="45">
        <v>0</v>
      </c>
      <c r="V258">
        <v>0</v>
      </c>
      <c r="W258">
        <v>1.6833333333333333E-3</v>
      </c>
      <c r="X258" s="97">
        <v>7702.4769709468137</v>
      </c>
      <c r="Y258" s="97">
        <v>8.923541919122421</v>
      </c>
      <c r="Z258" s="97">
        <v>3240.7501677234968</v>
      </c>
      <c r="AA258" s="97">
        <v>101.84796312455354</v>
      </c>
      <c r="AB258" s="97">
        <v>6.7945614367526739</v>
      </c>
      <c r="AC258" s="97">
        <v>469.37088707062833</v>
      </c>
      <c r="AD258" s="97">
        <v>147.95095565484857</v>
      </c>
      <c r="AE258" s="97">
        <v>2014.5139622332758</v>
      </c>
      <c r="AF258" s="97">
        <v>3529.8992520067773</v>
      </c>
      <c r="AG258" s="97">
        <v>1273.153898631195</v>
      </c>
      <c r="AH258" s="97">
        <v>108765.04891825603</v>
      </c>
      <c r="AI258" s="97">
        <v>1957.9789217087648</v>
      </c>
      <c r="AJ258" s="97">
        <v>160710.40608978085</v>
      </c>
      <c r="AK258" s="97">
        <v>163900.45379790338</v>
      </c>
      <c r="AL258" s="97">
        <v>3190.0477081224776</v>
      </c>
      <c r="AM258" s="97">
        <v>110723.02783996479</v>
      </c>
    </row>
    <row r="259" spans="1:39" x14ac:dyDescent="0.25">
      <c r="A259" s="97">
        <v>257</v>
      </c>
      <c r="B259" s="97">
        <v>1.6833333333333333E-3</v>
      </c>
      <c r="C259" s="97">
        <v>76.13978325634784</v>
      </c>
      <c r="D259" s="97">
        <v>475.24751080993002</v>
      </c>
      <c r="E259" s="97">
        <v>518.16834025643345</v>
      </c>
      <c r="F259" s="97">
        <v>710.93584802222438</v>
      </c>
      <c r="G259" s="97">
        <v>2677.700108094909</v>
      </c>
      <c r="H259" s="97">
        <v>7709.7747791125303</v>
      </c>
      <c r="I259" s="97">
        <v>66</v>
      </c>
      <c r="J259" s="97">
        <v>45</v>
      </c>
      <c r="K259" s="97">
        <v>414.70801946957454</v>
      </c>
      <c r="L259" s="97">
        <v>2588.514775544752</v>
      </c>
      <c r="M259" s="97">
        <v>2822.2902265967073</v>
      </c>
      <c r="N259" s="97">
        <v>3618.0710198931033</v>
      </c>
      <c r="O259" s="97">
        <v>43405.518752218479</v>
      </c>
      <c r="P259" s="97">
        <v>155496.43037459665</v>
      </c>
      <c r="Q259" s="97">
        <v>11739.505925171572</v>
      </c>
      <c r="R259" s="97">
        <v>220085.03909349084</v>
      </c>
      <c r="S259" s="97">
        <v>64427220.666896887</v>
      </c>
      <c r="T259" s="97">
        <v>38688897.427244194</v>
      </c>
      <c r="U259" s="45">
        <v>0</v>
      </c>
      <c r="V259">
        <v>0</v>
      </c>
      <c r="W259">
        <v>1.6833333333333333E-3</v>
      </c>
      <c r="X259" s="97">
        <v>7709.7747791125303</v>
      </c>
      <c r="Y259" s="97">
        <v>8.8927628555797043</v>
      </c>
      <c r="Z259" s="97">
        <v>3249.6429305790766</v>
      </c>
      <c r="AA259" s="97">
        <v>101.51020127062618</v>
      </c>
      <c r="AB259" s="97">
        <v>6.772280392874813</v>
      </c>
      <c r="AC259" s="97">
        <v>467.98339696627136</v>
      </c>
      <c r="AD259" s="97">
        <v>147.4904946940332</v>
      </c>
      <c r="AE259" s="97">
        <v>2021.0114639141273</v>
      </c>
      <c r="AF259" s="97">
        <v>3542.9222241349366</v>
      </c>
      <c r="AG259" s="97">
        <v>1281.9020924942879</v>
      </c>
      <c r="AH259" s="97">
        <v>108765.04891825603</v>
      </c>
      <c r="AI259" s="97">
        <v>1957.9789217087648</v>
      </c>
      <c r="AJ259" s="97">
        <v>160710.40608978085</v>
      </c>
      <c r="AK259" s="97">
        <v>163900.45379790338</v>
      </c>
      <c r="AL259" s="97">
        <v>3190.0477081224776</v>
      </c>
      <c r="AM259" s="97">
        <v>110723.02783996479</v>
      </c>
    </row>
    <row r="260" spans="1:39" x14ac:dyDescent="0.25">
      <c r="A260" s="97">
        <v>258</v>
      </c>
      <c r="B260" s="97">
        <v>1.6833333333333333E-3</v>
      </c>
      <c r="C260" s="97">
        <v>75.226187175353999</v>
      </c>
      <c r="D260" s="97">
        <v>471.7278598676873</v>
      </c>
      <c r="E260" s="97">
        <v>515.31053199833173</v>
      </c>
      <c r="F260" s="97">
        <v>707.96238193680847</v>
      </c>
      <c r="G260" s="97">
        <v>2668.4537241125231</v>
      </c>
      <c r="H260" s="97">
        <v>7717.0421398173376</v>
      </c>
      <c r="I260" s="97">
        <v>66</v>
      </c>
      <c r="J260" s="97">
        <v>45</v>
      </c>
      <c r="K260" s="97">
        <v>409.73196614842811</v>
      </c>
      <c r="L260" s="97">
        <v>2569.3444100793367</v>
      </c>
      <c r="M260" s="97">
        <v>2806.7246976175797</v>
      </c>
      <c r="N260" s="97">
        <v>3602.9385554067408</v>
      </c>
      <c r="O260" s="97">
        <v>43255.634867863999</v>
      </c>
      <c r="P260" s="97">
        <v>155025.79404955491</v>
      </c>
      <c r="Q260" s="97">
        <v>11702.908958931217</v>
      </c>
      <c r="R260" s="97">
        <v>219373.07750560221</v>
      </c>
      <c r="S260" s="97">
        <v>64646593.744402491</v>
      </c>
      <c r="T260" s="97">
        <v>38763936.369759545</v>
      </c>
      <c r="U260" s="45">
        <v>0</v>
      </c>
      <c r="V260">
        <v>0</v>
      </c>
      <c r="W260">
        <v>1.6833333333333333E-3</v>
      </c>
      <c r="X260" s="97">
        <v>7717.0421398173376</v>
      </c>
      <c r="Y260" s="97">
        <v>8.8620726715652065</v>
      </c>
      <c r="Z260" s="97">
        <v>3258.5050032506419</v>
      </c>
      <c r="AA260" s="97">
        <v>101.17212094646868</v>
      </c>
      <c r="AB260" s="97">
        <v>6.750061038080478</v>
      </c>
      <c r="AC260" s="97">
        <v>466.59780830610993</v>
      </c>
      <c r="AD260" s="97">
        <v>147.03070493035011</v>
      </c>
      <c r="AE260" s="97">
        <v>2027.4879818447055</v>
      </c>
      <c r="AF260" s="97">
        <v>3555.9050424984043</v>
      </c>
      <c r="AG260" s="97">
        <v>1290.6136382279619</v>
      </c>
      <c r="AH260" s="97">
        <v>108765.04891825603</v>
      </c>
      <c r="AI260" s="97">
        <v>1957.9789217087648</v>
      </c>
      <c r="AJ260" s="97">
        <v>160710.40608978085</v>
      </c>
      <c r="AK260" s="97">
        <v>163900.45379790338</v>
      </c>
      <c r="AL260" s="97">
        <v>3190.0477081224776</v>
      </c>
      <c r="AM260" s="97">
        <v>110723.02783996479</v>
      </c>
    </row>
    <row r="261" spans="1:39" x14ac:dyDescent="0.25">
      <c r="A261" s="97">
        <v>259</v>
      </c>
      <c r="B261" s="97">
        <v>1.6833333333333333E-3</v>
      </c>
      <c r="C261" s="97">
        <v>74.323553271601952</v>
      </c>
      <c r="D261" s="97">
        <v>468.23066775449354</v>
      </c>
      <c r="E261" s="97">
        <v>512.46185803546518</v>
      </c>
      <c r="F261" s="97">
        <v>704.99403466085892</v>
      </c>
      <c r="G261" s="97">
        <v>2659.2339683512914</v>
      </c>
      <c r="H261" s="97">
        <v>7724.2791050221194</v>
      </c>
      <c r="I261" s="97">
        <v>66</v>
      </c>
      <c r="J261" s="97">
        <v>45</v>
      </c>
      <c r="K261" s="97">
        <v>404.8156201526586</v>
      </c>
      <c r="L261" s="97">
        <v>2550.2963703694745</v>
      </c>
      <c r="M261" s="97">
        <v>2791.2089200998334</v>
      </c>
      <c r="N261" s="97">
        <v>3587.8321413948875</v>
      </c>
      <c r="O261" s="97">
        <v>43106.182626974434</v>
      </c>
      <c r="P261" s="97">
        <v>154555.60718311873</v>
      </c>
      <c r="Q261" s="97">
        <v>11666.366140698212</v>
      </c>
      <c r="R261" s="97">
        <v>218662.30900280824</v>
      </c>
      <c r="S261" s="97">
        <v>64865256.0534053</v>
      </c>
      <c r="T261" s="97">
        <v>38838421.830108143</v>
      </c>
      <c r="U261" s="45">
        <v>0</v>
      </c>
      <c r="V261">
        <v>0</v>
      </c>
      <c r="W261">
        <v>1.6833333333333333E-3</v>
      </c>
      <c r="X261" s="97">
        <v>7724.2791050221194</v>
      </c>
      <c r="Y261" s="97">
        <v>8.8314709897139103</v>
      </c>
      <c r="Z261" s="97">
        <v>3267.336474240356</v>
      </c>
      <c r="AA261" s="97">
        <v>100.83375693035727</v>
      </c>
      <c r="AB261" s="97">
        <v>6.727903093901519</v>
      </c>
      <c r="AC261" s="97">
        <v>465.21414944513396</v>
      </c>
      <c r="AD261" s="97">
        <v>146.57159546074769</v>
      </c>
      <c r="AE261" s="97">
        <v>2033.9435566875852</v>
      </c>
      <c r="AF261" s="97">
        <v>3568.8477509746435</v>
      </c>
      <c r="AG261" s="97">
        <v>1299.2886651154058</v>
      </c>
      <c r="AH261" s="97">
        <v>108765.04891825603</v>
      </c>
      <c r="AI261" s="97">
        <v>1957.9789217087648</v>
      </c>
      <c r="AJ261" s="97">
        <v>160710.40608978085</v>
      </c>
      <c r="AK261" s="97">
        <v>163900.45379790338</v>
      </c>
      <c r="AL261" s="97">
        <v>3190.0477081224776</v>
      </c>
      <c r="AM261" s="97">
        <v>110723.02783996479</v>
      </c>
    </row>
    <row r="262" spans="1:39" x14ac:dyDescent="0.25">
      <c r="A262" s="97">
        <v>260</v>
      </c>
      <c r="B262" s="97">
        <v>1.6833333333333333E-3</v>
      </c>
      <c r="C262" s="97">
        <v>73.431750010672502</v>
      </c>
      <c r="D262" s="97">
        <v>464.75584410615988</v>
      </c>
      <c r="E262" s="97">
        <v>509.62237184249017</v>
      </c>
      <c r="F262" s="97">
        <v>702.03084204118068</v>
      </c>
      <c r="G262" s="97">
        <v>2650.0407289170398</v>
      </c>
      <c r="H262" s="97">
        <v>7731.4857270526036</v>
      </c>
      <c r="I262" s="97">
        <v>66</v>
      </c>
      <c r="J262" s="97">
        <v>45</v>
      </c>
      <c r="K262" s="97">
        <v>399.95826505812954</v>
      </c>
      <c r="L262" s="97">
        <v>2531.3701642315505</v>
      </c>
      <c r="M262" s="97">
        <v>2775.7431853020962</v>
      </c>
      <c r="N262" s="97">
        <v>3572.7519602879083</v>
      </c>
      <c r="O262" s="97">
        <v>42957.160215745214</v>
      </c>
      <c r="P262" s="97">
        <v>154085.88654754011</v>
      </c>
      <c r="Q262" s="97">
        <v>11629.87817933843</v>
      </c>
      <c r="R262" s="97">
        <v>217952.74851750344</v>
      </c>
      <c r="S262" s="97">
        <v>65083208.801922806</v>
      </c>
      <c r="T262" s="97">
        <v>38912357.51932586</v>
      </c>
      <c r="U262" s="45">
        <v>0</v>
      </c>
      <c r="V262">
        <v>0</v>
      </c>
      <c r="W262">
        <v>1.6833333333333333E-3</v>
      </c>
      <c r="X262" s="97">
        <v>7731.4857270526036</v>
      </c>
      <c r="Y262" s="97">
        <v>8.8009574361897087</v>
      </c>
      <c r="Z262" s="97">
        <v>3276.1374316765455</v>
      </c>
      <c r="AA262" s="97">
        <v>100.49514306326293</v>
      </c>
      <c r="AB262" s="97">
        <v>6.7058062843843214</v>
      </c>
      <c r="AC262" s="97">
        <v>463.83244796944291</v>
      </c>
      <c r="AD262" s="97">
        <v>146.1131751911355</v>
      </c>
      <c r="AE262" s="97">
        <v>2040.3782293421211</v>
      </c>
      <c r="AF262" s="97">
        <v>3581.7503947102941</v>
      </c>
      <c r="AG262" s="97">
        <v>1307.9273021483209</v>
      </c>
      <c r="AH262" s="97">
        <v>108765.04891825603</v>
      </c>
      <c r="AI262" s="97">
        <v>1957.9789217087648</v>
      </c>
      <c r="AJ262" s="97">
        <v>160710.40608978085</v>
      </c>
      <c r="AK262" s="97">
        <v>163900.45379790338</v>
      </c>
      <c r="AL262" s="97">
        <v>3190.0477081224776</v>
      </c>
      <c r="AM262" s="97">
        <v>110723.02783996479</v>
      </c>
    </row>
    <row r="263" spans="1:39" x14ac:dyDescent="0.25">
      <c r="A263" s="97">
        <v>261</v>
      </c>
      <c r="B263" s="97">
        <v>1.6833333333333333E-3</v>
      </c>
      <c r="C263" s="97">
        <v>72.550647436419027</v>
      </c>
      <c r="D263" s="97">
        <v>461.30329802021453</v>
      </c>
      <c r="E263" s="97">
        <v>506.79212557095684</v>
      </c>
      <c r="F263" s="97">
        <v>699.07284006443183</v>
      </c>
      <c r="G263" s="97">
        <v>2640.873894972096</v>
      </c>
      <c r="H263" s="97">
        <v>7738.6620586009503</v>
      </c>
      <c r="I263" s="97">
        <v>66</v>
      </c>
      <c r="J263" s="97">
        <v>45</v>
      </c>
      <c r="K263" s="97">
        <v>395.15919303702896</v>
      </c>
      <c r="L263" s="97">
        <v>2512.5652965501017</v>
      </c>
      <c r="M263" s="97">
        <v>2760.3277772764782</v>
      </c>
      <c r="N263" s="97">
        <v>3557.6981952279043</v>
      </c>
      <c r="O263" s="97">
        <v>42808.565837497677</v>
      </c>
      <c r="P263" s="97">
        <v>153616.64845999179</v>
      </c>
      <c r="Q263" s="97">
        <v>11593.445768531687</v>
      </c>
      <c r="R263" s="97">
        <v>217244.41052811267</v>
      </c>
      <c r="S263" s="97">
        <v>65300453.212450922</v>
      </c>
      <c r="T263" s="97">
        <v>38985747.130371802</v>
      </c>
      <c r="U263" s="45">
        <v>0</v>
      </c>
      <c r="V263">
        <v>0</v>
      </c>
      <c r="W263">
        <v>1.6833333333333333E-3</v>
      </c>
      <c r="X263" s="97">
        <v>7738.6620586009503</v>
      </c>
      <c r="Y263" s="97">
        <v>8.7705316406694624</v>
      </c>
      <c r="Z263" s="97">
        <v>3284.907963317215</v>
      </c>
      <c r="AA263" s="97">
        <v>100.15631227247788</v>
      </c>
      <c r="AB263" s="97">
        <v>6.6837703360849137</v>
      </c>
      <c r="AC263" s="97">
        <v>462.4527307121221</v>
      </c>
      <c r="AD263" s="97">
        <v>145.65545283663153</v>
      </c>
      <c r="AE263" s="97">
        <v>2046.7920409357112</v>
      </c>
      <c r="AF263" s="97">
        <v>3594.613020089374</v>
      </c>
      <c r="AG263" s="97">
        <v>1316.5296780252754</v>
      </c>
      <c r="AH263" s="97">
        <v>108765.04891825603</v>
      </c>
      <c r="AI263" s="97">
        <v>1957.9789217087648</v>
      </c>
      <c r="AJ263" s="97">
        <v>160710.40608978085</v>
      </c>
      <c r="AK263" s="97">
        <v>163900.45379790338</v>
      </c>
      <c r="AL263" s="97">
        <v>3190.0477081224776</v>
      </c>
      <c r="AM263" s="97">
        <v>110723.02783996479</v>
      </c>
    </row>
    <row r="264" spans="1:39" x14ac:dyDescent="0.25">
      <c r="A264" s="97">
        <v>262</v>
      </c>
      <c r="B264" s="97">
        <v>1.6833333333333333E-3</v>
      </c>
      <c r="C264" s="97">
        <v>71.680117152029865</v>
      </c>
      <c r="D264" s="97">
        <v>457.87293807705959</v>
      </c>
      <c r="E264" s="97">
        <v>503.97117006158629</v>
      </c>
      <c r="F264" s="97">
        <v>696.12006484143922</v>
      </c>
      <c r="G264" s="97">
        <v>2631.7333567302026</v>
      </c>
      <c r="H264" s="97">
        <v>7745.8081527271861</v>
      </c>
      <c r="I264" s="97">
        <v>66</v>
      </c>
      <c r="J264" s="97">
        <v>45</v>
      </c>
      <c r="K264" s="97">
        <v>390.41770475472265</v>
      </c>
      <c r="L264" s="97">
        <v>2493.8812693930508</v>
      </c>
      <c r="M264" s="97">
        <v>2744.9629729354397</v>
      </c>
      <c r="N264" s="97">
        <v>3542.671029988891</v>
      </c>
      <c r="O264" s="97">
        <v>42660.397712596583</v>
      </c>
      <c r="P264" s="97">
        <v>153147.90879311759</v>
      </c>
      <c r="Q264" s="97">
        <v>11557.069586808415</v>
      </c>
      <c r="R264" s="97">
        <v>216537.30906959469</v>
      </c>
      <c r="S264" s="97">
        <v>65516990.521520518</v>
      </c>
      <c r="T264" s="97">
        <v>39058594.338031687</v>
      </c>
      <c r="U264" s="45">
        <v>0</v>
      </c>
      <c r="V264">
        <v>0</v>
      </c>
      <c r="W264">
        <v>1.6833333333333333E-3</v>
      </c>
      <c r="X264" s="97">
        <v>7745.8081527271861</v>
      </c>
      <c r="Y264" s="97">
        <v>8.7401932363266166</v>
      </c>
      <c r="Z264" s="97">
        <v>3293.6481565535419</v>
      </c>
      <c r="AA264" s="97">
        <v>99.817296594660831</v>
      </c>
      <c r="AB264" s="97">
        <v>6.6617949780636057</v>
      </c>
      <c r="AC264" s="97">
        <v>461.07502376883792</v>
      </c>
      <c r="AD264" s="97">
        <v>145.19843692202292</v>
      </c>
      <c r="AE264" s="97">
        <v>2053.1850328152841</v>
      </c>
      <c r="AF264" s="97">
        <v>3607.4356747020443</v>
      </c>
      <c r="AG264" s="97">
        <v>1325.0959211501156</v>
      </c>
      <c r="AH264" s="97">
        <v>108765.04891825603</v>
      </c>
      <c r="AI264" s="97">
        <v>1957.9789217087648</v>
      </c>
      <c r="AJ264" s="97">
        <v>160710.40608978085</v>
      </c>
      <c r="AK264" s="97">
        <v>163900.45379790338</v>
      </c>
      <c r="AL264" s="97">
        <v>3190.0477081224776</v>
      </c>
      <c r="AM264" s="97">
        <v>110723.02783996479</v>
      </c>
    </row>
    <row r="265" spans="1:39" x14ac:dyDescent="0.25">
      <c r="A265" s="97">
        <v>263</v>
      </c>
      <c r="B265" s="97">
        <v>1.6833333333333333E-3</v>
      </c>
      <c r="C265" s="97">
        <v>70.820032301317951</v>
      </c>
      <c r="D265" s="97">
        <v>454.46467236074108</v>
      </c>
      <c r="E265" s="97">
        <v>501.15955485655309</v>
      </c>
      <c r="F265" s="97">
        <v>693.17255259182957</v>
      </c>
      <c r="G265" s="97">
        <v>2622.6190054513036</v>
      </c>
      <c r="H265" s="97">
        <v>7752.9240628604703</v>
      </c>
      <c r="I265" s="97">
        <v>66</v>
      </c>
      <c r="J265" s="97">
        <v>45</v>
      </c>
      <c r="K265" s="97">
        <v>385.73310926784507</v>
      </c>
      <c r="L265" s="97">
        <v>2475.3175821248365</v>
      </c>
      <c r="M265" s="97">
        <v>2729.6490421186923</v>
      </c>
      <c r="N265" s="97">
        <v>3527.670648898586</v>
      </c>
      <c r="O265" s="97">
        <v>42512.654078365631</v>
      </c>
      <c r="P265" s="97">
        <v>152679.68298535235</v>
      </c>
      <c r="Q265" s="97">
        <v>11520.750297602155</v>
      </c>
      <c r="R265" s="97">
        <v>215831.4577437301</v>
      </c>
      <c r="S265" s="97">
        <v>65732821.979264244</v>
      </c>
      <c r="T265" s="97">
        <v>39130902.798827901</v>
      </c>
      <c r="U265" s="45">
        <v>0</v>
      </c>
      <c r="V265">
        <v>0</v>
      </c>
      <c r="W265">
        <v>1.6833333333333333E-3</v>
      </c>
      <c r="X265" s="97">
        <v>7752.9240628604703</v>
      </c>
      <c r="Y265" s="97">
        <v>8.7099418598143643</v>
      </c>
      <c r="Z265" s="97">
        <v>3302.3580984133564</v>
      </c>
      <c r="AA265" s="97">
        <v>99.478127198314937</v>
      </c>
      <c r="AB265" s="97">
        <v>6.6398799418791699</v>
      </c>
      <c r="AC265" s="97">
        <v>459.69935251315576</v>
      </c>
      <c r="AD265" s="97">
        <v>144.74213578242546</v>
      </c>
      <c r="AE265" s="97">
        <v>2059.5572465390087</v>
      </c>
      <c r="AF265" s="97">
        <v>3620.218407313926</v>
      </c>
      <c r="AG265" s="97">
        <v>1333.6261596304312</v>
      </c>
      <c r="AH265" s="97">
        <v>108765.04891825603</v>
      </c>
      <c r="AI265" s="97">
        <v>1957.9789217087648</v>
      </c>
      <c r="AJ265" s="97">
        <v>160710.40608978085</v>
      </c>
      <c r="AK265" s="97">
        <v>163900.45379790338</v>
      </c>
      <c r="AL265" s="97">
        <v>3190.0477081224776</v>
      </c>
      <c r="AM265" s="97">
        <v>110723.02783996479</v>
      </c>
    </row>
    <row r="266" spans="1:39" x14ac:dyDescent="0.25">
      <c r="A266" s="97">
        <v>264</v>
      </c>
      <c r="B266" s="97">
        <v>1.6833333333333333E-3</v>
      </c>
      <c r="C266" s="97">
        <v>69.970267550234993</v>
      </c>
      <c r="D266" s="97">
        <v>451.07840847933755</v>
      </c>
      <c r="E266" s="97">
        <v>498.35732821177004</v>
      </c>
      <c r="F266" s="97">
        <v>690.23033962897512</v>
      </c>
      <c r="G266" s="97">
        <v>2613.5307334362037</v>
      </c>
      <c r="H266" s="97">
        <v>7760.0098428002084</v>
      </c>
      <c r="I266" s="97">
        <v>67</v>
      </c>
      <c r="J266" s="97">
        <v>45</v>
      </c>
      <c r="K266" s="97">
        <v>381.10472392361322</v>
      </c>
      <c r="L266" s="97">
        <v>2456.8737315174585</v>
      </c>
      <c r="M266" s="97">
        <v>2714.3862476601075</v>
      </c>
      <c r="N266" s="97">
        <v>3512.6972367617923</v>
      </c>
      <c r="O266" s="97">
        <v>42365.333189000863</v>
      </c>
      <c r="P266" s="97">
        <v>152211.98605101643</v>
      </c>
      <c r="Q266" s="97">
        <v>11484.488549316671</v>
      </c>
      <c r="R266" s="97">
        <v>215126.86972919694</v>
      </c>
      <c r="S266" s="97">
        <v>65947948.848993443</v>
      </c>
      <c r="T266" s="97">
        <v>39202676.150935978</v>
      </c>
      <c r="U266" s="45">
        <v>0</v>
      </c>
      <c r="V266">
        <v>0</v>
      </c>
      <c r="W266">
        <v>1.6833333333333333E-3</v>
      </c>
      <c r="X266" s="97">
        <v>7760.0098428002084</v>
      </c>
      <c r="Y266" s="97">
        <v>8.6797771512483841</v>
      </c>
      <c r="Z266" s="97">
        <v>3311.0378755646047</v>
      </c>
      <c r="AA266" s="97">
        <v>99.154936656227036</v>
      </c>
      <c r="AB266" s="97">
        <v>6.6019227110677692</v>
      </c>
      <c r="AC266" s="97">
        <v>458.30963936107088</v>
      </c>
      <c r="AD266" s="97">
        <v>144.28655756412678</v>
      </c>
      <c r="AE266" s="97">
        <v>2065.9087238682164</v>
      </c>
      <c r="AF266" s="97">
        <v>3632.9612678359777</v>
      </c>
      <c r="AG266" s="97">
        <v>1342.1205212760747</v>
      </c>
      <c r="AH266" s="97">
        <v>110518.17187999481</v>
      </c>
      <c r="AI266" s="97">
        <v>2008.5119847134806</v>
      </c>
      <c r="AJ266" s="97">
        <v>165594.54107755926</v>
      </c>
      <c r="AK266" s="97">
        <v>168925.37200879131</v>
      </c>
      <c r="AL266" s="97">
        <v>3330.8309312320253</v>
      </c>
      <c r="AM266" s="97">
        <v>112526.68386470831</v>
      </c>
    </row>
    <row r="267" spans="1:39" x14ac:dyDescent="0.25">
      <c r="A267" s="97">
        <v>265</v>
      </c>
      <c r="B267" s="97">
        <v>1.8433333333333333E-3</v>
      </c>
      <c r="C267" s="97">
        <v>69.11950382579937</v>
      </c>
      <c r="D267" s="97">
        <v>447.64188103961686</v>
      </c>
      <c r="E267" s="97">
        <v>495.48479993665865</v>
      </c>
      <c r="F267" s="97">
        <v>687.18302549090686</v>
      </c>
      <c r="G267" s="97">
        <v>2604.0502691037577</v>
      </c>
      <c r="H267" s="97">
        <v>7767.06554671701</v>
      </c>
      <c r="I267" s="97">
        <v>67</v>
      </c>
      <c r="J267" s="97">
        <v>45</v>
      </c>
      <c r="K267" s="97">
        <v>376.47089750452056</v>
      </c>
      <c r="L267" s="97">
        <v>2438.1561120624465</v>
      </c>
      <c r="M267" s="97">
        <v>2698.7405436550007</v>
      </c>
      <c r="N267" s="97">
        <v>3497.1889472274734</v>
      </c>
      <c r="O267" s="97">
        <v>42211.654862171912</v>
      </c>
      <c r="P267" s="97">
        <v>151720.44898681442</v>
      </c>
      <c r="Q267" s="97">
        <v>11446.447457238757</v>
      </c>
      <c r="R267" s="97">
        <v>214389.10780667452</v>
      </c>
      <c r="S267" s="97">
        <v>66162337.956800118</v>
      </c>
      <c r="T267" s="97">
        <v>39273906.568158336</v>
      </c>
      <c r="U267" s="45">
        <v>0</v>
      </c>
      <c r="V267">
        <v>0</v>
      </c>
      <c r="W267">
        <v>1.8433333333333333E-3</v>
      </c>
      <c r="X267" s="97">
        <v>7767.06554671701</v>
      </c>
      <c r="Y267" s="97">
        <v>8.6496987541891741</v>
      </c>
      <c r="Z267" s="97">
        <v>3319.6875743187938</v>
      </c>
      <c r="AA267" s="97">
        <v>98.815345745248962</v>
      </c>
      <c r="AB267" s="97">
        <v>6.5801805528496429</v>
      </c>
      <c r="AC267" s="97">
        <v>456.8490139539968</v>
      </c>
      <c r="AD267" s="97">
        <v>143.80862437638993</v>
      </c>
      <c r="AE267" s="97">
        <v>2072.2395067595344</v>
      </c>
      <c r="AF267" s="97">
        <v>3645.664416016145</v>
      </c>
      <c r="AG267" s="97">
        <v>1351.3831205114782</v>
      </c>
      <c r="AH267" s="97">
        <v>110518.17187999481</v>
      </c>
      <c r="AI267" s="97">
        <v>2008.5119847134806</v>
      </c>
      <c r="AJ267" s="97">
        <v>165594.54107755926</v>
      </c>
      <c r="AK267" s="97">
        <v>168925.37200879131</v>
      </c>
      <c r="AL267" s="97">
        <v>3330.8309312320253</v>
      </c>
      <c r="AM267" s="97">
        <v>112526.68386470831</v>
      </c>
    </row>
    <row r="268" spans="1:39" x14ac:dyDescent="0.25">
      <c r="A268" s="97">
        <v>266</v>
      </c>
      <c r="B268" s="97">
        <v>1.8433333333333333E-3</v>
      </c>
      <c r="C268" s="97">
        <v>68.279084479628366</v>
      </c>
      <c r="D268" s="97">
        <v>444.22825744392333</v>
      </c>
      <c r="E268" s="97">
        <v>492.62265937507237</v>
      </c>
      <c r="F268" s="97">
        <v>684.14204095952425</v>
      </c>
      <c r="G268" s="97">
        <v>2594.5986385795418</v>
      </c>
      <c r="H268" s="97">
        <v>7774.09010024087</v>
      </c>
      <c r="I268" s="97">
        <v>67</v>
      </c>
      <c r="J268" s="97">
        <v>45</v>
      </c>
      <c r="K268" s="97">
        <v>371.89341346570916</v>
      </c>
      <c r="L268" s="97">
        <v>2419.5632422112358</v>
      </c>
      <c r="M268" s="97">
        <v>2683.1514180628942</v>
      </c>
      <c r="N268" s="97">
        <v>3481.712870116512</v>
      </c>
      <c r="O268" s="97">
        <v>42058.443931374371</v>
      </c>
      <c r="P268" s="97">
        <v>151229.59463158131</v>
      </c>
      <c r="Q268" s="97">
        <v>11408.476986646032</v>
      </c>
      <c r="R268" s="97">
        <v>213652.83649345805</v>
      </c>
      <c r="S268" s="97">
        <v>66375990.793293573</v>
      </c>
      <c r="T268" s="97">
        <v>39344597.813630298</v>
      </c>
      <c r="U268" s="45">
        <v>0</v>
      </c>
      <c r="V268">
        <v>0</v>
      </c>
      <c r="W268">
        <v>1.8433333333333333E-3</v>
      </c>
      <c r="X268" s="97">
        <v>7774.09010024087</v>
      </c>
      <c r="Y268" s="97">
        <v>8.6183223638233049</v>
      </c>
      <c r="Z268" s="97">
        <v>3328.305896682617</v>
      </c>
      <c r="AA268" s="97">
        <v>98.475288116053562</v>
      </c>
      <c r="AB268" s="97">
        <v>6.5575217211099233</v>
      </c>
      <c r="AC268" s="97">
        <v>455.39135563371002</v>
      </c>
      <c r="AD268" s="97">
        <v>143.33157844897332</v>
      </c>
      <c r="AE268" s="97">
        <v>2078.5486237957957</v>
      </c>
      <c r="AF268" s="97">
        <v>3658.3258674110925</v>
      </c>
      <c r="AG268" s="97">
        <v>1360.6052295524789</v>
      </c>
      <c r="AH268" s="97">
        <v>110518.17187999481</v>
      </c>
      <c r="AI268" s="97">
        <v>2008.5119847134806</v>
      </c>
      <c r="AJ268" s="97">
        <v>165594.54107755926</v>
      </c>
      <c r="AK268" s="97">
        <v>168925.37200879131</v>
      </c>
      <c r="AL268" s="97">
        <v>3330.8309312320253</v>
      </c>
      <c r="AM268" s="97">
        <v>112526.68386470831</v>
      </c>
    </row>
    <row r="269" spans="1:39" x14ac:dyDescent="0.25">
      <c r="A269" s="97">
        <v>267</v>
      </c>
      <c r="B269" s="97">
        <v>1.8433333333333333E-3</v>
      </c>
      <c r="C269" s="97">
        <v>67.448883735130167</v>
      </c>
      <c r="D269" s="97">
        <v>440.83743325927293</v>
      </c>
      <c r="E269" s="97">
        <v>489.77094623029575</v>
      </c>
      <c r="F269" s="97">
        <v>681.10741973517577</v>
      </c>
      <c r="G269" s="97">
        <v>2585.1757241308796</v>
      </c>
      <c r="H269" s="97">
        <v>7781.0835680745813</v>
      </c>
      <c r="I269" s="97">
        <v>67</v>
      </c>
      <c r="J269" s="97">
        <v>45</v>
      </c>
      <c r="K269" s="97">
        <v>367.37158674400894</v>
      </c>
      <c r="L269" s="97">
        <v>2401.0945531521729</v>
      </c>
      <c r="M269" s="97">
        <v>2667.6190871343442</v>
      </c>
      <c r="N269" s="97">
        <v>3466.2691769355984</v>
      </c>
      <c r="O269" s="97">
        <v>41905.698488161564</v>
      </c>
      <c r="P269" s="97">
        <v>150739.43792392043</v>
      </c>
      <c r="Q269" s="97">
        <v>11370.577664377339</v>
      </c>
      <c r="R269" s="97">
        <v>212918.06848042546</v>
      </c>
      <c r="S269" s="97">
        <v>66588908.861773998</v>
      </c>
      <c r="T269" s="97">
        <v>39414753.630740866</v>
      </c>
      <c r="U269" s="45">
        <v>0</v>
      </c>
      <c r="V269">
        <v>0</v>
      </c>
      <c r="W269">
        <v>1.8433333333333333E-3</v>
      </c>
      <c r="X269" s="97">
        <v>7781.0835680745813</v>
      </c>
      <c r="Y269" s="97">
        <v>8.5870414013595955</v>
      </c>
      <c r="Z269" s="97">
        <v>3336.8929380839768</v>
      </c>
      <c r="AA269" s="97">
        <v>98.134804830074529</v>
      </c>
      <c r="AB269" s="97">
        <v>6.5349285954163916</v>
      </c>
      <c r="AC269" s="97">
        <v>453.9366780502512</v>
      </c>
      <c r="AD269" s="97">
        <v>142.85542640087115</v>
      </c>
      <c r="AE269" s="97">
        <v>2084.836123464785</v>
      </c>
      <c r="AF269" s="97">
        <v>3670.9456837309708</v>
      </c>
      <c r="AG269" s="97">
        <v>1369.7869998970762</v>
      </c>
      <c r="AH269" s="97">
        <v>110518.17187999481</v>
      </c>
      <c r="AI269" s="97">
        <v>2008.5119847134806</v>
      </c>
      <c r="AJ269" s="97">
        <v>165594.54107755926</v>
      </c>
      <c r="AK269" s="97">
        <v>168925.37200879131</v>
      </c>
      <c r="AL269" s="97">
        <v>3330.8309312320253</v>
      </c>
      <c r="AM269" s="97">
        <v>112526.68386470831</v>
      </c>
    </row>
    <row r="270" spans="1:39" x14ac:dyDescent="0.25">
      <c r="A270" s="97">
        <v>268</v>
      </c>
      <c r="B270" s="97">
        <v>1.8433333333333333E-3</v>
      </c>
      <c r="C270" s="97">
        <v>66.628777345022016</v>
      </c>
      <c r="D270" s="97">
        <v>437.46930371794696</v>
      </c>
      <c r="E270" s="97">
        <v>486.92969894149985</v>
      </c>
      <c r="F270" s="97">
        <v>678.07919553230124</v>
      </c>
      <c r="G270" s="97">
        <v>2575.7814091145001</v>
      </c>
      <c r="H270" s="97">
        <v>7788.0460152654296</v>
      </c>
      <c r="I270" s="97">
        <v>67</v>
      </c>
      <c r="J270" s="97">
        <v>45</v>
      </c>
      <c r="K270" s="97">
        <v>362.90474060588656</v>
      </c>
      <c r="L270" s="97">
        <v>2382.7494742504177</v>
      </c>
      <c r="M270" s="97">
        <v>2652.1437602347023</v>
      </c>
      <c r="N270" s="97">
        <v>3450.8580392631361</v>
      </c>
      <c r="O270" s="97">
        <v>41753.416641746051</v>
      </c>
      <c r="P270" s="97">
        <v>150249.99335825516</v>
      </c>
      <c r="Q270" s="97">
        <v>11332.750006888302</v>
      </c>
      <c r="R270" s="97">
        <v>212184.81602124366</v>
      </c>
      <c r="S270" s="97">
        <v>66801093.677795239</v>
      </c>
      <c r="T270" s="97">
        <v>39484377.743062161</v>
      </c>
      <c r="U270" s="45">
        <v>0</v>
      </c>
      <c r="V270">
        <v>0</v>
      </c>
      <c r="W270">
        <v>1.8433333333333333E-3</v>
      </c>
      <c r="X270" s="97">
        <v>7788.0460152654296</v>
      </c>
      <c r="Y270" s="97">
        <v>8.5558554771518995</v>
      </c>
      <c r="Z270" s="97">
        <v>3345.4487935611287</v>
      </c>
      <c r="AA270" s="97">
        <v>97.793935844647422</v>
      </c>
      <c r="AB270" s="97">
        <v>6.5124008925755428</v>
      </c>
      <c r="AC270" s="97">
        <v>452.48499433098459</v>
      </c>
      <c r="AD270" s="97">
        <v>142.38017472062694</v>
      </c>
      <c r="AE270" s="97">
        <v>2091.1020544361786</v>
      </c>
      <c r="AF270" s="97">
        <v>3683.5239278022141</v>
      </c>
      <c r="AG270" s="97">
        <v>1378.9285826502553</v>
      </c>
      <c r="AH270" s="97">
        <v>110518.17187999481</v>
      </c>
      <c r="AI270" s="97">
        <v>2008.5119847134806</v>
      </c>
      <c r="AJ270" s="97">
        <v>165594.54107755926</v>
      </c>
      <c r="AK270" s="97">
        <v>168925.37200879131</v>
      </c>
      <c r="AL270" s="97">
        <v>3330.8309312320253</v>
      </c>
      <c r="AM270" s="97">
        <v>112526.68386470831</v>
      </c>
    </row>
    <row r="271" spans="1:39" x14ac:dyDescent="0.25">
      <c r="A271" s="97">
        <v>269</v>
      </c>
      <c r="B271" s="97">
        <v>1.8433333333333333E-3</v>
      </c>
      <c r="C271" s="97">
        <v>65.818642572735413</v>
      </c>
      <c r="D271" s="97">
        <v>434.12376373635362</v>
      </c>
      <c r="E271" s="97">
        <v>484.09895469699882</v>
      </c>
      <c r="F271" s="97">
        <v>675.057402065867</v>
      </c>
      <c r="G271" s="97">
        <v>2566.4155779697862</v>
      </c>
      <c r="H271" s="97">
        <v>7794.977507205339</v>
      </c>
      <c r="I271" s="97">
        <v>67</v>
      </c>
      <c r="J271" s="97">
        <v>45</v>
      </c>
      <c r="K271" s="97">
        <v>358.49220654616551</v>
      </c>
      <c r="L271" s="97">
        <v>2364.5274331506726</v>
      </c>
      <c r="M271" s="97">
        <v>2636.7256399163202</v>
      </c>
      <c r="N271" s="97">
        <v>3435.479628680208</v>
      </c>
      <c r="O271" s="97">
        <v>41601.596518890234</v>
      </c>
      <c r="P271" s="97">
        <v>149761.27499564181</v>
      </c>
      <c r="Q271" s="97">
        <v>11294.994520085454</v>
      </c>
      <c r="R271" s="97">
        <v>211453.09094291087</v>
      </c>
      <c r="S271" s="97">
        <v>67012546.768738151</v>
      </c>
      <c r="T271" s="97">
        <v>39553473.854285128</v>
      </c>
      <c r="U271" s="45">
        <v>0</v>
      </c>
      <c r="V271">
        <v>0</v>
      </c>
      <c r="W271">
        <v>1.8433333333333333E-3</v>
      </c>
      <c r="X271" s="97">
        <v>7794.977507205339</v>
      </c>
      <c r="Y271" s="97">
        <v>8.5247642051595474</v>
      </c>
      <c r="Z271" s="97">
        <v>3353.9735577662882</v>
      </c>
      <c r="AA271" s="97">
        <v>97.452720040832602</v>
      </c>
      <c r="AB271" s="97">
        <v>6.489938332002068</v>
      </c>
      <c r="AC271" s="97">
        <v>451.03631709237629</v>
      </c>
      <c r="AD271" s="97">
        <v>141.90582976424969</v>
      </c>
      <c r="AE271" s="97">
        <v>2097.3464655533053</v>
      </c>
      <c r="AF271" s="97">
        <v>3696.0606635381441</v>
      </c>
      <c r="AG271" s="97">
        <v>1388.0301285226546</v>
      </c>
      <c r="AH271" s="97">
        <v>110518.17187999481</v>
      </c>
      <c r="AI271" s="97">
        <v>2008.5119847134806</v>
      </c>
      <c r="AJ271" s="97">
        <v>165594.54107755926</v>
      </c>
      <c r="AK271" s="97">
        <v>168925.37200879131</v>
      </c>
      <c r="AL271" s="97">
        <v>3330.8309312320253</v>
      </c>
      <c r="AM271" s="97">
        <v>112526.68386470831</v>
      </c>
    </row>
    <row r="272" spans="1:39" x14ac:dyDescent="0.25">
      <c r="A272" s="97">
        <v>270</v>
      </c>
      <c r="B272" s="97">
        <v>1.8433333333333333E-3</v>
      </c>
      <c r="C272" s="97">
        <v>65.018358174047435</v>
      </c>
      <c r="D272" s="97">
        <v>430.80070793352382</v>
      </c>
      <c r="E272" s="97">
        <v>481.27874944748004</v>
      </c>
      <c r="F272" s="97">
        <v>672.04207303810517</v>
      </c>
      <c r="G272" s="97">
        <v>2557.0781162119324</v>
      </c>
      <c r="H272" s="97">
        <v>7801.8781096308749</v>
      </c>
      <c r="I272" s="97">
        <v>67</v>
      </c>
      <c r="J272" s="97">
        <v>45</v>
      </c>
      <c r="K272" s="97">
        <v>354.13332418797836</v>
      </c>
      <c r="L272" s="97">
        <v>2346.4278558779265</v>
      </c>
      <c r="M272" s="97">
        <v>2621.3649219906079</v>
      </c>
      <c r="N272" s="97">
        <v>3420.1341167030901</v>
      </c>
      <c r="O272" s="97">
        <v>41450.236263795428</v>
      </c>
      <c r="P272" s="97">
        <v>149273.29647433528</v>
      </c>
      <c r="Q272" s="97">
        <v>11257.311699186032</v>
      </c>
      <c r="R272" s="97">
        <v>210722.90465607634</v>
      </c>
      <c r="S272" s="97">
        <v>67223269.673394233</v>
      </c>
      <c r="T272" s="97">
        <v>39622045.648161449</v>
      </c>
      <c r="U272" s="45">
        <v>0</v>
      </c>
      <c r="V272">
        <v>0</v>
      </c>
      <c r="W272">
        <v>1.8433333333333333E-3</v>
      </c>
      <c r="X272" s="97">
        <v>7801.8781096308749</v>
      </c>
      <c r="Y272" s="97">
        <v>8.4937672029250013</v>
      </c>
      <c r="Z272" s="97">
        <v>3362.4673249692132</v>
      </c>
      <c r="AA272" s="97">
        <v>97.111195250550338</v>
      </c>
      <c r="AB272" s="97">
        <v>6.4675406357082874</v>
      </c>
      <c r="AC272" s="97">
        <v>449.59065845155533</v>
      </c>
      <c r="AD272" s="97">
        <v>141.43239775345225</v>
      </c>
      <c r="AE272" s="97">
        <v>2103.5694058251302</v>
      </c>
      <c r="AF272" s="97">
        <v>3708.5559559100625</v>
      </c>
      <c r="AG272" s="97">
        <v>1397.0917878292894</v>
      </c>
      <c r="AH272" s="97">
        <v>110518.17187999481</v>
      </c>
      <c r="AI272" s="97">
        <v>2008.5119847134806</v>
      </c>
      <c r="AJ272" s="97">
        <v>165594.54107755926</v>
      </c>
      <c r="AK272" s="97">
        <v>168925.37200879131</v>
      </c>
      <c r="AL272" s="97">
        <v>3330.8309312320253</v>
      </c>
      <c r="AM272" s="97">
        <v>112526.68386470831</v>
      </c>
    </row>
    <row r="273" spans="1:39" x14ac:dyDescent="0.25">
      <c r="A273" s="97">
        <v>271</v>
      </c>
      <c r="B273" s="97">
        <v>1.8433333333333333E-3</v>
      </c>
      <c r="C273" s="97">
        <v>64.227804378935417</v>
      </c>
      <c r="D273" s="97">
        <v>427.50003064924698</v>
      </c>
      <c r="E273" s="97">
        <v>478.46911791920672</v>
      </c>
      <c r="F273" s="97">
        <v>669.03324212555299</v>
      </c>
      <c r="G273" s="97">
        <v>2547.7689104250067</v>
      </c>
      <c r="H273" s="97">
        <v>7808.7478886231156</v>
      </c>
      <c r="I273" s="97">
        <v>67</v>
      </c>
      <c r="J273" s="97">
        <v>45</v>
      </c>
      <c r="K273" s="97">
        <v>349.82744118393487</v>
      </c>
      <c r="L273" s="97">
        <v>2328.4501669362317</v>
      </c>
      <c r="M273" s="97">
        <v>2606.061795599946</v>
      </c>
      <c r="N273" s="97">
        <v>3404.8216747172933</v>
      </c>
      <c r="O273" s="97">
        <v>41299.334037989363</v>
      </c>
      <c r="P273" s="97">
        <v>148786.07102011328</v>
      </c>
      <c r="Q273" s="97">
        <v>11219.702028601738</v>
      </c>
      <c r="R273" s="97">
        <v>209994.26816514178</v>
      </c>
      <c r="S273" s="97">
        <v>67433263.941559374</v>
      </c>
      <c r="T273" s="97">
        <v>39690096.788451366</v>
      </c>
      <c r="U273" s="45">
        <v>0</v>
      </c>
      <c r="V273">
        <v>0</v>
      </c>
      <c r="W273">
        <v>1.8433333333333333E-3</v>
      </c>
      <c r="X273" s="97">
        <v>7808.7478886231156</v>
      </c>
      <c r="Y273" s="97">
        <v>8.4628640915512126</v>
      </c>
      <c r="Z273" s="97">
        <v>3370.9301890607644</v>
      </c>
      <c r="AA273" s="97">
        <v>96.76939828304495</v>
      </c>
      <c r="AB273" s="97">
        <v>6.4452075282932118</v>
      </c>
      <c r="AC273" s="97">
        <v>448.14803003766093</v>
      </c>
      <c r="AD273" s="97">
        <v>140.95988477419107</v>
      </c>
      <c r="AE273" s="97">
        <v>2109.770924418458</v>
      </c>
      <c r="AF273" s="97">
        <v>3721.0098709188233</v>
      </c>
      <c r="AG273" s="97">
        <v>1406.1137104883298</v>
      </c>
      <c r="AH273" s="97">
        <v>110518.17187999481</v>
      </c>
      <c r="AI273" s="97">
        <v>2008.5119847134806</v>
      </c>
      <c r="AJ273" s="97">
        <v>165594.54107755926</v>
      </c>
      <c r="AK273" s="97">
        <v>168925.37200879131</v>
      </c>
      <c r="AL273" s="97">
        <v>3330.8309312320253</v>
      </c>
      <c r="AM273" s="97">
        <v>112526.68386470831</v>
      </c>
    </row>
    <row r="274" spans="1:39" x14ac:dyDescent="0.25">
      <c r="A274" s="97">
        <v>272</v>
      </c>
      <c r="B274" s="97">
        <v>1.8433333333333333E-3</v>
      </c>
      <c r="C274" s="97">
        <v>63.446862873652265</v>
      </c>
      <c r="D274" s="97">
        <v>424.22162596185251</v>
      </c>
      <c r="E274" s="97">
        <v>475.6700936271896</v>
      </c>
      <c r="F274" s="97">
        <v>666.03094296638881</v>
      </c>
      <c r="G274" s="97">
        <v>2538.4878482549243</v>
      </c>
      <c r="H274" s="97">
        <v>7815.5869106073897</v>
      </c>
      <c r="I274" s="97">
        <v>67</v>
      </c>
      <c r="J274" s="97">
        <v>45</v>
      </c>
      <c r="K274" s="97">
        <v>345.57391311849267</v>
      </c>
      <c r="L274" s="97">
        <v>2310.5937894055564</v>
      </c>
      <c r="M274" s="97">
        <v>2590.8164432894259</v>
      </c>
      <c r="N274" s="97">
        <v>3389.5424739131136</v>
      </c>
      <c r="O274" s="97">
        <v>41148.888020212326</v>
      </c>
      <c r="P274" s="97">
        <v>148299.61145636431</v>
      </c>
      <c r="Q274" s="97">
        <v>11182.165981844975</v>
      </c>
      <c r="R274" s="97">
        <v>209267.19207814819</v>
      </c>
      <c r="S274" s="97">
        <v>67642531.133637518</v>
      </c>
      <c r="T274" s="97">
        <v>39757630.918877274</v>
      </c>
      <c r="U274" s="45">
        <v>0</v>
      </c>
      <c r="V274">
        <v>0</v>
      </c>
      <c r="W274">
        <v>1.8433333333333333E-3</v>
      </c>
      <c r="X274" s="97">
        <v>7815.5869106073897</v>
      </c>
      <c r="Y274" s="97">
        <v>8.4320544956786616</v>
      </c>
      <c r="Z274" s="97">
        <v>3379.362243556443</v>
      </c>
      <c r="AA274" s="97">
        <v>96.427364950694297</v>
      </c>
      <c r="AB274" s="97">
        <v>6.4229387369312496</v>
      </c>
      <c r="AC274" s="97">
        <v>446.70844300297961</v>
      </c>
      <c r="AD274" s="97">
        <v>140.4882967754881</v>
      </c>
      <c r="AE274" s="97">
        <v>2115.9510706503479</v>
      </c>
      <c r="AF274" s="97">
        <v>3733.4224755668934</v>
      </c>
      <c r="AG274" s="97">
        <v>1415.096046019936</v>
      </c>
      <c r="AH274" s="97">
        <v>110518.17187999481</v>
      </c>
      <c r="AI274" s="97">
        <v>2008.5119847134806</v>
      </c>
      <c r="AJ274" s="97">
        <v>165594.54107755926</v>
      </c>
      <c r="AK274" s="97">
        <v>168925.37200879131</v>
      </c>
      <c r="AL274" s="97">
        <v>3330.8309312320253</v>
      </c>
      <c r="AM274" s="97">
        <v>112526.68386470831</v>
      </c>
    </row>
    <row r="275" spans="1:39" x14ac:dyDescent="0.25">
      <c r="A275" s="97">
        <v>273</v>
      </c>
      <c r="B275" s="97">
        <v>1.8433333333333333E-3</v>
      </c>
      <c r="C275" s="97">
        <v>62.675416783019685</v>
      </c>
      <c r="D275" s="97">
        <v>420.96538770564257</v>
      </c>
      <c r="E275" s="97">
        <v>472.8817088883261</v>
      </c>
      <c r="F275" s="97">
        <v>663.03520914805983</v>
      </c>
      <c r="G275" s="97">
        <v>2529.2348184023385</v>
      </c>
      <c r="H275" s="97">
        <v>7822.3952423528835</v>
      </c>
      <c r="I275" s="97">
        <v>67</v>
      </c>
      <c r="J275" s="97">
        <v>45</v>
      </c>
      <c r="K275" s="97">
        <v>341.37210341151388</v>
      </c>
      <c r="L275" s="97">
        <v>2292.8581450367333</v>
      </c>
      <c r="M275" s="97">
        <v>2575.6290410784159</v>
      </c>
      <c r="N275" s="97">
        <v>3374.2966852226677</v>
      </c>
      <c r="O275" s="97">
        <v>40998.896406301908</v>
      </c>
      <c r="P275" s="97">
        <v>147813.93021394467</v>
      </c>
      <c r="Q275" s="97">
        <v>11144.704021456046</v>
      </c>
      <c r="R275" s="97">
        <v>208541.68661645195</v>
      </c>
      <c r="S275" s="97">
        <v>67851072.820253968</v>
      </c>
      <c r="T275" s="97">
        <v>39824651.663082898</v>
      </c>
      <c r="U275" s="45">
        <v>0</v>
      </c>
      <c r="V275">
        <v>0</v>
      </c>
      <c r="W275">
        <v>1.8433333333333333E-3</v>
      </c>
      <c r="X275" s="97">
        <v>7822.3952423528835</v>
      </c>
      <c r="Y275" s="97">
        <v>8.401338043462097</v>
      </c>
      <c r="Z275" s="97">
        <v>3387.7635815999051</v>
      </c>
      <c r="AA275" s="97">
        <v>96.085130094180542</v>
      </c>
      <c r="AB275" s="97">
        <v>6.4007339913605739</v>
      </c>
      <c r="AC275" s="97">
        <v>445.27190803387481</v>
      </c>
      <c r="AD275" s="97">
        <v>140.01763956851619</v>
      </c>
      <c r="AE275" s="97">
        <v>2122.1098939807375</v>
      </c>
      <c r="AF275" s="97">
        <v>3745.7938378308963</v>
      </c>
      <c r="AG275" s="97">
        <v>1424.0389435451443</v>
      </c>
      <c r="AH275" s="97">
        <v>110518.17187999481</v>
      </c>
      <c r="AI275" s="97">
        <v>2008.5119847134806</v>
      </c>
      <c r="AJ275" s="97">
        <v>165594.54107755926</v>
      </c>
      <c r="AK275" s="97">
        <v>168925.37200879131</v>
      </c>
      <c r="AL275" s="97">
        <v>3330.8309312320253</v>
      </c>
      <c r="AM275" s="97">
        <v>112526.68386470831</v>
      </c>
    </row>
    <row r="276" spans="1:39" x14ac:dyDescent="0.25">
      <c r="A276" s="97">
        <v>274</v>
      </c>
      <c r="B276" s="97">
        <v>1.8433333333333333E-3</v>
      </c>
      <c r="C276" s="97">
        <v>61.913350652936728</v>
      </c>
      <c r="D276" s="97">
        <v>417.73120948798123</v>
      </c>
      <c r="E276" s="97">
        <v>470.10399483450453</v>
      </c>
      <c r="F276" s="97">
        <v>660.04607419519914</v>
      </c>
      <c r="G276" s="97">
        <v>2520.0097106154481</v>
      </c>
      <c r="H276" s="97">
        <v>7829.1729509721226</v>
      </c>
      <c r="I276" s="97">
        <v>67</v>
      </c>
      <c r="J276" s="97">
        <v>45</v>
      </c>
      <c r="K276" s="97">
        <v>337.22138322299537</v>
      </c>
      <c r="L276" s="97">
        <v>2275.2426543445376</v>
      </c>
      <c r="M276" s="97">
        <v>2560.4997585319347</v>
      </c>
      <c r="N276" s="97">
        <v>3359.0844792584007</v>
      </c>
      <c r="O276" s="97">
        <v>40849.357409076416</v>
      </c>
      <c r="P276" s="97">
        <v>147329.03934080977</v>
      </c>
      <c r="Q276" s="97">
        <v>11107.316598949932</v>
      </c>
      <c r="R276" s="97">
        <v>207817.76162419398</v>
      </c>
      <c r="S276" s="97">
        <v>68058890.581878155</v>
      </c>
      <c r="T276" s="97">
        <v>39891162.62459787</v>
      </c>
      <c r="U276" s="45">
        <v>0</v>
      </c>
      <c r="V276">
        <v>0</v>
      </c>
      <c r="W276">
        <v>1.8433333333333333E-3</v>
      </c>
      <c r="X276" s="97">
        <v>7829.1729509721226</v>
      </c>
      <c r="Y276" s="97">
        <v>8.3707143665470163</v>
      </c>
      <c r="Z276" s="97">
        <v>3396.1342959664521</v>
      </c>
      <c r="AA276" s="97">
        <v>95.742727607037821</v>
      </c>
      <c r="AB276" s="97">
        <v>6.378593023871165</v>
      </c>
      <c r="AC276" s="97">
        <v>443.83843536151335</v>
      </c>
      <c r="AD276" s="97">
        <v>139.54791882593042</v>
      </c>
      <c r="AE276" s="97">
        <v>2128.2474440052692</v>
      </c>
      <c r="AF276" s="97">
        <v>3758.1240266346399</v>
      </c>
      <c r="AG276" s="97">
        <v>1432.9425517848078</v>
      </c>
      <c r="AH276" s="97">
        <v>110518.17187999481</v>
      </c>
      <c r="AI276" s="97">
        <v>2008.5119847134806</v>
      </c>
      <c r="AJ276" s="97">
        <v>165594.54107755926</v>
      </c>
      <c r="AK276" s="97">
        <v>168925.37200879131</v>
      </c>
      <c r="AL276" s="97">
        <v>3330.8309312320253</v>
      </c>
      <c r="AM276" s="97">
        <v>112526.68386470831</v>
      </c>
    </row>
    <row r="277" spans="1:39" x14ac:dyDescent="0.25">
      <c r="A277" s="97">
        <v>275</v>
      </c>
      <c r="B277" s="97">
        <v>1.8433333333333333E-3</v>
      </c>
      <c r="C277" s="97">
        <v>61.160550433101008</v>
      </c>
      <c r="D277" s="97">
        <v>414.5189847060459</v>
      </c>
      <c r="E277" s="97">
        <v>467.33698142567147</v>
      </c>
      <c r="F277" s="97">
        <v>657.06357155782644</v>
      </c>
      <c r="G277" s="97">
        <v>2510.8124156827266</v>
      </c>
      <c r="H277" s="97">
        <v>7835.9201039203281</v>
      </c>
      <c r="I277" s="97">
        <v>67</v>
      </c>
      <c r="J277" s="97">
        <v>45</v>
      </c>
      <c r="K277" s="97">
        <v>333.1211313589568</v>
      </c>
      <c r="L277" s="97">
        <v>2257.7467366989299</v>
      </c>
      <c r="M277" s="97">
        <v>2545.4287588318239</v>
      </c>
      <c r="N277" s="97">
        <v>3343.9060262530384</v>
      </c>
      <c r="O277" s="97">
        <v>40700.269258216998</v>
      </c>
      <c r="P277" s="97">
        <v>146844.95051142471</v>
      </c>
      <c r="Q277" s="97">
        <v>11070.004154781354</v>
      </c>
      <c r="R277" s="97">
        <v>207095.42657756581</v>
      </c>
      <c r="S277" s="97">
        <v>68265986.008455724</v>
      </c>
      <c r="T277" s="97">
        <v>39957167.386807531</v>
      </c>
      <c r="U277" s="45">
        <v>0</v>
      </c>
      <c r="V277">
        <v>0</v>
      </c>
      <c r="W277">
        <v>1.8433333333333333E-3</v>
      </c>
      <c r="X277" s="97">
        <v>7835.9201039203281</v>
      </c>
      <c r="Y277" s="97">
        <v>8.3401831000458504</v>
      </c>
      <c r="Z277" s="97">
        <v>3404.4744790664981</v>
      </c>
      <c r="AA277" s="97">
        <v>95.400190459591983</v>
      </c>
      <c r="AB277" s="97">
        <v>6.3565155692925233</v>
      </c>
      <c r="AC277" s="97">
        <v>442.40803477239086</v>
      </c>
      <c r="AD277" s="97">
        <v>139.07914008142916</v>
      </c>
      <c r="AE277" s="97">
        <v>2134.3637704483144</v>
      </c>
      <c r="AF277" s="97">
        <v>3770.4131118226273</v>
      </c>
      <c r="AG277" s="97">
        <v>1441.8070190585879</v>
      </c>
      <c r="AH277" s="97">
        <v>110518.17187999481</v>
      </c>
      <c r="AI277" s="97">
        <v>2008.5119847134806</v>
      </c>
      <c r="AJ277" s="97">
        <v>165594.54107755926</v>
      </c>
      <c r="AK277" s="97">
        <v>168925.37200879131</v>
      </c>
      <c r="AL277" s="97">
        <v>3330.8309312320253</v>
      </c>
      <c r="AM277" s="97">
        <v>112526.68386470831</v>
      </c>
    </row>
    <row r="278" spans="1:39" x14ac:dyDescent="0.25">
      <c r="A278" s="97">
        <v>276</v>
      </c>
      <c r="B278" s="97">
        <v>1.8433333333333333E-3</v>
      </c>
      <c r="C278" s="97">
        <v>60.416903459940009</v>
      </c>
      <c r="D278" s="97">
        <v>411.32860656324578</v>
      </c>
      <c r="E278" s="97">
        <v>464.58069746285997</v>
      </c>
      <c r="F278" s="97">
        <v>654.08773459983058</v>
      </c>
      <c r="G278" s="97">
        <v>2501.6428254255788</v>
      </c>
      <c r="H278" s="97">
        <v>7842.6367689946574</v>
      </c>
      <c r="I278" s="97">
        <v>68</v>
      </c>
      <c r="J278" s="97">
        <v>45</v>
      </c>
      <c r="K278" s="97">
        <v>329.07073417847323</v>
      </c>
      <c r="L278" s="97">
        <v>2240.3698104144787</v>
      </c>
      <c r="M278" s="97">
        <v>2530.4161988477103</v>
      </c>
      <c r="N278" s="97">
        <v>3328.761496000971</v>
      </c>
      <c r="O278" s="97">
        <v>40551.630200148633</v>
      </c>
      <c r="P278" s="97">
        <v>146361.67503595896</v>
      </c>
      <c r="Q278" s="97">
        <v>11032.767118326838</v>
      </c>
      <c r="R278" s="97">
        <v>206374.69059387606</v>
      </c>
      <c r="S278" s="97">
        <v>68472360.699049607</v>
      </c>
      <c r="T278" s="97">
        <v>40022669.512927793</v>
      </c>
      <c r="U278" s="45">
        <v>0</v>
      </c>
      <c r="V278">
        <v>0</v>
      </c>
      <c r="W278">
        <v>1.8433333333333333E-3</v>
      </c>
      <c r="X278" s="97">
        <v>7842.6367689946574</v>
      </c>
      <c r="Y278" s="97">
        <v>8.3097438825139118</v>
      </c>
      <c r="Z278" s="97">
        <v>3412.784222949012</v>
      </c>
      <c r="AA278" s="97">
        <v>95.074215894437557</v>
      </c>
      <c r="AB278" s="97">
        <v>6.3178361928506739</v>
      </c>
      <c r="AC278" s="97">
        <v>440.96405044653017</v>
      </c>
      <c r="AD278" s="97">
        <v>138.6113087295287</v>
      </c>
      <c r="AE278" s="97">
        <v>2140.4589231561913</v>
      </c>
      <c r="AF278" s="97">
        <v>3782.6611641340501</v>
      </c>
      <c r="AG278" s="97">
        <v>1450.6324932839968</v>
      </c>
      <c r="AH278" s="97">
        <v>112101.40562142456</v>
      </c>
      <c r="AI278" s="97">
        <v>2054.7761920031535</v>
      </c>
      <c r="AJ278" s="97">
        <v>170225.91255181842</v>
      </c>
      <c r="AK278" s="97">
        <v>173692.07835137326</v>
      </c>
      <c r="AL278" s="97">
        <v>3466.1657995548217</v>
      </c>
      <c r="AM278" s="97">
        <v>114156.18181342773</v>
      </c>
    </row>
    <row r="279" spans="1:39" x14ac:dyDescent="0.25">
      <c r="A279" s="97">
        <v>277</v>
      </c>
      <c r="B279" s="97">
        <v>2.0183333333333334E-3</v>
      </c>
      <c r="C279" s="97">
        <v>59.671725481644437</v>
      </c>
      <c r="D279" s="97">
        <v>408.08798557916475</v>
      </c>
      <c r="E279" s="97">
        <v>461.75386897912085</v>
      </c>
      <c r="F279" s="97">
        <v>651.00413123417343</v>
      </c>
      <c r="G279" s="97">
        <v>2492.0630451964748</v>
      </c>
      <c r="H279" s="97">
        <v>7849.3230143333203</v>
      </c>
      <c r="I279" s="97">
        <v>68</v>
      </c>
      <c r="J279" s="97">
        <v>45</v>
      </c>
      <c r="K279" s="97">
        <v>325.0119981233567</v>
      </c>
      <c r="L279" s="97">
        <v>2222.7192281211837</v>
      </c>
      <c r="M279" s="97">
        <v>2515.0194063729446</v>
      </c>
      <c r="N279" s="97">
        <v>3313.0685245392474</v>
      </c>
      <c r="O279" s="97">
        <v>40396.341962634862</v>
      </c>
      <c r="P279" s="97">
        <v>145853.57985274735</v>
      </c>
      <c r="Q279" s="97">
        <v>10993.675173636924</v>
      </c>
      <c r="R279" s="97">
        <v>205619.41614617588</v>
      </c>
      <c r="S279" s="97">
        <v>68677980.115195781</v>
      </c>
      <c r="T279" s="97">
        <v>40087661.120965667</v>
      </c>
      <c r="U279" s="45">
        <v>0</v>
      </c>
      <c r="V279">
        <v>0</v>
      </c>
      <c r="W279">
        <v>2.0183333333333334E-3</v>
      </c>
      <c r="X279" s="97">
        <v>7849.3230143333203</v>
      </c>
      <c r="Y279" s="97">
        <v>8.2793963559250834</v>
      </c>
      <c r="Z279" s="97">
        <v>3421.0636193049372</v>
      </c>
      <c r="AA279" s="97">
        <v>94.731069290636057</v>
      </c>
      <c r="AB279" s="97">
        <v>6.2959427291992158</v>
      </c>
      <c r="AC279" s="97">
        <v>439.44633790754011</v>
      </c>
      <c r="AD279" s="97">
        <v>138.12017304650951</v>
      </c>
      <c r="AE279" s="97">
        <v>2146.5329520905716</v>
      </c>
      <c r="AF279" s="97">
        <v>3794.8683676992932</v>
      </c>
      <c r="AG279" s="97">
        <v>1460.2532955854413</v>
      </c>
      <c r="AH279" s="97">
        <v>112101.40562142456</v>
      </c>
      <c r="AI279" s="97">
        <v>2054.7761920031535</v>
      </c>
      <c r="AJ279" s="97">
        <v>170225.91255181842</v>
      </c>
      <c r="AK279" s="97">
        <v>173692.07835137326</v>
      </c>
      <c r="AL279" s="97">
        <v>3466.1657995548217</v>
      </c>
      <c r="AM279" s="97">
        <v>114156.18181342773</v>
      </c>
    </row>
    <row r="280" spans="1:39" x14ac:dyDescent="0.25">
      <c r="A280" s="97">
        <v>278</v>
      </c>
      <c r="B280" s="97">
        <v>2.0183333333333334E-3</v>
      </c>
      <c r="C280" s="97">
        <v>58.935738477853292</v>
      </c>
      <c r="D280" s="97">
        <v>404.87011874418175</v>
      </c>
      <c r="E280" s="97">
        <v>458.93879928082055</v>
      </c>
      <c r="F280" s="97">
        <v>647.92831920232834</v>
      </c>
      <c r="G280" s="97">
        <v>2482.5140326650826</v>
      </c>
      <c r="H280" s="97">
        <v>7855.9777383216515</v>
      </c>
      <c r="I280" s="97">
        <v>68</v>
      </c>
      <c r="J280" s="97">
        <v>45</v>
      </c>
      <c r="K280" s="97">
        <v>321.00332224270755</v>
      </c>
      <c r="L280" s="97">
        <v>2205.19258009331</v>
      </c>
      <c r="M280" s="97">
        <v>2499.6866600828689</v>
      </c>
      <c r="N280" s="97">
        <v>3297.4152044738489</v>
      </c>
      <c r="O280" s="97">
        <v>40241.552469500988</v>
      </c>
      <c r="P280" s="97">
        <v>145346.46360619352</v>
      </c>
      <c r="Q280" s="97">
        <v>10954.672754082261</v>
      </c>
      <c r="R280" s="97">
        <v>204865.98659666951</v>
      </c>
      <c r="S280" s="97">
        <v>68882846.101792455</v>
      </c>
      <c r="T280" s="97">
        <v>40152145.900524341</v>
      </c>
      <c r="U280" s="45">
        <v>0</v>
      </c>
      <c r="V280">
        <v>0</v>
      </c>
      <c r="W280">
        <v>2.0183333333333334E-3</v>
      </c>
      <c r="X280" s="97">
        <v>7855.9777383216515</v>
      </c>
      <c r="Y280" s="97">
        <v>8.247691271284987</v>
      </c>
      <c r="Z280" s="97">
        <v>3429.3113105762222</v>
      </c>
      <c r="AA280" s="97">
        <v>94.387453130853345</v>
      </c>
      <c r="AB280" s="97">
        <v>6.2731044821797068</v>
      </c>
      <c r="AC280" s="97">
        <v>437.93268020400262</v>
      </c>
      <c r="AD280" s="97">
        <v>137.63016212176973</v>
      </c>
      <c r="AE280" s="97">
        <v>2152.5848437085992</v>
      </c>
      <c r="AF280" s="97">
        <v>3807.0326544780614</v>
      </c>
      <c r="AG280" s="97">
        <v>1469.8300416950449</v>
      </c>
      <c r="AH280" s="97">
        <v>112101.40562142456</v>
      </c>
      <c r="AI280" s="97">
        <v>2054.7761920031535</v>
      </c>
      <c r="AJ280" s="97">
        <v>170225.91255181842</v>
      </c>
      <c r="AK280" s="97">
        <v>173692.07835137326</v>
      </c>
      <c r="AL280" s="97">
        <v>3466.1657995548217</v>
      </c>
      <c r="AM280" s="97">
        <v>114156.18181342773</v>
      </c>
    </row>
    <row r="281" spans="1:39" x14ac:dyDescent="0.25">
      <c r="A281" s="97">
        <v>279</v>
      </c>
      <c r="B281" s="97">
        <v>2.0183333333333334E-3</v>
      </c>
      <c r="C281" s="97">
        <v>58.208829087712118</v>
      </c>
      <c r="D281" s="97">
        <v>401.67488712526443</v>
      </c>
      <c r="E281" s="97">
        <v>456.13550785386462</v>
      </c>
      <c r="F281" s="97">
        <v>644.86032773278509</v>
      </c>
      <c r="G281" s="97">
        <v>2472.9956674205278</v>
      </c>
      <c r="H281" s="97">
        <v>7862.6010206045776</v>
      </c>
      <c r="I281" s="97">
        <v>68</v>
      </c>
      <c r="J281" s="97">
        <v>45</v>
      </c>
      <c r="K281" s="97">
        <v>317.04408909773866</v>
      </c>
      <c r="L281" s="97">
        <v>2187.7892185422734</v>
      </c>
      <c r="M281" s="97">
        <v>2484.4180661107157</v>
      </c>
      <c r="N281" s="97">
        <v>3281.8016845534321</v>
      </c>
      <c r="O281" s="97">
        <v>40087.259768886754</v>
      </c>
      <c r="P281" s="97">
        <v>144840.33761923481</v>
      </c>
      <c r="Q281" s="97">
        <v>10915.760164823361</v>
      </c>
      <c r="R281" s="97">
        <v>204114.41061124907</v>
      </c>
      <c r="S281" s="97">
        <v>69086960.512403697</v>
      </c>
      <c r="T281" s="97">
        <v>40216127.519684479</v>
      </c>
      <c r="U281" s="45">
        <v>0</v>
      </c>
      <c r="V281">
        <v>0</v>
      </c>
      <c r="W281">
        <v>2.0183333333333334E-3</v>
      </c>
      <c r="X281" s="97">
        <v>7862.6010206045776</v>
      </c>
      <c r="Y281" s="97">
        <v>8.2160880149161883</v>
      </c>
      <c r="Z281" s="97">
        <v>3437.5273985911385</v>
      </c>
      <c r="AA281" s="97">
        <v>94.043411273996796</v>
      </c>
      <c r="AB281" s="97">
        <v>6.2503356952216222</v>
      </c>
      <c r="AC281" s="97">
        <v>436.42307494638874</v>
      </c>
      <c r="AD281" s="97">
        <v>137.14127978922497</v>
      </c>
      <c r="AE281" s="97">
        <v>2158.6146551170673</v>
      </c>
      <c r="AF281" s="97">
        <v>3819.1541076169651</v>
      </c>
      <c r="AG281" s="97">
        <v>1479.3629071532689</v>
      </c>
      <c r="AH281" s="97">
        <v>112101.40562142456</v>
      </c>
      <c r="AI281" s="97">
        <v>2054.7761920031535</v>
      </c>
      <c r="AJ281" s="97">
        <v>170225.91255181842</v>
      </c>
      <c r="AK281" s="97">
        <v>173692.07835137326</v>
      </c>
      <c r="AL281" s="97">
        <v>3466.1657995548217</v>
      </c>
      <c r="AM281" s="97">
        <v>114156.18181342773</v>
      </c>
    </row>
    <row r="282" spans="1:39" x14ac:dyDescent="0.25">
      <c r="A282" s="97">
        <v>280</v>
      </c>
      <c r="B282" s="97">
        <v>2.0183333333333334E-3</v>
      </c>
      <c r="C282" s="97">
        <v>57.490885348551529</v>
      </c>
      <c r="D282" s="97">
        <v>398.50217173720506</v>
      </c>
      <c r="E282" s="97">
        <v>453.34401306118917</v>
      </c>
      <c r="F282" s="97">
        <v>641.80018590273721</v>
      </c>
      <c r="G282" s="97">
        <v>2463.5078301336457</v>
      </c>
      <c r="H282" s="97">
        <v>7869.1929411258052</v>
      </c>
      <c r="I282" s="97">
        <v>68</v>
      </c>
      <c r="J282" s="97">
        <v>45</v>
      </c>
      <c r="K282" s="97">
        <v>313.13368886511063</v>
      </c>
      <c r="L282" s="97">
        <v>2170.5084953953101</v>
      </c>
      <c r="M282" s="97">
        <v>2469.2137244732767</v>
      </c>
      <c r="N282" s="97">
        <v>3266.2281127566798</v>
      </c>
      <c r="O282" s="97">
        <v>39933.4619264664</v>
      </c>
      <c r="P282" s="97">
        <v>144335.21282450453</v>
      </c>
      <c r="Q282" s="97">
        <v>10876.937704627189</v>
      </c>
      <c r="R282" s="97">
        <v>203364.6964770885</v>
      </c>
      <c r="S282" s="97">
        <v>69290325.208880782</v>
      </c>
      <c r="T282" s="97">
        <v>40279609.624988519</v>
      </c>
      <c r="U282" s="45">
        <v>0</v>
      </c>
      <c r="V282">
        <v>0</v>
      </c>
      <c r="W282">
        <v>2.0183333333333334E-3</v>
      </c>
      <c r="X282" s="97">
        <v>7869.1929411258052</v>
      </c>
      <c r="Y282" s="97">
        <v>8.1845861883088169</v>
      </c>
      <c r="Z282" s="97">
        <v>3445.7119847794474</v>
      </c>
      <c r="AA282" s="97">
        <v>93.698986390790196</v>
      </c>
      <c r="AB282" s="97">
        <v>6.2276360847093244</v>
      </c>
      <c r="AC282" s="97">
        <v>434.91751950389511</v>
      </c>
      <c r="AD282" s="97">
        <v>136.65352980246485</v>
      </c>
      <c r="AE282" s="97">
        <v>2164.622443524032</v>
      </c>
      <c r="AF282" s="97">
        <v>3831.232811141062</v>
      </c>
      <c r="AG282" s="97">
        <v>1488.8520669784577</v>
      </c>
      <c r="AH282" s="97">
        <v>112101.40562142456</v>
      </c>
      <c r="AI282" s="97">
        <v>2054.7761920031535</v>
      </c>
      <c r="AJ282" s="97">
        <v>170225.91255181842</v>
      </c>
      <c r="AK282" s="97">
        <v>173692.07835137326</v>
      </c>
      <c r="AL282" s="97">
        <v>3466.1657995548217</v>
      </c>
      <c r="AM282" s="97">
        <v>114156.18181342773</v>
      </c>
    </row>
    <row r="283" spans="1:39" x14ac:dyDescent="0.25">
      <c r="A283" s="97">
        <v>281</v>
      </c>
      <c r="B283" s="97">
        <v>2.0183333333333334E-3</v>
      </c>
      <c r="C283" s="97">
        <v>56.781796678642088</v>
      </c>
      <c r="D283" s="97">
        <v>395.35185355753373</v>
      </c>
      <c r="E283" s="97">
        <v>450.56433215654152</v>
      </c>
      <c r="F283" s="97">
        <v>638.74792262803464</v>
      </c>
      <c r="G283" s="97">
        <v>2454.0504025483997</v>
      </c>
      <c r="H283" s="97">
        <v>7875.7535801262757</v>
      </c>
      <c r="I283" s="97">
        <v>68</v>
      </c>
      <c r="J283" s="97">
        <v>45</v>
      </c>
      <c r="K283" s="97">
        <v>309.27151924300387</v>
      </c>
      <c r="L283" s="97">
        <v>2153.3497623767003</v>
      </c>
      <c r="M283" s="97">
        <v>2454.0737291459627</v>
      </c>
      <c r="N283" s="97">
        <v>3250.6946362411727</v>
      </c>
      <c r="O283" s="97">
        <v>39780.157025309563</v>
      </c>
      <c r="P283" s="97">
        <v>143831.09977441604</v>
      </c>
      <c r="Q283" s="97">
        <v>10838.205665605341</v>
      </c>
      <c r="R283" s="97">
        <v>202616.85211233777</v>
      </c>
      <c r="S283" s="97">
        <v>69492942.06099312</v>
      </c>
      <c r="T283" s="97">
        <v>40342595.84143009</v>
      </c>
      <c r="U283" s="45">
        <v>0</v>
      </c>
      <c r="V283">
        <v>0</v>
      </c>
      <c r="W283">
        <v>2.0183333333333334E-3</v>
      </c>
      <c r="X283" s="97">
        <v>7875.7535801262757</v>
      </c>
      <c r="Y283" s="97">
        <v>8.1531853965330132</v>
      </c>
      <c r="Z283" s="97">
        <v>3453.8651701759804</v>
      </c>
      <c r="AA283" s="97">
        <v>93.354219993805899</v>
      </c>
      <c r="AB283" s="97">
        <v>6.2050053696515315</v>
      </c>
      <c r="AC283" s="97">
        <v>433.41601101134353</v>
      </c>
      <c r="AD283" s="97">
        <v>136.16691583146354</v>
      </c>
      <c r="AE283" s="97">
        <v>2170.6082662317181</v>
      </c>
      <c r="AF283" s="97">
        <v>3843.2688499281144</v>
      </c>
      <c r="AG283" s="97">
        <v>1498.2976956661198</v>
      </c>
      <c r="AH283" s="97">
        <v>112101.40562142456</v>
      </c>
      <c r="AI283" s="97">
        <v>2054.7761920031535</v>
      </c>
      <c r="AJ283" s="97">
        <v>170225.91255181842</v>
      </c>
      <c r="AK283" s="97">
        <v>173692.07835137326</v>
      </c>
      <c r="AL283" s="97">
        <v>3466.1657995548217</v>
      </c>
      <c r="AM283" s="97">
        <v>114156.18181342773</v>
      </c>
    </row>
    <row r="284" spans="1:39" x14ac:dyDescent="0.25">
      <c r="A284" s="97">
        <v>282</v>
      </c>
      <c r="B284" s="97">
        <v>2.0183333333333334E-3</v>
      </c>
      <c r="C284" s="97">
        <v>56.081453860161886</v>
      </c>
      <c r="D284" s="97">
        <v>392.22381354111349</v>
      </c>
      <c r="E284" s="97">
        <v>447.79648129819776</v>
      </c>
      <c r="F284" s="97">
        <v>635.70356665340546</v>
      </c>
      <c r="G284" s="97">
        <v>2444.6232674732551</v>
      </c>
      <c r="H284" s="97">
        <v>7882.2830181425152</v>
      </c>
      <c r="I284" s="97">
        <v>68</v>
      </c>
      <c r="J284" s="97">
        <v>45</v>
      </c>
      <c r="K284" s="97">
        <v>305.45698535834839</v>
      </c>
      <c r="L284" s="97">
        <v>2136.3123710872646</v>
      </c>
      <c r="M284" s="97">
        <v>2438.998168137517</v>
      </c>
      <c r="N284" s="97">
        <v>3235.2014012936224</v>
      </c>
      <c r="O284" s="97">
        <v>39627.343165741469</v>
      </c>
      <c r="P284" s="97">
        <v>143328.00865100481</v>
      </c>
      <c r="Q284" s="97">
        <v>10799.564332980997</v>
      </c>
      <c r="R284" s="97">
        <v>201870.88507560402</v>
      </c>
      <c r="S284" s="97">
        <v>69694812.946068719</v>
      </c>
      <c r="T284" s="97">
        <v>40405089.772448346</v>
      </c>
      <c r="U284" s="45">
        <v>0</v>
      </c>
      <c r="V284">
        <v>0</v>
      </c>
      <c r="W284">
        <v>2.0183333333333334E-3</v>
      </c>
      <c r="X284" s="97">
        <v>7882.2830181425152</v>
      </c>
      <c r="Y284" s="97">
        <v>8.1218852482105248</v>
      </c>
      <c r="Z284" s="97">
        <v>3461.9870554241911</v>
      </c>
      <c r="AA284" s="97">
        <v>93.009152466749995</v>
      </c>
      <c r="AB284" s="97">
        <v>6.1824432716650497</v>
      </c>
      <c r="AC284" s="97">
        <v>431.91854637594213</v>
      </c>
      <c r="AD284" s="97">
        <v>135.68144145965195</v>
      </c>
      <c r="AE284" s="97">
        <v>2176.5721806296315</v>
      </c>
      <c r="AF284" s="97">
        <v>3855.262309683259</v>
      </c>
      <c r="AG284" s="97">
        <v>1507.699967188262</v>
      </c>
      <c r="AH284" s="97">
        <v>112101.40562142456</v>
      </c>
      <c r="AI284" s="97">
        <v>2054.7761920031535</v>
      </c>
      <c r="AJ284" s="97">
        <v>170225.91255181842</v>
      </c>
      <c r="AK284" s="97">
        <v>173692.07835137326</v>
      </c>
      <c r="AL284" s="97">
        <v>3466.1657995548217</v>
      </c>
      <c r="AM284" s="97">
        <v>114156.18181342773</v>
      </c>
    </row>
    <row r="285" spans="1:39" x14ac:dyDescent="0.25">
      <c r="A285" s="97">
        <v>283</v>
      </c>
      <c r="B285" s="97">
        <v>2.0183333333333334E-3</v>
      </c>
      <c r="C285" s="97">
        <v>55.389749022374204</v>
      </c>
      <c r="D285" s="97">
        <v>389.11793263442303</v>
      </c>
      <c r="E285" s="97">
        <v>445.04047556261406</v>
      </c>
      <c r="F285" s="97">
        <v>632.66714654294265</v>
      </c>
      <c r="G285" s="97">
        <v>2435.2263087725087</v>
      </c>
      <c r="H285" s="97">
        <v>7888.7813360048858</v>
      </c>
      <c r="I285" s="97">
        <v>68</v>
      </c>
      <c r="J285" s="97">
        <v>45</v>
      </c>
      <c r="K285" s="97">
        <v>301.68949967519814</v>
      </c>
      <c r="L285" s="97">
        <v>2119.3956730821574</v>
      </c>
      <c r="M285" s="97">
        <v>2423.9871235643709</v>
      </c>
      <c r="N285" s="97">
        <v>3219.748553281459</v>
      </c>
      <c r="O285" s="97">
        <v>39475.018465202367</v>
      </c>
      <c r="P285" s="97">
        <v>142825.94927553457</v>
      </c>
      <c r="Q285" s="97">
        <v>10761.013984882922</v>
      </c>
      <c r="R285" s="97">
        <v>201126.80257522303</v>
      </c>
      <c r="S285" s="97">
        <v>69895939.748643935</v>
      </c>
      <c r="T285" s="97">
        <v>40467094.999927007</v>
      </c>
      <c r="U285" s="45">
        <v>0</v>
      </c>
      <c r="V285">
        <v>0</v>
      </c>
      <c r="W285">
        <v>2.0183333333333334E-3</v>
      </c>
      <c r="X285" s="97">
        <v>7888.7813360048858</v>
      </c>
      <c r="Y285" s="97">
        <v>8.0906853554861549</v>
      </c>
      <c r="Z285" s="97">
        <v>3470.0777407796772</v>
      </c>
      <c r="AA285" s="97">
        <v>92.663823093018678</v>
      </c>
      <c r="AB285" s="97">
        <v>6.1599495149582966</v>
      </c>
      <c r="AC285" s="97">
        <v>430.42512228391013</v>
      </c>
      <c r="AD285" s="97">
        <v>135.19711018132952</v>
      </c>
      <c r="AE285" s="97">
        <v>2182.514244187872</v>
      </c>
      <c r="AF285" s="97">
        <v>3867.2132769141017</v>
      </c>
      <c r="AG285" s="97">
        <v>1517.0590549927765</v>
      </c>
      <c r="AH285" s="97">
        <v>112101.40562142456</v>
      </c>
      <c r="AI285" s="97">
        <v>2054.7761920031535</v>
      </c>
      <c r="AJ285" s="97">
        <v>170225.91255181842</v>
      </c>
      <c r="AK285" s="97">
        <v>173692.07835137326</v>
      </c>
      <c r="AL285" s="97">
        <v>3466.1657995548217</v>
      </c>
      <c r="AM285" s="97">
        <v>114156.18181342773</v>
      </c>
    </row>
    <row r="286" spans="1:39" x14ac:dyDescent="0.25">
      <c r="A286" s="97">
        <v>284</v>
      </c>
      <c r="B286" s="97">
        <v>2.0183333333333334E-3</v>
      </c>
      <c r="C286" s="97">
        <v>54.706575625012654</v>
      </c>
      <c r="D286" s="97">
        <v>386.0340917895312</v>
      </c>
      <c r="E286" s="97">
        <v>442.29632895801183</v>
      </c>
      <c r="F286" s="97">
        <v>629.63869067085182</v>
      </c>
      <c r="G286" s="97">
        <v>2425.8594113575764</v>
      </c>
      <c r="H286" s="97">
        <v>7895.2486148357384</v>
      </c>
      <c r="I286" s="97">
        <v>68</v>
      </c>
      <c r="J286" s="97">
        <v>45</v>
      </c>
      <c r="K286" s="97">
        <v>297.96848190423555</v>
      </c>
      <c r="L286" s="97">
        <v>2102.5990199469798</v>
      </c>
      <c r="M286" s="97">
        <v>2409.0406717246374</v>
      </c>
      <c r="N286" s="97">
        <v>3204.3362366057431</v>
      </c>
      <c r="O286" s="97">
        <v>39323.181058106318</v>
      </c>
      <c r="P286" s="97">
        <v>142324.93111787247</v>
      </c>
      <c r="Q286" s="97">
        <v>10722.554892164784</v>
      </c>
      <c r="R286" s="97">
        <v>200384.61147832518</v>
      </c>
      <c r="S286" s="97">
        <v>70096324.360122263</v>
      </c>
      <c r="T286" s="97">
        <v>40528615.084198028</v>
      </c>
      <c r="U286" s="45">
        <v>0</v>
      </c>
      <c r="V286">
        <v>0</v>
      </c>
      <c r="W286">
        <v>2.0183333333333334E-3</v>
      </c>
      <c r="X286" s="97">
        <v>7895.2486148357384</v>
      </c>
      <c r="Y286" s="97">
        <v>8.059585333999074</v>
      </c>
      <c r="Z286" s="97">
        <v>3478.1373261136764</v>
      </c>
      <c r="AA286" s="97">
        <v>92.318270083543865</v>
      </c>
      <c r="AB286" s="97">
        <v>6.1375238263145846</v>
      </c>
      <c r="AC286" s="97">
        <v>428.9357352069685</v>
      </c>
      <c r="AD286" s="97">
        <v>134.71392539939424</v>
      </c>
      <c r="AE286" s="97">
        <v>2188.4345144506406</v>
      </c>
      <c r="AF286" s="97">
        <v>3879.121838906231</v>
      </c>
      <c r="AG286" s="97">
        <v>1526.3751320028778</v>
      </c>
      <c r="AH286" s="97">
        <v>112101.40562142456</v>
      </c>
      <c r="AI286" s="97">
        <v>2054.7761920031535</v>
      </c>
      <c r="AJ286" s="97">
        <v>170225.91255181842</v>
      </c>
      <c r="AK286" s="97">
        <v>173692.07835137326</v>
      </c>
      <c r="AL286" s="97">
        <v>3466.1657995548217</v>
      </c>
      <c r="AM286" s="97">
        <v>114156.18181342773</v>
      </c>
    </row>
    <row r="287" spans="1:39" x14ac:dyDescent="0.25">
      <c r="A287" s="97">
        <v>285</v>
      </c>
      <c r="B287" s="97">
        <v>2.0183333333333334E-3</v>
      </c>
      <c r="C287" s="97">
        <v>54.031828441871248</v>
      </c>
      <c r="D287" s="97">
        <v>382.97217197776922</v>
      </c>
      <c r="E287" s="97">
        <v>439.56405443789413</v>
      </c>
      <c r="F287" s="97">
        <v>626.61822721245653</v>
      </c>
      <c r="G287" s="97">
        <v>2416.5224611782442</v>
      </c>
      <c r="H287" s="97">
        <v>7901.6849360474725</v>
      </c>
      <c r="I287" s="97">
        <v>68</v>
      </c>
      <c r="J287" s="97">
        <v>45</v>
      </c>
      <c r="K287" s="97">
        <v>294.29335891339207</v>
      </c>
      <c r="L287" s="97">
        <v>2085.9217633722496</v>
      </c>
      <c r="M287" s="97">
        <v>2394.1588831717299</v>
      </c>
      <c r="N287" s="97">
        <v>3188.9645946553933</v>
      </c>
      <c r="O287" s="97">
        <v>39171.829095699337</v>
      </c>
      <c r="P287" s="97">
        <v>141824.9633056391</v>
      </c>
      <c r="Q287" s="97">
        <v>10684.1873182482</v>
      </c>
      <c r="R287" s="97">
        <v>199644.31831969941</v>
      </c>
      <c r="S287" s="97">
        <v>70295968.678441957</v>
      </c>
      <c r="T287" s="97">
        <v>40589653.564049669</v>
      </c>
      <c r="U287" s="45">
        <v>0</v>
      </c>
      <c r="V287">
        <v>0</v>
      </c>
      <c r="W287">
        <v>2.0183333333333334E-3</v>
      </c>
      <c r="X287" s="97">
        <v>7901.6849360474725</v>
      </c>
      <c r="Y287" s="97">
        <v>8.0285848028539775</v>
      </c>
      <c r="Z287" s="97">
        <v>3486.1659109165303</v>
      </c>
      <c r="AA287" s="97">
        <v>91.97253060394543</v>
      </c>
      <c r="AB287" s="97">
        <v>6.1151659350751908</v>
      </c>
      <c r="AC287" s="97">
        <v>427.45038140869877</v>
      </c>
      <c r="AD287" s="97">
        <v>134.2318904233708</v>
      </c>
      <c r="AE287" s="97">
        <v>2194.33304902994</v>
      </c>
      <c r="AF287" s="97">
        <v>3890.988083699156</v>
      </c>
      <c r="AG287" s="97">
        <v>1535.6483706165927</v>
      </c>
      <c r="AH287" s="97">
        <v>112101.40562142456</v>
      </c>
      <c r="AI287" s="97">
        <v>2054.7761920031535</v>
      </c>
      <c r="AJ287" s="97">
        <v>170225.91255181842</v>
      </c>
      <c r="AK287" s="97">
        <v>173692.07835137326</v>
      </c>
      <c r="AL287" s="97">
        <v>3466.1657995548217</v>
      </c>
      <c r="AM287" s="97">
        <v>114156.18181342773</v>
      </c>
    </row>
    <row r="288" spans="1:39" x14ac:dyDescent="0.25">
      <c r="A288" s="97">
        <v>286</v>
      </c>
      <c r="B288" s="97">
        <v>2.0183333333333334E-3</v>
      </c>
      <c r="C288" s="97">
        <v>53.365403544596866</v>
      </c>
      <c r="D288" s="97">
        <v>379.932054203105</v>
      </c>
      <c r="E288" s="97">
        <v>436.84366391449265</v>
      </c>
      <c r="F288" s="97">
        <v>623.60578413545636</v>
      </c>
      <c r="G288" s="97">
        <v>2407.2153452138837</v>
      </c>
      <c r="H288" s="97">
        <v>7908.0903813405012</v>
      </c>
      <c r="I288" s="97">
        <v>68</v>
      </c>
      <c r="J288" s="97">
        <v>45</v>
      </c>
      <c r="K288" s="97">
        <v>290.66356463957089</v>
      </c>
      <c r="L288" s="97">
        <v>2069.3632552262452</v>
      </c>
      <c r="M288" s="97">
        <v>2379.3418227876032</v>
      </c>
      <c r="N288" s="97">
        <v>3173.6337697626932</v>
      </c>
      <c r="O288" s="97">
        <v>39020.960745917058</v>
      </c>
      <c r="P288" s="97">
        <v>141326.05463313835</v>
      </c>
      <c r="Q288" s="97">
        <v>10645.911518988018</v>
      </c>
      <c r="R288" s="97">
        <v>198905.92931045953</v>
      </c>
      <c r="S288" s="97">
        <v>70494874.607752413</v>
      </c>
      <c r="T288" s="97">
        <v>40650213.956738859</v>
      </c>
      <c r="U288" s="45">
        <v>0</v>
      </c>
      <c r="V288">
        <v>0</v>
      </c>
      <c r="W288">
        <v>2.0183333333333334E-3</v>
      </c>
      <c r="X288" s="97">
        <v>7908.0903813405012</v>
      </c>
      <c r="Y288" s="97">
        <v>7.9976833845921327</v>
      </c>
      <c r="Z288" s="97">
        <v>3494.1635943011224</v>
      </c>
      <c r="AA288" s="97">
        <v>91.626640801007284</v>
      </c>
      <c r="AB288" s="97">
        <v>6.0928755731222424</v>
      </c>
      <c r="AC288" s="97">
        <v>425.96905695077209</v>
      </c>
      <c r="AD288" s="97">
        <v>133.75100846771804</v>
      </c>
      <c r="AE288" s="97">
        <v>2200.2099055994586</v>
      </c>
      <c r="AF288" s="97">
        <v>3902.8121000626684</v>
      </c>
      <c r="AG288" s="97">
        <v>1544.8789427062986</v>
      </c>
      <c r="AH288" s="97">
        <v>112101.40562142456</v>
      </c>
      <c r="AI288" s="97">
        <v>2054.7761920031535</v>
      </c>
      <c r="AJ288" s="97">
        <v>170225.91255181842</v>
      </c>
      <c r="AK288" s="97">
        <v>173692.07835137326</v>
      </c>
      <c r="AL288" s="97">
        <v>3466.1657995548217</v>
      </c>
      <c r="AM288" s="97">
        <v>114156.18181342773</v>
      </c>
    </row>
    <row r="289" spans="1:39" x14ac:dyDescent="0.25">
      <c r="A289" s="97">
        <v>287</v>
      </c>
      <c r="B289" s="97">
        <v>2.0183333333333334E-3</v>
      </c>
      <c r="C289" s="97">
        <v>52.707198286681624</v>
      </c>
      <c r="D289" s="97">
        <v>376.91361951522475</v>
      </c>
      <c r="E289" s="97">
        <v>434.13516827214346</v>
      </c>
      <c r="F289" s="97">
        <v>620.60138919143503</v>
      </c>
      <c r="G289" s="97">
        <v>2397.9379514646344</v>
      </c>
      <c r="H289" s="97">
        <v>7914.4650327011323</v>
      </c>
      <c r="I289" s="97">
        <v>68</v>
      </c>
      <c r="J289" s="97">
        <v>45</v>
      </c>
      <c r="K289" s="97">
        <v>287.0785400014592</v>
      </c>
      <c r="L289" s="97">
        <v>2052.9228476262574</v>
      </c>
      <c r="M289" s="97">
        <v>2364.5895498556079</v>
      </c>
      <c r="N289" s="97">
        <v>3158.3439031600778</v>
      </c>
      <c r="O289" s="97">
        <v>38870.574193241722</v>
      </c>
      <c r="P289" s="97">
        <v>140828.21357007234</v>
      </c>
      <c r="Q289" s="97">
        <v>10607.727742558391</v>
      </c>
      <c r="R289" s="97">
        <v>198169.45034651586</v>
      </c>
      <c r="S289" s="97">
        <v>70693044.058098927</v>
      </c>
      <c r="T289" s="97">
        <v>40710299.758007675</v>
      </c>
      <c r="U289" s="45">
        <v>0</v>
      </c>
      <c r="V289">
        <v>0</v>
      </c>
      <c r="W289">
        <v>2.0183333333333334E-3</v>
      </c>
      <c r="X289" s="97">
        <v>7914.4650327011323</v>
      </c>
      <c r="Y289" s="97">
        <v>7.9668807051623105</v>
      </c>
      <c r="Z289" s="97">
        <v>3502.1304750062845</v>
      </c>
      <c r="AA289" s="97">
        <v>91.280635828493601</v>
      </c>
      <c r="AB289" s="97">
        <v>6.0706524748613733</v>
      </c>
      <c r="AC289" s="97">
        <v>424.49175769905025</v>
      </c>
      <c r="AD289" s="97">
        <v>133.27128265039752</v>
      </c>
      <c r="AE289" s="97">
        <v>2206.0651418886368</v>
      </c>
      <c r="AF289" s="97">
        <v>3914.5939774736285</v>
      </c>
      <c r="AG289" s="97">
        <v>1554.06701961831</v>
      </c>
      <c r="AH289" s="97">
        <v>112101.40562142456</v>
      </c>
      <c r="AI289" s="97">
        <v>2054.7761920031535</v>
      </c>
      <c r="AJ289" s="97">
        <v>170225.91255181842</v>
      </c>
      <c r="AK289" s="97">
        <v>173692.07835137326</v>
      </c>
      <c r="AL289" s="97">
        <v>3466.1657995548217</v>
      </c>
      <c r="AM289" s="97">
        <v>114156.18181342773</v>
      </c>
    </row>
    <row r="290" spans="1:39" x14ac:dyDescent="0.25">
      <c r="A290" s="97">
        <v>288</v>
      </c>
      <c r="B290" s="97">
        <v>2.0183333333333334E-3</v>
      </c>
      <c r="C290" s="97">
        <v>52.057111287652688</v>
      </c>
      <c r="D290" s="97">
        <v>373.91674902232648</v>
      </c>
      <c r="E290" s="97">
        <v>431.43857738059086</v>
      </c>
      <c r="F290" s="97">
        <v>617.60506990761382</v>
      </c>
      <c r="G290" s="97">
        <v>2388.6901689425576</v>
      </c>
      <c r="H290" s="97">
        <v>7920.8089723993562</v>
      </c>
      <c r="I290" s="97">
        <v>69</v>
      </c>
      <c r="J290" s="97">
        <v>45</v>
      </c>
      <c r="K290" s="97">
        <v>283.53773281341495</v>
      </c>
      <c r="L290" s="97">
        <v>2036.5998930082715</v>
      </c>
      <c r="M290" s="97">
        <v>2349.9021181329513</v>
      </c>
      <c r="N290" s="97">
        <v>3143.0951349381644</v>
      </c>
      <c r="O290" s="97">
        <v>38720.667638558858</v>
      </c>
      <c r="P290" s="97">
        <v>140331.44827004627</v>
      </c>
      <c r="Q290" s="97">
        <v>10569.636229358282</v>
      </c>
      <c r="R290" s="97">
        <v>197434.8870168562</v>
      </c>
      <c r="S290" s="97">
        <v>70890478.94511579</v>
      </c>
      <c r="T290" s="97">
        <v>40769914.442103796</v>
      </c>
      <c r="U290" s="45">
        <v>0</v>
      </c>
      <c r="V290">
        <v>0</v>
      </c>
      <c r="W290">
        <v>2.0183333333333334E-3</v>
      </c>
      <c r="X290" s="97">
        <v>7920.8089723993562</v>
      </c>
      <c r="Y290" s="97">
        <v>7.9361763938915955</v>
      </c>
      <c r="Z290" s="97">
        <v>3510.0666514001759</v>
      </c>
      <c r="AA290" s="97">
        <v>90.952000334475102</v>
      </c>
      <c r="AB290" s="97">
        <v>6.0310459150509468</v>
      </c>
      <c r="AC290" s="97">
        <v>423.00102886740837</v>
      </c>
      <c r="AD290" s="97">
        <v>132.79271599168644</v>
      </c>
      <c r="AE290" s="97">
        <v>2211.8988156769092</v>
      </c>
      <c r="AF290" s="97">
        <v>3926.3338060931746</v>
      </c>
      <c r="AG290" s="97">
        <v>1563.2127721725128</v>
      </c>
      <c r="AH290" s="97">
        <v>113527.64413639309</v>
      </c>
      <c r="AI290" s="97">
        <v>2097.0118872842327</v>
      </c>
      <c r="AJ290" s="97">
        <v>174606.63803214917</v>
      </c>
      <c r="AK290" s="97">
        <v>178202.53177310756</v>
      </c>
      <c r="AL290" s="97">
        <v>3595.8937409583627</v>
      </c>
      <c r="AM290" s="97">
        <v>115624.65602367734</v>
      </c>
    </row>
    <row r="291" spans="1:39" x14ac:dyDescent="0.25">
      <c r="A291" s="97">
        <v>289</v>
      </c>
      <c r="B291" s="97">
        <v>2.2108333333333333E-3</v>
      </c>
      <c r="C291" s="97">
        <v>51.405021423534208</v>
      </c>
      <c r="D291" s="97">
        <v>370.86934492944346</v>
      </c>
      <c r="E291" s="97">
        <v>428.67084818207161</v>
      </c>
      <c r="F291" s="97">
        <v>614.49796460288997</v>
      </c>
      <c r="G291" s="97">
        <v>2379.012064805243</v>
      </c>
      <c r="H291" s="97">
        <v>7927.1222829865528</v>
      </c>
      <c r="I291" s="97">
        <v>69</v>
      </c>
      <c r="J291" s="97">
        <v>45</v>
      </c>
      <c r="K291" s="97">
        <v>279.98601668684961</v>
      </c>
      <c r="L291" s="97">
        <v>2020.0016987157019</v>
      </c>
      <c r="M291" s="97">
        <v>2334.8272197650167</v>
      </c>
      <c r="N291" s="97">
        <v>3127.2825581915408</v>
      </c>
      <c r="O291" s="97">
        <v>38563.78557049299</v>
      </c>
      <c r="P291" s="97">
        <v>139808.72060394852</v>
      </c>
      <c r="Q291" s="97">
        <v>10529.602556960974</v>
      </c>
      <c r="R291" s="97">
        <v>196664.20622476158</v>
      </c>
      <c r="S291" s="97">
        <v>71087143.151340544</v>
      </c>
      <c r="T291" s="97">
        <v>40829050.023922026</v>
      </c>
      <c r="U291" s="45">
        <v>0</v>
      </c>
      <c r="V291">
        <v>0</v>
      </c>
      <c r="W291">
        <v>2.2108333333333333E-3</v>
      </c>
      <c r="X291" s="97">
        <v>7927.1222829865528</v>
      </c>
      <c r="Y291" s="97">
        <v>7.9055700834561149</v>
      </c>
      <c r="Z291" s="97">
        <v>3517.972221483632</v>
      </c>
      <c r="AA291" s="97">
        <v>90.605318072109469</v>
      </c>
      <c r="AB291" s="97">
        <v>6.0090202872033069</v>
      </c>
      <c r="AC291" s="97">
        <v>421.43326165497359</v>
      </c>
      <c r="AD291" s="97">
        <v>132.28974881539008</v>
      </c>
      <c r="AE291" s="97">
        <v>2217.7109847881184</v>
      </c>
      <c r="AF291" s="97">
        <v>3938.0317945686133</v>
      </c>
      <c r="AG291" s="97">
        <v>1573.1846329457305</v>
      </c>
      <c r="AH291" s="97">
        <v>113527.64413639309</v>
      </c>
      <c r="AI291" s="97">
        <v>2097.0118872842327</v>
      </c>
      <c r="AJ291" s="97">
        <v>174606.63803214917</v>
      </c>
      <c r="AK291" s="97">
        <v>178202.53177310756</v>
      </c>
      <c r="AL291" s="97">
        <v>3595.8937409583627</v>
      </c>
      <c r="AM291" s="97">
        <v>115624.65602367734</v>
      </c>
    </row>
    <row r="292" spans="1:39" x14ac:dyDescent="0.25">
      <c r="A292" s="97">
        <v>290</v>
      </c>
      <c r="B292" s="97">
        <v>2.2108333333333333E-3</v>
      </c>
      <c r="C292" s="97">
        <v>50.7610999187497</v>
      </c>
      <c r="D292" s="97">
        <v>367.84442686785957</v>
      </c>
      <c r="E292" s="97">
        <v>425.91609007115358</v>
      </c>
      <c r="F292" s="97">
        <v>611.40016265735619</v>
      </c>
      <c r="G292" s="97">
        <v>2369.3669904736662</v>
      </c>
      <c r="H292" s="97">
        <v>7933.4038319808287</v>
      </c>
      <c r="I292" s="97">
        <v>69</v>
      </c>
      <c r="J292" s="97">
        <v>45</v>
      </c>
      <c r="K292" s="97">
        <v>276.47879089079004</v>
      </c>
      <c r="L292" s="97">
        <v>2003.5259783402751</v>
      </c>
      <c r="M292" s="97">
        <v>2319.8229705875497</v>
      </c>
      <c r="N292" s="97">
        <v>3111.517327790395</v>
      </c>
      <c r="O292" s="97">
        <v>38407.438915578132</v>
      </c>
      <c r="P292" s="97">
        <v>139287.24944649471</v>
      </c>
      <c r="Q292" s="97">
        <v>10489.676571394642</v>
      </c>
      <c r="R292" s="97">
        <v>195895.71000107648</v>
      </c>
      <c r="S292" s="97">
        <v>71283038.861341625</v>
      </c>
      <c r="T292" s="97">
        <v>40887710.107168041</v>
      </c>
      <c r="U292" s="45">
        <v>0</v>
      </c>
      <c r="V292">
        <v>0</v>
      </c>
      <c r="W292">
        <v>2.2108333333333333E-3</v>
      </c>
      <c r="X292" s="97">
        <v>7933.4038319808287</v>
      </c>
      <c r="Y292" s="97">
        <v>7.8735395876106038</v>
      </c>
      <c r="Z292" s="97">
        <v>3525.8457610712426</v>
      </c>
      <c r="AA292" s="97">
        <v>90.258166770757853</v>
      </c>
      <c r="AB292" s="97">
        <v>5.9860093708732176</v>
      </c>
      <c r="AC292" s="97">
        <v>419.87056534683535</v>
      </c>
      <c r="AD292" s="97">
        <v>131.78813457371245</v>
      </c>
      <c r="AE292" s="97">
        <v>2223.5005875531128</v>
      </c>
      <c r="AF292" s="97">
        <v>3949.6857780260075</v>
      </c>
      <c r="AG292" s="97">
        <v>1583.1085852939009</v>
      </c>
      <c r="AH292" s="97">
        <v>113527.64413639309</v>
      </c>
      <c r="AI292" s="97">
        <v>2097.0118872842327</v>
      </c>
      <c r="AJ292" s="97">
        <v>174606.63803214917</v>
      </c>
      <c r="AK292" s="97">
        <v>178202.53177310756</v>
      </c>
      <c r="AL292" s="97">
        <v>3595.8937409583627</v>
      </c>
      <c r="AM292" s="97">
        <v>115624.65602367734</v>
      </c>
    </row>
    <row r="293" spans="1:39" x14ac:dyDescent="0.25">
      <c r="A293" s="97">
        <v>291</v>
      </c>
      <c r="B293" s="97">
        <v>2.2108333333333333E-3</v>
      </c>
      <c r="C293" s="97">
        <v>50.125244452901498</v>
      </c>
      <c r="D293" s="97">
        <v>364.8418635456859</v>
      </c>
      <c r="E293" s="97">
        <v>423.17430276669114</v>
      </c>
      <c r="F293" s="97">
        <v>608.31168584638579</v>
      </c>
      <c r="G293" s="97">
        <v>2359.7548199264725</v>
      </c>
      <c r="H293" s="97">
        <v>7939.6537144834056</v>
      </c>
      <c r="I293" s="97">
        <v>69</v>
      </c>
      <c r="J293" s="97">
        <v>45</v>
      </c>
      <c r="K293" s="97">
        <v>273.01549812013678</v>
      </c>
      <c r="L293" s="97">
        <v>1987.1720167788358</v>
      </c>
      <c r="M293" s="97">
        <v>2304.8893690692444</v>
      </c>
      <c r="N293" s="97">
        <v>3095.7995545532317</v>
      </c>
      <c r="O293" s="97">
        <v>38251.625631008123</v>
      </c>
      <c r="P293" s="97">
        <v>138767.04300353487</v>
      </c>
      <c r="Q293" s="97">
        <v>10449.858381766702</v>
      </c>
      <c r="R293" s="97">
        <v>195129.40345483113</v>
      </c>
      <c r="S293" s="97">
        <v>71478168.264796451</v>
      </c>
      <c r="T293" s="97">
        <v>40945898.272699289</v>
      </c>
      <c r="U293" s="45">
        <v>0</v>
      </c>
      <c r="V293">
        <v>0</v>
      </c>
      <c r="W293">
        <v>2.2108333333333333E-3</v>
      </c>
      <c r="X293" s="97">
        <v>7939.6537144834056</v>
      </c>
      <c r="Y293" s="97">
        <v>7.8416184066722741</v>
      </c>
      <c r="Z293" s="97">
        <v>3533.6873794779149</v>
      </c>
      <c r="AA293" s="97">
        <v>89.910593408740581</v>
      </c>
      <c r="AB293" s="97">
        <v>5.9630723594658708</v>
      </c>
      <c r="AC293" s="97">
        <v>418.31292301796168</v>
      </c>
      <c r="AD293" s="97">
        <v>131.28787463743581</v>
      </c>
      <c r="AE293" s="97">
        <v>2229.2676896833009</v>
      </c>
      <c r="AF293" s="97">
        <v>3961.2958599753965</v>
      </c>
      <c r="AG293" s="97">
        <v>1592.9848324223276</v>
      </c>
      <c r="AH293" s="97">
        <v>113527.64413639309</v>
      </c>
      <c r="AI293" s="97">
        <v>2097.0118872842327</v>
      </c>
      <c r="AJ293" s="97">
        <v>174606.63803214917</v>
      </c>
      <c r="AK293" s="97">
        <v>178202.53177310756</v>
      </c>
      <c r="AL293" s="97">
        <v>3595.8937409583627</v>
      </c>
      <c r="AM293" s="97">
        <v>115624.65602367734</v>
      </c>
    </row>
    <row r="294" spans="1:39" x14ac:dyDescent="0.25">
      <c r="A294" s="97">
        <v>292</v>
      </c>
      <c r="B294" s="97">
        <v>2.2108333333333333E-3</v>
      </c>
      <c r="C294" s="97">
        <v>49.497353987301445</v>
      </c>
      <c r="D294" s="97">
        <v>361.86152387411488</v>
      </c>
      <c r="E294" s="97">
        <v>420.4454850228264</v>
      </c>
      <c r="F294" s="97">
        <v>605.23255567163812</v>
      </c>
      <c r="G294" s="97">
        <v>2350.1754282085681</v>
      </c>
      <c r="H294" s="97">
        <v>7945.8720258180965</v>
      </c>
      <c r="I294" s="97">
        <v>69</v>
      </c>
      <c r="J294" s="97">
        <v>45</v>
      </c>
      <c r="K294" s="97">
        <v>269.5955880508352</v>
      </c>
      <c r="L294" s="97">
        <v>1970.9391000343455</v>
      </c>
      <c r="M294" s="97">
        <v>2290.0264084243277</v>
      </c>
      <c r="N294" s="97">
        <v>3080.129347905578</v>
      </c>
      <c r="O294" s="97">
        <v>38096.343691260889</v>
      </c>
      <c r="P294" s="97">
        <v>138248.10913344781</v>
      </c>
      <c r="Q294" s="97">
        <v>10410.148094214574</v>
      </c>
      <c r="R294" s="97">
        <v>194365.29136333836</v>
      </c>
      <c r="S294" s="97">
        <v>71672533.556159794</v>
      </c>
      <c r="T294" s="97">
        <v>41003618.078552663</v>
      </c>
      <c r="U294" s="45">
        <v>0</v>
      </c>
      <c r="V294">
        <v>0</v>
      </c>
      <c r="W294">
        <v>2.2108333333333333E-3</v>
      </c>
      <c r="X294" s="97">
        <v>7945.8720258180965</v>
      </c>
      <c r="Y294" s="97">
        <v>7.809806123562903</v>
      </c>
      <c r="Z294" s="97">
        <v>3541.4971856014777</v>
      </c>
      <c r="AA294" s="97">
        <v>89.562643677861132</v>
      </c>
      <c r="AB294" s="97">
        <v>5.9402089637507736</v>
      </c>
      <c r="AC294" s="97">
        <v>416.76031775725102</v>
      </c>
      <c r="AD294" s="97">
        <v>130.78897034002856</v>
      </c>
      <c r="AE294" s="97">
        <v>2235.0123569179668</v>
      </c>
      <c r="AF294" s="97">
        <v>3972.8621446021907</v>
      </c>
      <c r="AG294" s="97">
        <v>1602.8135768582183</v>
      </c>
      <c r="AH294" s="97">
        <v>113527.64413639309</v>
      </c>
      <c r="AI294" s="97">
        <v>2097.0118872842327</v>
      </c>
      <c r="AJ294" s="97">
        <v>174606.63803214917</v>
      </c>
      <c r="AK294" s="97">
        <v>178202.53177310756</v>
      </c>
      <c r="AL294" s="97">
        <v>3595.8937409583627</v>
      </c>
      <c r="AM294" s="97">
        <v>115624.65602367734</v>
      </c>
    </row>
    <row r="295" spans="1:39" x14ac:dyDescent="0.25">
      <c r="A295" s="97">
        <v>293</v>
      </c>
      <c r="B295" s="97">
        <v>2.2108333333333333E-3</v>
      </c>
      <c r="C295" s="97">
        <v>48.87732874891563</v>
      </c>
      <c r="D295" s="97">
        <v>358.90327697869515</v>
      </c>
      <c r="E295" s="97">
        <v>417.72963464284192</v>
      </c>
      <c r="F295" s="97">
        <v>602.1627933542394</v>
      </c>
      <c r="G295" s="97">
        <v>2340.6286914211832</v>
      </c>
      <c r="H295" s="97">
        <v>7952.0588615285114</v>
      </c>
      <c r="I295" s="97">
        <v>69</v>
      </c>
      <c r="J295" s="97">
        <v>45</v>
      </c>
      <c r="K295" s="97">
        <v>266.21851725242709</v>
      </c>
      <c r="L295" s="97">
        <v>1954.8265152772929</v>
      </c>
      <c r="M295" s="97">
        <v>2275.234076688012</v>
      </c>
      <c r="N295" s="97">
        <v>3064.5068158452832</v>
      </c>
      <c r="O295" s="97">
        <v>37941.591087937384</v>
      </c>
      <c r="P295" s="97">
        <v>137730.45535670026</v>
      </c>
      <c r="Q295" s="97">
        <v>10370.54581155388</v>
      </c>
      <c r="R295" s="97">
        <v>193603.37818125455</v>
      </c>
      <c r="S295" s="97">
        <v>71866136.934341043</v>
      </c>
      <c r="T295" s="97">
        <v>41060873.059976272</v>
      </c>
      <c r="U295" s="45">
        <v>0</v>
      </c>
      <c r="V295">
        <v>0</v>
      </c>
      <c r="W295">
        <v>2.2108333333333333E-3</v>
      </c>
      <c r="X295" s="97">
        <v>7952.0588615285114</v>
      </c>
      <c r="Y295" s="97">
        <v>7.7781023247331467</v>
      </c>
      <c r="Z295" s="97">
        <v>3549.2752879262107</v>
      </c>
      <c r="AA295" s="97">
        <v>89.21436201606727</v>
      </c>
      <c r="AB295" s="97">
        <v>5.9174188970957307</v>
      </c>
      <c r="AC295" s="97">
        <v>415.21273266988095</v>
      </c>
      <c r="AD295" s="97">
        <v>130.29142297322545</v>
      </c>
      <c r="AE295" s="97">
        <v>2240.7346550180755</v>
      </c>
      <c r="AF295" s="97">
        <v>3984.38473674426</v>
      </c>
      <c r="AG295" s="97">
        <v>1612.5950204506896</v>
      </c>
      <c r="AH295" s="97">
        <v>113527.64413639309</v>
      </c>
      <c r="AI295" s="97">
        <v>2097.0118872842327</v>
      </c>
      <c r="AJ295" s="97">
        <v>174606.63803214917</v>
      </c>
      <c r="AK295" s="97">
        <v>178202.53177310756</v>
      </c>
      <c r="AL295" s="97">
        <v>3595.8937409583627</v>
      </c>
      <c r="AM295" s="97">
        <v>115624.65602367734</v>
      </c>
    </row>
    <row r="296" spans="1:39" x14ac:dyDescent="0.25">
      <c r="A296" s="97">
        <v>294</v>
      </c>
      <c r="B296" s="97">
        <v>2.2108333333333333E-3</v>
      </c>
      <c r="C296" s="97">
        <v>48.265070214510281</v>
      </c>
      <c r="D296" s="97">
        <v>355.96699221033271</v>
      </c>
      <c r="E296" s="97">
        <v>415.02674849291941</v>
      </c>
      <c r="F296" s="97">
        <v>599.10241982819491</v>
      </c>
      <c r="G296" s="97">
        <v>2331.1144867119328</v>
      </c>
      <c r="H296" s="97">
        <v>7958.2143173751865</v>
      </c>
      <c r="I296" s="97">
        <v>69</v>
      </c>
      <c r="J296" s="97">
        <v>45</v>
      </c>
      <c r="K296" s="97">
        <v>262.88374910169932</v>
      </c>
      <c r="L296" s="97">
        <v>1938.8335509056119</v>
      </c>
      <c r="M296" s="97">
        <v>2260.5123567914343</v>
      </c>
      <c r="N296" s="97">
        <v>3048.9320649089887</v>
      </c>
      <c r="O296" s="97">
        <v>37787.365829600436</v>
      </c>
      <c r="P296" s="97">
        <v>137214.0888651658</v>
      </c>
      <c r="Q296" s="97">
        <v>10331.05163295877</v>
      </c>
      <c r="R296" s="97">
        <v>192843.66804943274</v>
      </c>
      <c r="S296" s="97">
        <v>72058980.602390483</v>
      </c>
      <c r="T296" s="97">
        <v>41117666.729465179</v>
      </c>
      <c r="U296" s="45">
        <v>0</v>
      </c>
      <c r="V296">
        <v>0</v>
      </c>
      <c r="W296">
        <v>2.2108333333333333E-3</v>
      </c>
      <c r="X296" s="97">
        <v>7958.2143173751865</v>
      </c>
      <c r="Y296" s="97">
        <v>7.7465066001296536</v>
      </c>
      <c r="Z296" s="97">
        <v>3557.0217945263403</v>
      </c>
      <c r="AA296" s="97">
        <v>88.865791639294287</v>
      </c>
      <c r="AB296" s="97">
        <v>5.894701875446235</v>
      </c>
      <c r="AC296" s="97">
        <v>413.67015087959447</v>
      </c>
      <c r="AD296" s="97">
        <v>129.79523378301113</v>
      </c>
      <c r="AE296" s="97">
        <v>2246.4346497602728</v>
      </c>
      <c r="AF296" s="97">
        <v>3995.8637418693838</v>
      </c>
      <c r="AG296" s="97">
        <v>1622.3293643708246</v>
      </c>
      <c r="AH296" s="97">
        <v>113527.64413639309</v>
      </c>
      <c r="AI296" s="97">
        <v>2097.0118872842327</v>
      </c>
      <c r="AJ296" s="97">
        <v>174606.63803214917</v>
      </c>
      <c r="AK296" s="97">
        <v>178202.53177310756</v>
      </c>
      <c r="AL296" s="97">
        <v>3595.8937409583627</v>
      </c>
      <c r="AM296" s="97">
        <v>115624.65602367734</v>
      </c>
    </row>
    <row r="297" spans="1:39" x14ac:dyDescent="0.25">
      <c r="A297" s="97">
        <v>295</v>
      </c>
      <c r="B297" s="97">
        <v>2.2108333333333333E-3</v>
      </c>
      <c r="C297" s="97">
        <v>47.660481094996193</v>
      </c>
      <c r="D297" s="97">
        <v>353.05253915602304</v>
      </c>
      <c r="E297" s="97">
        <v>412.33682251580348</v>
      </c>
      <c r="F297" s="97">
        <v>596.05145573402899</v>
      </c>
      <c r="G297" s="97">
        <v>2321.6326922648768</v>
      </c>
      <c r="H297" s="97">
        <v>7964.3384893326511</v>
      </c>
      <c r="I297" s="97">
        <v>69</v>
      </c>
      <c r="J297" s="97">
        <v>45</v>
      </c>
      <c r="K297" s="97">
        <v>259.59075369741259</v>
      </c>
      <c r="L297" s="97">
        <v>1922.9594966031386</v>
      </c>
      <c r="M297" s="97">
        <v>2245.861226636076</v>
      </c>
      <c r="N297" s="97">
        <v>3033.4052001397622</v>
      </c>
      <c r="O297" s="97">
        <v>37633.665941613654</v>
      </c>
      <c r="P297" s="97">
        <v>136699.01653120891</v>
      </c>
      <c r="Q297" s="97">
        <v>10291.665653672393</v>
      </c>
      <c r="R297" s="97">
        <v>192086.16480357136</v>
      </c>
      <c r="S297" s="97">
        <v>72251066.767194048</v>
      </c>
      <c r="T297" s="97">
        <v>41174002.576800942</v>
      </c>
      <c r="U297" s="45">
        <v>0</v>
      </c>
      <c r="V297">
        <v>0</v>
      </c>
      <c r="W297">
        <v>2.2108333333333333E-3</v>
      </c>
      <c r="X297" s="97">
        <v>7964.3384893326511</v>
      </c>
      <c r="Y297" s="97">
        <v>7.7150185431621718</v>
      </c>
      <c r="Z297" s="97">
        <v>3564.7368130695027</v>
      </c>
      <c r="AA297" s="97">
        <v>88.516974572510804</v>
      </c>
      <c r="AB297" s="97">
        <v>5.8720576173047414</v>
      </c>
      <c r="AC297" s="97">
        <v>412.13255553092415</v>
      </c>
      <c r="AD297" s="97">
        <v>129.3004039659827</v>
      </c>
      <c r="AE297" s="97">
        <v>2252.1124069310704</v>
      </c>
      <c r="AF297" s="97">
        <v>4007.2992660530736</v>
      </c>
      <c r="AG297" s="97">
        <v>1632.0168091117785</v>
      </c>
      <c r="AH297" s="97">
        <v>113527.64413639309</v>
      </c>
      <c r="AI297" s="97">
        <v>2097.0118872842327</v>
      </c>
      <c r="AJ297" s="97">
        <v>174606.63803214917</v>
      </c>
      <c r="AK297" s="97">
        <v>178202.53177310756</v>
      </c>
      <c r="AL297" s="97">
        <v>3595.8937409583627</v>
      </c>
      <c r="AM297" s="97">
        <v>115624.65602367734</v>
      </c>
    </row>
    <row r="298" spans="1:39" x14ac:dyDescent="0.25">
      <c r="A298" s="97">
        <v>296</v>
      </c>
      <c r="B298" s="97">
        <v>2.2108333333333333E-3</v>
      </c>
      <c r="C298" s="97">
        <v>47.063465319969339</v>
      </c>
      <c r="D298" s="97">
        <v>350.15978764931896</v>
      </c>
      <c r="E298" s="97">
        <v>409.65985174436912</v>
      </c>
      <c r="F298" s="97">
        <v>593.00992141264919</v>
      </c>
      <c r="G298" s="97">
        <v>2312.1831872905809</v>
      </c>
      <c r="H298" s="97">
        <v>7970.4314735864273</v>
      </c>
      <c r="I298" s="97">
        <v>69</v>
      </c>
      <c r="J298" s="97">
        <v>45</v>
      </c>
      <c r="K298" s="97">
        <v>256.33900777609966</v>
      </c>
      <c r="L298" s="97">
        <v>1907.2036433966239</v>
      </c>
      <c r="M298" s="97">
        <v>2231.2806591676635</v>
      </c>
      <c r="N298" s="97">
        <v>3017.9263250558738</v>
      </c>
      <c r="O298" s="97">
        <v>37480.489465980318</v>
      </c>
      <c r="P298" s="97">
        <v>136185.24491654034</v>
      </c>
      <c r="Q298" s="97">
        <v>10252.387964745707</v>
      </c>
      <c r="R298" s="97">
        <v>191330.87198266262</v>
      </c>
      <c r="S298" s="97">
        <v>72442397.639176711</v>
      </c>
      <c r="T298" s="97">
        <v>41229884.069094785</v>
      </c>
      <c r="U298" s="45">
        <v>0</v>
      </c>
      <c r="V298">
        <v>0</v>
      </c>
      <c r="W298">
        <v>2.2108333333333333E-3</v>
      </c>
      <c r="X298" s="97">
        <v>7970.4314735864273</v>
      </c>
      <c r="Y298" s="97">
        <v>7.6836377506706492</v>
      </c>
      <c r="Z298" s="97">
        <v>3572.4204508201733</v>
      </c>
      <c r="AA298" s="97">
        <v>88.1679516799867</v>
      </c>
      <c r="AB298" s="97">
        <v>5.8494858437098483</v>
      </c>
      <c r="AC298" s="97">
        <v>410.59992979135603</v>
      </c>
      <c r="AD298" s="97">
        <v>128.80693466606832</v>
      </c>
      <c r="AE298" s="97">
        <v>2257.7679923212177</v>
      </c>
      <c r="AF298" s="97">
        <v>4018.6914159567646</v>
      </c>
      <c r="AG298" s="97">
        <v>1641.6575544889349</v>
      </c>
      <c r="AH298" s="97">
        <v>113527.64413639309</v>
      </c>
      <c r="AI298" s="97">
        <v>2097.0118872842327</v>
      </c>
      <c r="AJ298" s="97">
        <v>174606.63803214917</v>
      </c>
      <c r="AK298" s="97">
        <v>178202.53177310756</v>
      </c>
      <c r="AL298" s="97">
        <v>3595.8937409583627</v>
      </c>
      <c r="AM298" s="97">
        <v>115624.65602367734</v>
      </c>
    </row>
    <row r="299" spans="1:39" x14ac:dyDescent="0.25">
      <c r="A299" s="97">
        <v>297</v>
      </c>
      <c r="B299" s="97">
        <v>2.2108333333333333E-3</v>
      </c>
      <c r="C299" s="97">
        <v>46.473928022445058</v>
      </c>
      <c r="D299" s="97">
        <v>347.28860778053837</v>
      </c>
      <c r="E299" s="97">
        <v>406.9958303150932</v>
      </c>
      <c r="F299" s="97">
        <v>589.97783689943003</v>
      </c>
      <c r="G299" s="97">
        <v>2302.7658520161822</v>
      </c>
      <c r="H299" s="97">
        <v>7976.4933665299668</v>
      </c>
      <c r="I299" s="97">
        <v>69</v>
      </c>
      <c r="J299" s="97">
        <v>45</v>
      </c>
      <c r="K299" s="97">
        <v>253.12799462891741</v>
      </c>
      <c r="L299" s="97">
        <v>1891.5652837113323</v>
      </c>
      <c r="M299" s="97">
        <v>2216.770622449541</v>
      </c>
      <c r="N299" s="97">
        <v>3002.4955416206826</v>
      </c>
      <c r="O299" s="97">
        <v>37327.834461182312</v>
      </c>
      <c r="P299" s="97">
        <v>135672.78028084894</v>
      </c>
      <c r="Q299" s="97">
        <v>10213.218652802911</v>
      </c>
      <c r="R299" s="97">
        <v>190577.79283724463</v>
      </c>
      <c r="S299" s="97">
        <v>72632975.432013959</v>
      </c>
      <c r="T299" s="97">
        <v>41285314.650834329</v>
      </c>
      <c r="U299" s="45">
        <v>0</v>
      </c>
      <c r="V299">
        <v>0</v>
      </c>
      <c r="W299">
        <v>2.2108333333333333E-3</v>
      </c>
      <c r="X299" s="97">
        <v>7976.4933665299668</v>
      </c>
      <c r="Y299" s="97">
        <v>7.6523638228923412</v>
      </c>
      <c r="Z299" s="97">
        <v>3580.0728146430656</v>
      </c>
      <c r="AA299" s="97">
        <v>87.818762694802558</v>
      </c>
      <c r="AB299" s="97">
        <v>5.8269862782153599</v>
      </c>
      <c r="AC299" s="97">
        <v>409.07225685343371</v>
      </c>
      <c r="AD299" s="97">
        <v>128.31482697158</v>
      </c>
      <c r="AE299" s="97">
        <v>2263.4014717202485</v>
      </c>
      <c r="AF299" s="97">
        <v>4030.0402988063847</v>
      </c>
      <c r="AG299" s="97">
        <v>1651.2517996401079</v>
      </c>
      <c r="AH299" s="97">
        <v>113527.64413639309</v>
      </c>
      <c r="AI299" s="97">
        <v>2097.0118872842327</v>
      </c>
      <c r="AJ299" s="97">
        <v>174606.63803214917</v>
      </c>
      <c r="AK299" s="97">
        <v>178202.53177310756</v>
      </c>
      <c r="AL299" s="97">
        <v>3595.8937409583627</v>
      </c>
      <c r="AM299" s="97">
        <v>115624.65602367734</v>
      </c>
    </row>
    <row r="300" spans="1:39" x14ac:dyDescent="0.25">
      <c r="A300" s="97">
        <v>298</v>
      </c>
      <c r="B300" s="97">
        <v>2.2108333333333333E-3</v>
      </c>
      <c r="C300" s="97">
        <v>45.891775523783537</v>
      </c>
      <c r="D300" s="97">
        <v>344.43886990671706</v>
      </c>
      <c r="E300" s="97">
        <v>404.34475148142815</v>
      </c>
      <c r="F300" s="97">
        <v>586.9552219185133</v>
      </c>
      <c r="G300" s="97">
        <v>2293.3805676754605</v>
      </c>
      <c r="H300" s="97">
        <v>7982.5242647615269</v>
      </c>
      <c r="I300" s="97">
        <v>69</v>
      </c>
      <c r="J300" s="97">
        <v>45</v>
      </c>
      <c r="K300" s="97">
        <v>249.95720401954097</v>
      </c>
      <c r="L300" s="97">
        <v>1876.0437114252522</v>
      </c>
      <c r="M300" s="97">
        <v>2202.331079735512</v>
      </c>
      <c r="N300" s="97">
        <v>2987.1129502136337</v>
      </c>
      <c r="O300" s="97">
        <v>37175.699002019217</v>
      </c>
      <c r="P300" s="97">
        <v>135161.62859021552</v>
      </c>
      <c r="Q300" s="97">
        <v>10174.157799831786</v>
      </c>
      <c r="R300" s="97">
        <v>189826.93033746045</v>
      </c>
      <c r="S300" s="97">
        <v>72822802.362351418</v>
      </c>
      <c r="T300" s="97">
        <v>41340297.743933707</v>
      </c>
      <c r="U300" s="45">
        <v>0</v>
      </c>
      <c r="V300">
        <v>0</v>
      </c>
      <c r="W300">
        <v>2.2108333333333333E-3</v>
      </c>
      <c r="X300" s="97">
        <v>7982.5242647615269</v>
      </c>
      <c r="Y300" s="97">
        <v>7.6211963634289317</v>
      </c>
      <c r="Z300" s="97">
        <v>3587.6940110064947</v>
      </c>
      <c r="AA300" s="97">
        <v>87.469446247619487</v>
      </c>
      <c r="AB300" s="97">
        <v>5.8045586468692782</v>
      </c>
      <c r="AC300" s="97">
        <v>407.54951993680362</v>
      </c>
      <c r="AD300" s="97">
        <v>127.82408191257977</v>
      </c>
      <c r="AE300" s="97">
        <v>2269.0129109112036</v>
      </c>
      <c r="AF300" s="97">
        <v>4041.3460223713</v>
      </c>
      <c r="AG300" s="97">
        <v>1660.7997430257924</v>
      </c>
      <c r="AH300" s="97">
        <v>113527.64413639309</v>
      </c>
      <c r="AI300" s="97">
        <v>2097.0118872842327</v>
      </c>
      <c r="AJ300" s="97">
        <v>174606.63803214917</v>
      </c>
      <c r="AK300" s="97">
        <v>178202.53177310756</v>
      </c>
      <c r="AL300" s="97">
        <v>3595.8937409583627</v>
      </c>
      <c r="AM300" s="97">
        <v>115624.65602367734</v>
      </c>
    </row>
    <row r="301" spans="1:39" x14ac:dyDescent="0.25">
      <c r="A301" s="97">
        <v>299</v>
      </c>
      <c r="B301" s="97">
        <v>2.2108333333333333E-3</v>
      </c>
      <c r="C301" s="97">
        <v>45.316915318804057</v>
      </c>
      <c r="D301" s="97">
        <v>341.61044466131034</v>
      </c>
      <c r="E301" s="97">
        <v>401.7066076270782</v>
      </c>
      <c r="F301" s="97">
        <v>583.94209587732109</v>
      </c>
      <c r="G301" s="97">
        <v>2284.0272164989169</v>
      </c>
      <c r="H301" s="97">
        <v>7988.5242650809905</v>
      </c>
      <c r="I301" s="97">
        <v>69</v>
      </c>
      <c r="J301" s="97">
        <v>45</v>
      </c>
      <c r="K301" s="97">
        <v>246.82613210308608</v>
      </c>
      <c r="L301" s="97">
        <v>1860.638221921937</v>
      </c>
      <c r="M301" s="97">
        <v>2187.9619895421524</v>
      </c>
      <c r="N301" s="97">
        <v>2971.7786496023332</v>
      </c>
      <c r="O301" s="97">
        <v>37024.081179447443</v>
      </c>
      <c r="P301" s="97">
        <v>134651.795525314</v>
      </c>
      <c r="Q301" s="97">
        <v>10135.205482997473</v>
      </c>
      <c r="R301" s="97">
        <v>189078.28718092843</v>
      </c>
      <c r="S301" s="97">
        <v>73011880.649532348</v>
      </c>
      <c r="T301" s="97">
        <v>41394836.747786924</v>
      </c>
      <c r="U301" s="45">
        <v>0</v>
      </c>
      <c r="V301">
        <v>0</v>
      </c>
      <c r="W301">
        <v>2.2108333333333333E-3</v>
      </c>
      <c r="X301" s="97">
        <v>7988.5242650809905</v>
      </c>
      <c r="Y301" s="97">
        <v>7.5901349792136719</v>
      </c>
      <c r="Z301" s="97">
        <v>3595.2841459857086</v>
      </c>
      <c r="AA301" s="97">
        <v>87.120039894727554</v>
      </c>
      <c r="AB301" s="97">
        <v>5.7822026781927018</v>
      </c>
      <c r="AC301" s="97">
        <v>406.03170229020276</v>
      </c>
      <c r="AD301" s="97">
        <v>127.33470045853977</v>
      </c>
      <c r="AE301" s="97">
        <v>2274.6023756655186</v>
      </c>
      <c r="AF301" s="97">
        <v>4052.6086949436371</v>
      </c>
      <c r="AG301" s="97">
        <v>1670.3015824294603</v>
      </c>
      <c r="AH301" s="97">
        <v>113527.64413639309</v>
      </c>
      <c r="AI301" s="97">
        <v>2097.0118872842327</v>
      </c>
      <c r="AJ301" s="97">
        <v>174606.63803214917</v>
      </c>
      <c r="AK301" s="97">
        <v>178202.53177310756</v>
      </c>
      <c r="AL301" s="97">
        <v>3595.8937409583627</v>
      </c>
      <c r="AM301" s="97">
        <v>115624.65602367734</v>
      </c>
    </row>
    <row r="302" spans="1:39" x14ac:dyDescent="0.25">
      <c r="A302" s="97">
        <v>300</v>
      </c>
      <c r="B302" s="97">
        <v>2.2108333333333333E-3</v>
      </c>
      <c r="C302" s="97">
        <v>44.749256061085767</v>
      </c>
      <c r="D302" s="97">
        <v>338.80320296364818</v>
      </c>
      <c r="E302" s="97">
        <v>399.08139027917696</v>
      </c>
      <c r="F302" s="97">
        <v>580.93847786127719</v>
      </c>
      <c r="G302" s="97">
        <v>2274.7056817038642</v>
      </c>
      <c r="H302" s="97">
        <v>7994.4934644866289</v>
      </c>
      <c r="I302" s="97">
        <v>70</v>
      </c>
      <c r="J302" s="97">
        <v>45</v>
      </c>
      <c r="K302" s="97">
        <v>243.73428134604714</v>
      </c>
      <c r="L302" s="97">
        <v>1845.3481121420036</v>
      </c>
      <c r="M302" s="97">
        <v>2173.6633057205836</v>
      </c>
      <c r="N302" s="97">
        <v>2956.4927369156831</v>
      </c>
      <c r="O302" s="97">
        <v>36872.979100419638</v>
      </c>
      <c r="P302" s="97">
        <v>134143.28648940503</v>
      </c>
      <c r="Q302" s="97">
        <v>10096.361774478131</v>
      </c>
      <c r="R302" s="97">
        <v>188331.86580042713</v>
      </c>
      <c r="S302" s="97">
        <v>73200212.515332773</v>
      </c>
      <c r="T302" s="97">
        <v>41448935.039324343</v>
      </c>
      <c r="U302" s="45">
        <v>0</v>
      </c>
      <c r="V302">
        <v>0</v>
      </c>
      <c r="W302">
        <v>2.2108333333333333E-3</v>
      </c>
      <c r="X302" s="97">
        <v>7994.4934644866289</v>
      </c>
      <c r="Y302" s="97">
        <v>7.5591792804785465</v>
      </c>
      <c r="Z302" s="97">
        <v>3602.8433252661871</v>
      </c>
      <c r="AA302" s="97">
        <v>86.788912712860679</v>
      </c>
      <c r="AB302" s="97">
        <v>5.7415855356887526</v>
      </c>
      <c r="AC302" s="97">
        <v>404.50045462591959</v>
      </c>
      <c r="AD302" s="97">
        <v>126.84668351627781</v>
      </c>
      <c r="AE302" s="97">
        <v>2280.1699317380803</v>
      </c>
      <c r="AF302" s="97">
        <v>4063.8284253179863</v>
      </c>
      <c r="AG302" s="97">
        <v>1679.7575149579011</v>
      </c>
      <c r="AH302" s="97">
        <v>114808.97891038668</v>
      </c>
      <c r="AI302" s="97">
        <v>2135.4545260869936</v>
      </c>
      <c r="AJ302" s="97">
        <v>178739.07073963431</v>
      </c>
      <c r="AK302" s="97">
        <v>182458.94583283167</v>
      </c>
      <c r="AL302" s="97">
        <v>3719.8750931973536</v>
      </c>
      <c r="AM302" s="97">
        <v>116944.43343647369</v>
      </c>
    </row>
    <row r="303" spans="1:39" x14ac:dyDescent="0.25">
      <c r="A303" s="97">
        <v>301</v>
      </c>
      <c r="B303" s="97">
        <v>2.4208333333333334E-3</v>
      </c>
      <c r="C303" s="97">
        <v>44.179310204679709</v>
      </c>
      <c r="D303" s="97">
        <v>335.94586735552565</v>
      </c>
      <c r="E303" s="97">
        <v>396.38528302940728</v>
      </c>
      <c r="F303" s="97">
        <v>577.82238954838363</v>
      </c>
      <c r="G303" s="97">
        <v>2264.938159291371</v>
      </c>
      <c r="H303" s="97">
        <v>8000.431960171808</v>
      </c>
      <c r="I303" s="97">
        <v>70</v>
      </c>
      <c r="J303" s="97">
        <v>45</v>
      </c>
      <c r="K303" s="97">
        <v>240.62997624815546</v>
      </c>
      <c r="L303" s="97">
        <v>1829.785157529763</v>
      </c>
      <c r="M303" s="97">
        <v>2158.9785082335047</v>
      </c>
      <c r="N303" s="97">
        <v>2940.6344441433157</v>
      </c>
      <c r="O303" s="97">
        <v>36714.647562113125</v>
      </c>
      <c r="P303" s="97">
        <v>133607.9027286146</v>
      </c>
      <c r="Q303" s="97">
        <v>10055.50650534851</v>
      </c>
      <c r="R303" s="97">
        <v>187548.08488223096</v>
      </c>
      <c r="S303" s="97">
        <v>73387760.600215003</v>
      </c>
      <c r="T303" s="97">
        <v>41502584.649902552</v>
      </c>
      <c r="U303" s="45">
        <v>0</v>
      </c>
      <c r="V303">
        <v>0</v>
      </c>
      <c r="W303">
        <v>2.4208333333333334E-3</v>
      </c>
      <c r="X303" s="97">
        <v>8000.431960171808</v>
      </c>
      <c r="Y303" s="97">
        <v>7.5283288807214754</v>
      </c>
      <c r="Z303" s="97">
        <v>3610.3716541469084</v>
      </c>
      <c r="AA303" s="97">
        <v>86.439019098383284</v>
      </c>
      <c r="AB303" s="97">
        <v>5.7194427882779957</v>
      </c>
      <c r="AC303" s="97">
        <v>402.88954680183258</v>
      </c>
      <c r="AD303" s="97">
        <v>126.33339412461224</v>
      </c>
      <c r="AE303" s="97">
        <v>2285.7156448624391</v>
      </c>
      <c r="AF303" s="97">
        <v>4075.0054465516523</v>
      </c>
      <c r="AG303" s="97">
        <v>1690.0615839941499</v>
      </c>
      <c r="AH303" s="97">
        <v>114808.97891038668</v>
      </c>
      <c r="AI303" s="97">
        <v>2135.4545260869936</v>
      </c>
      <c r="AJ303" s="97">
        <v>178739.07073963431</v>
      </c>
      <c r="AK303" s="97">
        <v>182458.94583283167</v>
      </c>
      <c r="AL303" s="97">
        <v>3719.8750931973536</v>
      </c>
      <c r="AM303" s="97">
        <v>116944.43343647369</v>
      </c>
    </row>
    <row r="304" spans="1:39" x14ac:dyDescent="0.25">
      <c r="A304" s="97">
        <v>302</v>
      </c>
      <c r="B304" s="97">
        <v>2.4208333333333334E-3</v>
      </c>
      <c r="C304" s="97">
        <v>43.616623424911502</v>
      </c>
      <c r="D304" s="97">
        <v>333.11064316777924</v>
      </c>
      <c r="E304" s="97">
        <v>393.7031975884118</v>
      </c>
      <c r="F304" s="97">
        <v>574.71712958310604</v>
      </c>
      <c r="G304" s="97">
        <v>2255.2062246607447</v>
      </c>
      <c r="H304" s="97">
        <v>8006.3386024375532</v>
      </c>
      <c r="I304" s="97">
        <v>70</v>
      </c>
      <c r="J304" s="97">
        <v>45</v>
      </c>
      <c r="K304" s="97">
        <v>237.56520892101796</v>
      </c>
      <c r="L304" s="97">
        <v>1814.3426364538375</v>
      </c>
      <c r="M304" s="97">
        <v>2144.370082864883</v>
      </c>
      <c r="N304" s="97">
        <v>2924.8312586366906</v>
      </c>
      <c r="O304" s="97">
        <v>36556.892901750674</v>
      </c>
      <c r="P304" s="97">
        <v>133074.03971946935</v>
      </c>
      <c r="Q304" s="97">
        <v>10014.776629687571</v>
      </c>
      <c r="R304" s="97">
        <v>186766.81843778404</v>
      </c>
      <c r="S304" s="97">
        <v>73574527.418652788</v>
      </c>
      <c r="T304" s="97">
        <v>41555789.087887108</v>
      </c>
      <c r="U304" s="45">
        <v>0</v>
      </c>
      <c r="V304">
        <v>0</v>
      </c>
      <c r="W304">
        <v>2.4208333333333334E-3</v>
      </c>
      <c r="X304" s="97">
        <v>8006.3386024375532</v>
      </c>
      <c r="Y304" s="97">
        <v>7.4960024476086042</v>
      </c>
      <c r="Z304" s="97">
        <v>3617.867656594517</v>
      </c>
      <c r="AA304" s="97">
        <v>86.088675376314129</v>
      </c>
      <c r="AB304" s="97">
        <v>5.6962696854486436</v>
      </c>
      <c r="AC304" s="97">
        <v>401.28465872011503</v>
      </c>
      <c r="AD304" s="97">
        <v>125.82168012673624</v>
      </c>
      <c r="AE304" s="97">
        <v>2291.2384154221409</v>
      </c>
      <c r="AF304" s="97">
        <v>4086.1375164608421</v>
      </c>
      <c r="AG304" s="97">
        <v>1700.313650891037</v>
      </c>
      <c r="AH304" s="97">
        <v>114808.97891038668</v>
      </c>
      <c r="AI304" s="97">
        <v>2135.4545260869936</v>
      </c>
      <c r="AJ304" s="97">
        <v>178739.07073963431</v>
      </c>
      <c r="AK304" s="97">
        <v>182458.94583283167</v>
      </c>
      <c r="AL304" s="97">
        <v>3719.8750931973536</v>
      </c>
      <c r="AM304" s="97">
        <v>116944.43343647369</v>
      </c>
    </row>
    <row r="305" spans="1:39" x14ac:dyDescent="0.25">
      <c r="A305" s="97">
        <v>303</v>
      </c>
      <c r="B305" s="97">
        <v>2.4208333333333334E-3</v>
      </c>
      <c r="C305" s="97">
        <v>43.061103267045247</v>
      </c>
      <c r="D305" s="97">
        <v>330.29738867638514</v>
      </c>
      <c r="E305" s="97">
        <v>391.03511451094448</v>
      </c>
      <c r="F305" s="97">
        <v>571.62270964025845</v>
      </c>
      <c r="G305" s="97">
        <v>2245.5097427812793</v>
      </c>
      <c r="H305" s="97">
        <v>8012.2135019738907</v>
      </c>
      <c r="I305" s="97">
        <v>70</v>
      </c>
      <c r="J305" s="97">
        <v>45</v>
      </c>
      <c r="K305" s="97">
        <v>234.53947579450644</v>
      </c>
      <c r="L305" s="97">
        <v>1799.0197769907109</v>
      </c>
      <c r="M305" s="97">
        <v>2129.837923702944</v>
      </c>
      <c r="N305" s="97">
        <v>2909.0832398108819</v>
      </c>
      <c r="O305" s="97">
        <v>36399.712930484537</v>
      </c>
      <c r="P305" s="97">
        <v>132541.70289198394</v>
      </c>
      <c r="Q305" s="97">
        <v>9974.172078008276</v>
      </c>
      <c r="R305" s="97">
        <v>185988.06831677578</v>
      </c>
      <c r="S305" s="97">
        <v>73760515.48696956</v>
      </c>
      <c r="T305" s="97">
        <v>41608551.837806113</v>
      </c>
      <c r="U305" s="45">
        <v>0</v>
      </c>
      <c r="V305">
        <v>0</v>
      </c>
      <c r="W305">
        <v>2.4208333333333334E-3</v>
      </c>
      <c r="X305" s="97">
        <v>8012.2135019738907</v>
      </c>
      <c r="Y305" s="97">
        <v>7.4637937952390558</v>
      </c>
      <c r="Z305" s="97">
        <v>3625.3314503897559</v>
      </c>
      <c r="AA305" s="97">
        <v>85.737931437276899</v>
      </c>
      <c r="AB305" s="97">
        <v>5.6731756686751904</v>
      </c>
      <c r="AC305" s="97">
        <v>399.6857603771503</v>
      </c>
      <c r="AD305" s="97">
        <v>125.31154064964227</v>
      </c>
      <c r="AE305" s="97">
        <v>2296.7383177949819</v>
      </c>
      <c r="AF305" s="97">
        <v>4097.2247583032768</v>
      </c>
      <c r="AG305" s="97">
        <v>1710.5139503567393</v>
      </c>
      <c r="AH305" s="97">
        <v>114808.97891038668</v>
      </c>
      <c r="AI305" s="97">
        <v>2135.4545260869936</v>
      </c>
      <c r="AJ305" s="97">
        <v>178739.07073963431</v>
      </c>
      <c r="AK305" s="97">
        <v>182458.94583283167</v>
      </c>
      <c r="AL305" s="97">
        <v>3719.8750931973536</v>
      </c>
      <c r="AM305" s="97">
        <v>116944.43343647369</v>
      </c>
    </row>
    <row r="306" spans="1:39" x14ac:dyDescent="0.25">
      <c r="A306" s="97">
        <v>304</v>
      </c>
      <c r="B306" s="97">
        <v>2.4208333333333334E-3</v>
      </c>
      <c r="C306" s="97">
        <v>42.512658453888491</v>
      </c>
      <c r="D306" s="97">
        <v>327.50596259193668</v>
      </c>
      <c r="E306" s="97">
        <v>388.38101355962658</v>
      </c>
      <c r="F306" s="97">
        <v>568.53914104100284</v>
      </c>
      <c r="G306" s="97">
        <v>2235.8485796739501</v>
      </c>
      <c r="H306" s="97">
        <v>8018.05676959019</v>
      </c>
      <c r="I306" s="97">
        <v>70</v>
      </c>
      <c r="J306" s="97">
        <v>45</v>
      </c>
      <c r="K306" s="97">
        <v>231.55227971217931</v>
      </c>
      <c r="L306" s="97">
        <v>1783.8158095840818</v>
      </c>
      <c r="M306" s="97">
        <v>2115.3819205214327</v>
      </c>
      <c r="N306" s="97">
        <v>2893.3904452811703</v>
      </c>
      <c r="O306" s="97">
        <v>36243.105476514735</v>
      </c>
      <c r="P306" s="97">
        <v>132010.89736377174</v>
      </c>
      <c r="Q306" s="97">
        <v>9933.6927807846259</v>
      </c>
      <c r="R306" s="97">
        <v>185211.83607616997</v>
      </c>
      <c r="S306" s="97">
        <v>73945727.323045731</v>
      </c>
      <c r="T306" s="97">
        <v>41660876.360412918</v>
      </c>
      <c r="U306" s="45">
        <v>0</v>
      </c>
      <c r="V306">
        <v>0</v>
      </c>
      <c r="W306">
        <v>2.4208333333333334E-3</v>
      </c>
      <c r="X306" s="97">
        <v>8018.05676959019</v>
      </c>
      <c r="Y306" s="97">
        <v>7.4317024767174029</v>
      </c>
      <c r="Z306" s="97">
        <v>3632.7631528664733</v>
      </c>
      <c r="AA306" s="97">
        <v>85.386835785768483</v>
      </c>
      <c r="AB306" s="97">
        <v>5.6501604362140538</v>
      </c>
      <c r="AC306" s="97">
        <v>398.0928220113031</v>
      </c>
      <c r="AD306" s="97">
        <v>124.80297481983324</v>
      </c>
      <c r="AE306" s="97">
        <v>2302.2154263165689</v>
      </c>
      <c r="AF306" s="97">
        <v>4108.2672958298308</v>
      </c>
      <c r="AG306" s="97">
        <v>1720.6627162328582</v>
      </c>
      <c r="AH306" s="97">
        <v>114808.97891038668</v>
      </c>
      <c r="AI306" s="97">
        <v>2135.4545260869936</v>
      </c>
      <c r="AJ306" s="97">
        <v>178739.07073963431</v>
      </c>
      <c r="AK306" s="97">
        <v>182458.94583283167</v>
      </c>
      <c r="AL306" s="97">
        <v>3719.8750931973536</v>
      </c>
      <c r="AM306" s="97">
        <v>116944.43343647369</v>
      </c>
    </row>
    <row r="307" spans="1:39" x14ac:dyDescent="0.25">
      <c r="A307" s="97">
        <v>305</v>
      </c>
      <c r="B307" s="97">
        <v>2.4208333333333334E-3</v>
      </c>
      <c r="C307" s="97">
        <v>41.971198870794545</v>
      </c>
      <c r="D307" s="97">
        <v>324.73622406753384</v>
      </c>
      <c r="E307" s="97">
        <v>385.74087371846338</v>
      </c>
      <c r="F307" s="97">
        <v>565.46643474892653</v>
      </c>
      <c r="G307" s="97">
        <v>2226.2226024005363</v>
      </c>
      <c r="H307" s="97">
        <v>8023.8685162115489</v>
      </c>
      <c r="I307" s="97">
        <v>70</v>
      </c>
      <c r="J307" s="97">
        <v>45</v>
      </c>
      <c r="K307" s="97">
        <v>228.60312984959427</v>
      </c>
      <c r="L307" s="97">
        <v>1768.7299670878342</v>
      </c>
      <c r="M307" s="97">
        <v>2101.0019588532305</v>
      </c>
      <c r="N307" s="97">
        <v>2877.7529308430785</v>
      </c>
      <c r="O307" s="97">
        <v>36087.068384912694</v>
      </c>
      <c r="P307" s="97">
        <v>131481.62794921212</v>
      </c>
      <c r="Q307" s="97">
        <v>9893.338668018936</v>
      </c>
      <c r="R307" s="97">
        <v>184438.1229887775</v>
      </c>
      <c r="S307" s="97">
        <v>74130165.446034506</v>
      </c>
      <c r="T307" s="97">
        <v>41712766.092752151</v>
      </c>
      <c r="U307" s="45">
        <v>0</v>
      </c>
      <c r="V307">
        <v>0</v>
      </c>
      <c r="W307">
        <v>2.4208333333333334E-3</v>
      </c>
      <c r="X307" s="97">
        <v>8023.8685162115489</v>
      </c>
      <c r="Y307" s="97">
        <v>7.3997280486288481</v>
      </c>
      <c r="Z307" s="97">
        <v>3640.1628809151021</v>
      </c>
      <c r="AA307" s="97">
        <v>85.035435575564975</v>
      </c>
      <c r="AB307" s="97">
        <v>5.6272236888746896</v>
      </c>
      <c r="AC307" s="97">
        <v>396.50581410108754</v>
      </c>
      <c r="AD307" s="97">
        <v>124.29598175788601</v>
      </c>
      <c r="AE307" s="97">
        <v>2307.669815274859</v>
      </c>
      <c r="AF307" s="97">
        <v>4119.2652532638822</v>
      </c>
      <c r="AG307" s="97">
        <v>1730.760181495323</v>
      </c>
      <c r="AH307" s="97">
        <v>114808.97891038668</v>
      </c>
      <c r="AI307" s="97">
        <v>2135.4545260869936</v>
      </c>
      <c r="AJ307" s="97">
        <v>178739.07073963431</v>
      </c>
      <c r="AK307" s="97">
        <v>182458.94583283167</v>
      </c>
      <c r="AL307" s="97">
        <v>3719.8750931973536</v>
      </c>
      <c r="AM307" s="97">
        <v>116944.43343647369</v>
      </c>
    </row>
    <row r="308" spans="1:39" x14ac:dyDescent="0.25">
      <c r="A308" s="97">
        <v>306</v>
      </c>
      <c r="B308" s="97">
        <v>2.4208333333333334E-3</v>
      </c>
      <c r="C308" s="97">
        <v>41.436635550855776</v>
      </c>
      <c r="D308" s="97">
        <v>321.98803270644078</v>
      </c>
      <c r="E308" s="97">
        <v>383.11467320624314</v>
      </c>
      <c r="F308" s="97">
        <v>562.40460136631293</v>
      </c>
      <c r="G308" s="97">
        <v>2216.6316790527803</v>
      </c>
      <c r="H308" s="97">
        <v>8029.6488528751361</v>
      </c>
      <c r="I308" s="97">
        <v>70</v>
      </c>
      <c r="J308" s="97">
        <v>45</v>
      </c>
      <c r="K308" s="97">
        <v>225.6915416336611</v>
      </c>
      <c r="L308" s="97">
        <v>1753.7614848077474</v>
      </c>
      <c r="M308" s="97">
        <v>2086.6979200633373</v>
      </c>
      <c r="N308" s="97">
        <v>2862.1707504533942</v>
      </c>
      <c r="O308" s="97">
        <v>35931.599517445567</v>
      </c>
      <c r="P308" s="97">
        <v>130953.89916837608</v>
      </c>
      <c r="Q308" s="97">
        <v>9853.1096688444086</v>
      </c>
      <c r="R308" s="97">
        <v>183666.93005162419</v>
      </c>
      <c r="S308" s="97">
        <v>74313832.376086131</v>
      </c>
      <c r="T308" s="97">
        <v>41764224.448228858</v>
      </c>
      <c r="U308" s="45">
        <v>0</v>
      </c>
      <c r="V308">
        <v>0</v>
      </c>
      <c r="W308">
        <v>2.4208333333333334E-3</v>
      </c>
      <c r="X308" s="97">
        <v>8029.6488528751361</v>
      </c>
      <c r="Y308" s="97">
        <v>7.3678700710032201</v>
      </c>
      <c r="Z308" s="97">
        <v>3647.5307509861054</v>
      </c>
      <c r="AA308" s="97">
        <v>84.683776644234769</v>
      </c>
      <c r="AB308" s="97">
        <v>5.6043651299958004</v>
      </c>
      <c r="AC308" s="97">
        <v>394.92470736334428</v>
      </c>
      <c r="AD308" s="97">
        <v>123.79056057345824</v>
      </c>
      <c r="AE308" s="97">
        <v>2313.1015589048829</v>
      </c>
      <c r="AF308" s="97">
        <v>4130.2187552809846</v>
      </c>
      <c r="AG308" s="97">
        <v>1740.8065782553433</v>
      </c>
      <c r="AH308" s="97">
        <v>114808.97891038668</v>
      </c>
      <c r="AI308" s="97">
        <v>2135.4545260869936</v>
      </c>
      <c r="AJ308" s="97">
        <v>178739.07073963431</v>
      </c>
      <c r="AK308" s="97">
        <v>182458.94583283167</v>
      </c>
      <c r="AL308" s="97">
        <v>3719.8750931973536</v>
      </c>
      <c r="AM308" s="97">
        <v>116944.43343647369</v>
      </c>
    </row>
    <row r="309" spans="1:39" x14ac:dyDescent="0.25">
      <c r="A309" s="97">
        <v>307</v>
      </c>
      <c r="B309" s="97">
        <v>2.4208333333333334E-3</v>
      </c>
      <c r="C309" s="97">
        <v>40.908880660285526</v>
      </c>
      <c r="D309" s="97">
        <v>319.26124856951566</v>
      </c>
      <c r="E309" s="97">
        <v>380.50238948981809</v>
      </c>
      <c r="F309" s="97">
        <v>559.35365113060107</v>
      </c>
      <c r="G309" s="97">
        <v>2207.0756787415821</v>
      </c>
      <c r="H309" s="97">
        <v>8035.3978907265009</v>
      </c>
      <c r="I309" s="97">
        <v>70</v>
      </c>
      <c r="J309" s="97">
        <v>45</v>
      </c>
      <c r="K309" s="97">
        <v>222.81703666302181</v>
      </c>
      <c r="L309" s="97">
        <v>1738.9096005419619</v>
      </c>
      <c r="M309" s="97">
        <v>2072.4696814212089</v>
      </c>
      <c r="N309" s="97">
        <v>2846.6439562121504</v>
      </c>
      <c r="O309" s="97">
        <v>35776.696752401047</v>
      </c>
      <c r="P309" s="97">
        <v>130427.71525571708</v>
      </c>
      <c r="Q309" s="97">
        <v>9813.0057111608949</v>
      </c>
      <c r="R309" s="97">
        <v>182898.25799411736</v>
      </c>
      <c r="S309" s="97">
        <v>74496730.634080246</v>
      </c>
      <c r="T309" s="97">
        <v>41815254.816680744</v>
      </c>
      <c r="U309" s="45">
        <v>0</v>
      </c>
      <c r="V309">
        <v>0</v>
      </c>
      <c r="W309">
        <v>2.4208333333333334E-3</v>
      </c>
      <c r="X309" s="97">
        <v>8035.3978907265009</v>
      </c>
      <c r="Y309" s="97">
        <v>7.3361281072790989</v>
      </c>
      <c r="Z309" s="97">
        <v>3654.8668790933843</v>
      </c>
      <c r="AA309" s="97">
        <v>84.331903546781064</v>
      </c>
      <c r="AB309" s="97">
        <v>5.5815844654215363</v>
      </c>
      <c r="AC309" s="97">
        <v>393.34947275142707</v>
      </c>
      <c r="AD309" s="97">
        <v>123.28671036071229</v>
      </c>
      <c r="AE309" s="97">
        <v>2318.5107313836479</v>
      </c>
      <c r="AF309" s="97">
        <v>4141.1279269888682</v>
      </c>
      <c r="AG309" s="97">
        <v>1750.8021377604075</v>
      </c>
      <c r="AH309" s="97">
        <v>114808.97891038668</v>
      </c>
      <c r="AI309" s="97">
        <v>2135.4545260869936</v>
      </c>
      <c r="AJ309" s="97">
        <v>178739.07073963431</v>
      </c>
      <c r="AK309" s="97">
        <v>182458.94583283167</v>
      </c>
      <c r="AL309" s="97">
        <v>3719.8750931973536</v>
      </c>
      <c r="AM309" s="97">
        <v>116944.43343647369</v>
      </c>
    </row>
    <row r="310" spans="1:39" x14ac:dyDescent="0.25">
      <c r="A310" s="97">
        <v>308</v>
      </c>
      <c r="B310" s="97">
        <v>2.4208333333333334E-3</v>
      </c>
      <c r="C310" s="97">
        <v>40.387847483986192</v>
      </c>
      <c r="D310" s="97">
        <v>316.55573218241665</v>
      </c>
      <c r="E310" s="97">
        <v>377.90399929726709</v>
      </c>
      <c r="F310" s="97">
        <v>556.31359391103035</v>
      </c>
      <c r="G310" s="97">
        <v>2197.5544715862329</v>
      </c>
      <c r="H310" s="97">
        <v>8041.1157410158421</v>
      </c>
      <c r="I310" s="97">
        <v>70</v>
      </c>
      <c r="J310" s="97">
        <v>45</v>
      </c>
      <c r="K310" s="97">
        <v>219.97914262944477</v>
      </c>
      <c r="L310" s="97">
        <v>1724.1735546202292</v>
      </c>
      <c r="M310" s="97">
        <v>2058.3171161724481</v>
      </c>
      <c r="N310" s="97">
        <v>2831.1725983455517</v>
      </c>
      <c r="O310" s="97">
        <v>35622.35798441284</v>
      </c>
      <c r="P310" s="97">
        <v>129903.0801685325</v>
      </c>
      <c r="Q310" s="97">
        <v>9773.0267213018797</v>
      </c>
      <c r="R310" s="97">
        <v>182132.10728601489</v>
      </c>
      <c r="S310" s="97">
        <v>74678862.741366267</v>
      </c>
      <c r="T310" s="97">
        <v>41865860.564453296</v>
      </c>
      <c r="U310" s="45">
        <v>0</v>
      </c>
      <c r="V310">
        <v>0</v>
      </c>
      <c r="W310">
        <v>2.4208333333333334E-3</v>
      </c>
      <c r="X310" s="97">
        <v>8041.1157410158421</v>
      </c>
      <c r="Y310" s="97">
        <v>7.3045017242680492</v>
      </c>
      <c r="Z310" s="97">
        <v>3662.1713808176523</v>
      </c>
      <c r="AA310" s="97">
        <v>83.979859588435659</v>
      </c>
      <c r="AB310" s="97">
        <v>5.5588814034776943</v>
      </c>
      <c r="AC310" s="97">
        <v>391.78008145339834</v>
      </c>
      <c r="AD310" s="97">
        <v>122.78443019413129</v>
      </c>
      <c r="AE310" s="97">
        <v>2323.8974068252128</v>
      </c>
      <c r="AF310" s="97">
        <v>4151.9928939077736</v>
      </c>
      <c r="AG310" s="97">
        <v>1760.7470903953269</v>
      </c>
      <c r="AH310" s="97">
        <v>114808.97891038668</v>
      </c>
      <c r="AI310" s="97">
        <v>2135.4545260869936</v>
      </c>
      <c r="AJ310" s="97">
        <v>178739.07073963431</v>
      </c>
      <c r="AK310" s="97">
        <v>182458.94583283167</v>
      </c>
      <c r="AL310" s="97">
        <v>3719.8750931973536</v>
      </c>
      <c r="AM310" s="97">
        <v>116944.43343647369</v>
      </c>
    </row>
    <row r="311" spans="1:39" x14ac:dyDescent="0.25">
      <c r="A311" s="97">
        <v>309</v>
      </c>
      <c r="B311" s="97">
        <v>2.4208333333333334E-3</v>
      </c>
      <c r="C311" s="97">
        <v>39.873450411301107</v>
      </c>
      <c r="D311" s="97">
        <v>313.87134454258882</v>
      </c>
      <c r="E311" s="97">
        <v>375.31947863094064</v>
      </c>
      <c r="F311" s="97">
        <v>553.28443920546783</v>
      </c>
      <c r="G311" s="97">
        <v>2188.0679287036892</v>
      </c>
      <c r="H311" s="97">
        <v>8046.8025150942431</v>
      </c>
      <c r="I311" s="97">
        <v>70</v>
      </c>
      <c r="J311" s="97">
        <v>45</v>
      </c>
      <c r="K311" s="97">
        <v>217.17739324022003</v>
      </c>
      <c r="L311" s="97">
        <v>1709.552589941967</v>
      </c>
      <c r="M311" s="97">
        <v>2044.2400936098566</v>
      </c>
      <c r="N311" s="97">
        <v>2815.7567251898267</v>
      </c>
      <c r="O311" s="97">
        <v>35468.5811242868</v>
      </c>
      <c r="P311" s="97">
        <v>129379.99759520146</v>
      </c>
      <c r="Q311" s="97">
        <v>9733.1726237307921</v>
      </c>
      <c r="R311" s="97">
        <v>181368.47814520093</v>
      </c>
      <c r="S311" s="97">
        <v>74860231.219511464</v>
      </c>
      <c r="T311" s="97">
        <v>41916045.034477718</v>
      </c>
      <c r="U311" s="45">
        <v>0</v>
      </c>
      <c r="V311">
        <v>0</v>
      </c>
      <c r="W311">
        <v>2.4208333333333334E-3</v>
      </c>
      <c r="X311" s="97">
        <v>8046.8025150942431</v>
      </c>
      <c r="Y311" s="97">
        <v>7.2729904921189936</v>
      </c>
      <c r="Z311" s="97">
        <v>3669.4443713097712</v>
      </c>
      <c r="AA311" s="97">
        <v>83.627686856625118</v>
      </c>
      <c r="AB311" s="97">
        <v>5.5362556549479223</v>
      </c>
      <c r="AC311" s="97">
        <v>390.21650489023358</v>
      </c>
      <c r="AD311" s="97">
        <v>122.28371912470372</v>
      </c>
      <c r="AE311" s="97">
        <v>2329.2616592759341</v>
      </c>
      <c r="AF311" s="97">
        <v>4162.8137819511221</v>
      </c>
      <c r="AG311" s="97">
        <v>1770.6416656833264</v>
      </c>
      <c r="AH311" s="97">
        <v>114808.97891038668</v>
      </c>
      <c r="AI311" s="97">
        <v>2135.4545260869936</v>
      </c>
      <c r="AJ311" s="97">
        <v>178739.07073963431</v>
      </c>
      <c r="AK311" s="97">
        <v>182458.94583283167</v>
      </c>
      <c r="AL311" s="97">
        <v>3719.8750931973536</v>
      </c>
      <c r="AM311" s="97">
        <v>116944.43343647369</v>
      </c>
    </row>
    <row r="312" spans="1:39" x14ac:dyDescent="0.25">
      <c r="A312" s="97">
        <v>310</v>
      </c>
      <c r="B312" s="97">
        <v>2.4208333333333334E-3</v>
      </c>
      <c r="C312" s="97">
        <v>39.365604921947913</v>
      </c>
      <c r="D312" s="97">
        <v>311.20794712603532</v>
      </c>
      <c r="E312" s="97">
        <v>372.748802780387</v>
      </c>
      <c r="F312" s="97">
        <v>550.26619613741332</v>
      </c>
      <c r="G312" s="97">
        <v>2178.6159221978878</v>
      </c>
      <c r="H312" s="97">
        <v>8052.4583244098776</v>
      </c>
      <c r="I312" s="97">
        <v>70</v>
      </c>
      <c r="J312" s="97">
        <v>45</v>
      </c>
      <c r="K312" s="97">
        <v>214.41132814154295</v>
      </c>
      <c r="L312" s="97">
        <v>1695.045952013139</v>
      </c>
      <c r="M312" s="97">
        <v>2030.238479143841</v>
      </c>
      <c r="N312" s="97">
        <v>2800.3963831759856</v>
      </c>
      <c r="O312" s="97">
        <v>35315.364098827762</v>
      </c>
      <c r="P312" s="97">
        <v>128858.47096320486</v>
      </c>
      <c r="Q312" s="97">
        <v>9693.4433407648721</v>
      </c>
      <c r="R312" s="97">
        <v>180607.37054527202</v>
      </c>
      <c r="S312" s="97">
        <v>75040838.590056732</v>
      </c>
      <c r="T312" s="97">
        <v>41965811.54635153</v>
      </c>
      <c r="U312" s="45">
        <v>0</v>
      </c>
      <c r="V312">
        <v>0</v>
      </c>
      <c r="W312">
        <v>2.4208333333333334E-3</v>
      </c>
      <c r="X312" s="97">
        <v>8052.4583244098776</v>
      </c>
      <c r="Y312" s="97">
        <v>7.2415939842827086</v>
      </c>
      <c r="Z312" s="97">
        <v>3676.6859652940539</v>
      </c>
      <c r="AA312" s="97">
        <v>83.27542625213016</v>
      </c>
      <c r="AB312" s="97">
        <v>5.5137069330499289</v>
      </c>
      <c r="AC312" s="97">
        <v>388.6587147140346</v>
      </c>
      <c r="AD312" s="97">
        <v>121.78457617645421</v>
      </c>
      <c r="AE312" s="97">
        <v>2334.6035627098731</v>
      </c>
      <c r="AF312" s="97">
        <v>4173.5907174065305</v>
      </c>
      <c r="AG312" s="97">
        <v>1780.4860922871781</v>
      </c>
      <c r="AH312" s="97">
        <v>114808.97891038668</v>
      </c>
      <c r="AI312" s="97">
        <v>2135.4545260869936</v>
      </c>
      <c r="AJ312" s="97">
        <v>178739.07073963431</v>
      </c>
      <c r="AK312" s="97">
        <v>182458.94583283167</v>
      </c>
      <c r="AL312" s="97">
        <v>3719.8750931973536</v>
      </c>
      <c r="AM312" s="97">
        <v>116944.43343647369</v>
      </c>
    </row>
    <row r="313" spans="1:39" x14ac:dyDescent="0.25">
      <c r="A313" s="97">
        <v>311</v>
      </c>
      <c r="B313" s="97">
        <v>2.4208333333333334E-3</v>
      </c>
      <c r="C313" s="97">
        <v>38.864227572131078</v>
      </c>
      <c r="D313" s="97">
        <v>308.56540189387738</v>
      </c>
      <c r="E313" s="97">
        <v>370.19194633516054</v>
      </c>
      <c r="F313" s="97">
        <v>547.25887345317972</v>
      </c>
      <c r="G313" s="97">
        <v>2169.1983251491038</v>
      </c>
      <c r="H313" s="97">
        <v>8058.0832805041828</v>
      </c>
      <c r="I313" s="97">
        <v>70</v>
      </c>
      <c r="J313" s="97">
        <v>45</v>
      </c>
      <c r="K313" s="97">
        <v>211.68049284287392</v>
      </c>
      <c r="L313" s="97">
        <v>1680.6528889819854</v>
      </c>
      <c r="M313" s="97">
        <v>2016.3121343721743</v>
      </c>
      <c r="N313" s="97">
        <v>2785.0916168154736</v>
      </c>
      <c r="O313" s="97">
        <v>35162.704850666974</v>
      </c>
      <c r="P313" s="97">
        <v>128338.5034469329</v>
      </c>
      <c r="Q313" s="97">
        <v>9653.8387923249065</v>
      </c>
      <c r="R313" s="97">
        <v>179848.78422293728</v>
      </c>
      <c r="S313" s="97">
        <v>75220687.374279663</v>
      </c>
      <c r="T313" s="97">
        <v>42015163.396421701</v>
      </c>
      <c r="U313" s="45">
        <v>0</v>
      </c>
      <c r="V313">
        <v>0</v>
      </c>
      <c r="W313">
        <v>2.4208333333333334E-3</v>
      </c>
      <c r="X313" s="97">
        <v>8058.0832805041828</v>
      </c>
      <c r="Y313" s="97">
        <v>7.2103117774764671</v>
      </c>
      <c r="Z313" s="97">
        <v>3683.8962770715302</v>
      </c>
      <c r="AA313" s="97">
        <v>82.923117519458415</v>
      </c>
      <c r="AB313" s="97">
        <v>5.4912349534117153</v>
      </c>
      <c r="AC313" s="97">
        <v>387.1066828062514</v>
      </c>
      <c r="AD313" s="97">
        <v>121.2870003432993</v>
      </c>
      <c r="AE313" s="97">
        <v>2339.9231910243648</v>
      </c>
      <c r="AF313" s="97">
        <v>4184.3238269171597</v>
      </c>
      <c r="AG313" s="97">
        <v>1790.2805980103781</v>
      </c>
      <c r="AH313" s="97">
        <v>114808.97891038668</v>
      </c>
      <c r="AI313" s="97">
        <v>2135.4545260869936</v>
      </c>
      <c r="AJ313" s="97">
        <v>178739.07073963431</v>
      </c>
      <c r="AK313" s="97">
        <v>182458.94583283167</v>
      </c>
      <c r="AL313" s="97">
        <v>3719.8750931973536</v>
      </c>
      <c r="AM313" s="97">
        <v>116944.43343647369</v>
      </c>
    </row>
    <row r="314" spans="1:39" x14ac:dyDescent="0.25">
      <c r="A314" s="97">
        <v>312</v>
      </c>
      <c r="B314" s="97">
        <v>2.4208333333333334E-3</v>
      </c>
      <c r="C314" s="97">
        <v>38.369235980831299</v>
      </c>
      <c r="D314" s="97">
        <v>305.94357129870644</v>
      </c>
      <c r="E314" s="97">
        <v>367.6488831975114</v>
      </c>
      <c r="F314" s="97">
        <v>544.26247951924438</v>
      </c>
      <c r="G314" s="97">
        <v>2159.8150116033535</v>
      </c>
      <c r="H314" s="97">
        <v>8063.6774950080016</v>
      </c>
      <c r="I314" s="97">
        <v>71</v>
      </c>
      <c r="J314" s="97">
        <v>45</v>
      </c>
      <c r="K314" s="97">
        <v>208.98443864226113</v>
      </c>
      <c r="L314" s="97">
        <v>1666.372651673621</v>
      </c>
      <c r="M314" s="97">
        <v>2002.460917149112</v>
      </c>
      <c r="N314" s="97">
        <v>2769.8424686866879</v>
      </c>
      <c r="O314" s="97">
        <v>35010.601338090361</v>
      </c>
      <c r="P314" s="97">
        <v>127820.09797528556</v>
      </c>
      <c r="Q314" s="97">
        <v>9614.3588957092506</v>
      </c>
      <c r="R314" s="97">
        <v>179092.71868523685</v>
      </c>
      <c r="S314" s="97">
        <v>75399780.092964903</v>
      </c>
      <c r="T314" s="97">
        <v>42064103.857870273</v>
      </c>
      <c r="U314" s="45">
        <v>0</v>
      </c>
      <c r="V314">
        <v>0</v>
      </c>
      <c r="W314">
        <v>2.4208333333333334E-3</v>
      </c>
      <c r="X314" s="97">
        <v>8063.6774950080016</v>
      </c>
      <c r="Y314" s="97">
        <v>7.1791434516488151</v>
      </c>
      <c r="Z314" s="97">
        <v>3691.0754205231792</v>
      </c>
      <c r="AA314" s="97">
        <v>82.589848408236946</v>
      </c>
      <c r="AB314" s="97">
        <v>5.4497903022610084</v>
      </c>
      <c r="AC314" s="97">
        <v>385.54133214412553</v>
      </c>
      <c r="AD314" s="97">
        <v>120.79099058620831</v>
      </c>
      <c r="AE314" s="97">
        <v>2345.2206180357389</v>
      </c>
      <c r="AF314" s="97">
        <v>4195.013237463415</v>
      </c>
      <c r="AG314" s="97">
        <v>1800.0254097983659</v>
      </c>
      <c r="AH314" s="97">
        <v>115956.77536561554</v>
      </c>
      <c r="AI314" s="97">
        <v>2170.3342588641426</v>
      </c>
      <c r="AJ314" s="97">
        <v>182625.91693694537</v>
      </c>
      <c r="AK314" s="97">
        <v>186463.9071855699</v>
      </c>
      <c r="AL314" s="97">
        <v>3837.9902486245023</v>
      </c>
      <c r="AM314" s="97">
        <v>118127.10962447969</v>
      </c>
    </row>
    <row r="315" spans="1:39" x14ac:dyDescent="0.25">
      <c r="A315" s="97">
        <v>313</v>
      </c>
      <c r="B315" s="97">
        <v>2.6475000000000001E-3</v>
      </c>
      <c r="C315" s="97">
        <v>37.871851789447199</v>
      </c>
      <c r="D315" s="97">
        <v>303.27297108123867</v>
      </c>
      <c r="E315" s="97">
        <v>365.03625284809863</v>
      </c>
      <c r="F315" s="97">
        <v>541.15365615774419</v>
      </c>
      <c r="G315" s="97">
        <v>2149.9762984925483</v>
      </c>
      <c r="H315" s="97">
        <v>8069.2410796377017</v>
      </c>
      <c r="I315" s="97">
        <v>71</v>
      </c>
      <c r="J315" s="97">
        <v>45</v>
      </c>
      <c r="K315" s="97">
        <v>206.2753527465224</v>
      </c>
      <c r="L315" s="97">
        <v>1651.8267824891466</v>
      </c>
      <c r="M315" s="97">
        <v>1988.2307905126438</v>
      </c>
      <c r="N315" s="97">
        <v>2754.0211484627862</v>
      </c>
      <c r="O315" s="97">
        <v>34851.115798564206</v>
      </c>
      <c r="P315" s="97">
        <v>127274.24956514488</v>
      </c>
      <c r="Q315" s="97">
        <v>9572.8243107075778</v>
      </c>
      <c r="R315" s="97">
        <v>178298.54374862777</v>
      </c>
      <c r="S315" s="97">
        <v>75578078.636713535</v>
      </c>
      <c r="T315" s="97">
        <v>42112625.124103822</v>
      </c>
      <c r="U315" s="45">
        <v>0</v>
      </c>
      <c r="V315">
        <v>0</v>
      </c>
      <c r="W315">
        <v>2.6475000000000001E-3</v>
      </c>
      <c r="X315" s="97">
        <v>8069.2410796377017</v>
      </c>
      <c r="Y315" s="97">
        <v>7.1480885899444981</v>
      </c>
      <c r="Z315" s="97">
        <v>3698.2235091131238</v>
      </c>
      <c r="AA315" s="97">
        <v>82.237335371651042</v>
      </c>
      <c r="AB315" s="97">
        <v>5.4275487065561476</v>
      </c>
      <c r="AC315" s="97">
        <v>383.89471777673157</v>
      </c>
      <c r="AD315" s="97">
        <v>120.26916653945069</v>
      </c>
      <c r="AE315" s="97">
        <v>2350.4959174751953</v>
      </c>
      <c r="AF315" s="97">
        <v>4205.6592049633482</v>
      </c>
      <c r="AG315" s="97">
        <v>1810.6285449797401</v>
      </c>
      <c r="AH315" s="97">
        <v>115956.77536561554</v>
      </c>
      <c r="AI315" s="97">
        <v>2170.3342588641426</v>
      </c>
      <c r="AJ315" s="97">
        <v>182625.91693694537</v>
      </c>
      <c r="AK315" s="97">
        <v>186463.9071855699</v>
      </c>
      <c r="AL315" s="97">
        <v>3837.9902486245023</v>
      </c>
      <c r="AM315" s="97">
        <v>118127.10962447969</v>
      </c>
    </row>
    <row r="316" spans="1:39" x14ac:dyDescent="0.25">
      <c r="A316" s="97">
        <v>314</v>
      </c>
      <c r="B316" s="97">
        <v>2.6475000000000001E-3</v>
      </c>
      <c r="C316" s="97">
        <v>37.380915238406061</v>
      </c>
      <c r="D316" s="97">
        <v>300.62400685814453</v>
      </c>
      <c r="E316" s="97">
        <v>362.43852710246034</v>
      </c>
      <c r="F316" s="97">
        <v>538.05715850049319</v>
      </c>
      <c r="G316" s="97">
        <v>2140.1759690819945</v>
      </c>
      <c r="H316" s="97">
        <v>8074.7728851120828</v>
      </c>
      <c r="I316" s="97">
        <v>71</v>
      </c>
      <c r="J316" s="97">
        <v>45</v>
      </c>
      <c r="K316" s="97">
        <v>203.60138499851834</v>
      </c>
      <c r="L316" s="97">
        <v>1637.3987573540271</v>
      </c>
      <c r="M316" s="97">
        <v>1974.081844284734</v>
      </c>
      <c r="N316" s="97">
        <v>2738.2625558020932</v>
      </c>
      <c r="O316" s="97">
        <v>34692.25245881913</v>
      </c>
      <c r="P316" s="97">
        <v>126730.17576940799</v>
      </c>
      <c r="Q316" s="97">
        <v>9531.4324786130601</v>
      </c>
      <c r="R316" s="97">
        <v>177507.20524927956</v>
      </c>
      <c r="S316" s="97">
        <v>75755585.841962814</v>
      </c>
      <c r="T316" s="97">
        <v>42160730.599987373</v>
      </c>
      <c r="U316" s="45">
        <v>0</v>
      </c>
      <c r="V316">
        <v>0</v>
      </c>
      <c r="W316">
        <v>2.6475000000000001E-3</v>
      </c>
      <c r="X316" s="97">
        <v>8074.7728851120828</v>
      </c>
      <c r="Y316" s="97">
        <v>7.1155265452558307</v>
      </c>
      <c r="Z316" s="97">
        <v>3705.3390356583795</v>
      </c>
      <c r="AA316" s="97">
        <v>81.884414313248797</v>
      </c>
      <c r="AB316" s="97">
        <v>5.4042429646034229</v>
      </c>
      <c r="AC316" s="97">
        <v>382.25501081856657</v>
      </c>
      <c r="AD316" s="97">
        <v>119.74913598358012</v>
      </c>
      <c r="AE316" s="97">
        <v>2355.7479664976904</v>
      </c>
      <c r="AF316" s="97">
        <v>4216.2594389413389</v>
      </c>
      <c r="AG316" s="97">
        <v>1821.1754231617656</v>
      </c>
      <c r="AH316" s="97">
        <v>115956.77536561554</v>
      </c>
      <c r="AI316" s="97">
        <v>2170.3342588641426</v>
      </c>
      <c r="AJ316" s="97">
        <v>182625.91693694537</v>
      </c>
      <c r="AK316" s="97">
        <v>186463.9071855699</v>
      </c>
      <c r="AL316" s="97">
        <v>3837.9902486245023</v>
      </c>
      <c r="AM316" s="97">
        <v>118127.10962447969</v>
      </c>
    </row>
    <row r="317" spans="1:39" x14ac:dyDescent="0.25">
      <c r="A317" s="97">
        <v>315</v>
      </c>
      <c r="B317" s="97">
        <v>2.6475000000000001E-3</v>
      </c>
      <c r="C317" s="97">
        <v>36.896342746310026</v>
      </c>
      <c r="D317" s="97">
        <v>297.99652828811224</v>
      </c>
      <c r="E317" s="97">
        <v>359.85566813917063</v>
      </c>
      <c r="F317" s="97">
        <v>534.9729858515899</v>
      </c>
      <c r="G317" s="97">
        <v>2130.4138756422253</v>
      </c>
      <c r="H317" s="97">
        <v>8080.2730374275197</v>
      </c>
      <c r="I317" s="97">
        <v>71</v>
      </c>
      <c r="J317" s="97">
        <v>45</v>
      </c>
      <c r="K317" s="97">
        <v>200.96208015823527</v>
      </c>
      <c r="L317" s="97">
        <v>1623.0877574092513</v>
      </c>
      <c r="M317" s="97">
        <v>1960.0138724646827</v>
      </c>
      <c r="N317" s="97">
        <v>2722.5666871630497</v>
      </c>
      <c r="O317" s="97">
        <v>34534.008924160473</v>
      </c>
      <c r="P317" s="97">
        <v>126187.87946431777</v>
      </c>
      <c r="Q317" s="97">
        <v>9490.1831627182346</v>
      </c>
      <c r="R317" s="97">
        <v>176718.70194839168</v>
      </c>
      <c r="S317" s="97">
        <v>75932304.543911204</v>
      </c>
      <c r="T317" s="97">
        <v>42208423.665823318</v>
      </c>
      <c r="U317" s="45">
        <v>0</v>
      </c>
      <c r="V317">
        <v>0</v>
      </c>
      <c r="W317">
        <v>2.6475000000000001E-3</v>
      </c>
      <c r="X317" s="97">
        <v>8080.2730374275197</v>
      </c>
      <c r="Y317" s="97">
        <v>7.0830915346364387</v>
      </c>
      <c r="Z317" s="97">
        <v>3712.422127193016</v>
      </c>
      <c r="AA317" s="97">
        <v>81.531137594655959</v>
      </c>
      <c r="AB317" s="97">
        <v>5.381022136677597</v>
      </c>
      <c r="AC317" s="97">
        <v>380.62216944202112</v>
      </c>
      <c r="AD317" s="97">
        <v>119.23089594469796</v>
      </c>
      <c r="AE317" s="97">
        <v>2360.976848204356</v>
      </c>
      <c r="AF317" s="97">
        <v>4226.8140819868677</v>
      </c>
      <c r="AG317" s="97">
        <v>1831.6663143643475</v>
      </c>
      <c r="AH317" s="97">
        <v>115956.77536561554</v>
      </c>
      <c r="AI317" s="97">
        <v>2170.3342588641426</v>
      </c>
      <c r="AJ317" s="97">
        <v>182625.91693694537</v>
      </c>
      <c r="AK317" s="97">
        <v>186463.9071855699</v>
      </c>
      <c r="AL317" s="97">
        <v>3837.9902486245023</v>
      </c>
      <c r="AM317" s="97">
        <v>118127.10962447969</v>
      </c>
    </row>
    <row r="318" spans="1:39" x14ac:dyDescent="0.25">
      <c r="A318" s="97">
        <v>316</v>
      </c>
      <c r="B318" s="97">
        <v>2.6475000000000001E-3</v>
      </c>
      <c r="C318" s="97">
        <v>36.418051815235131</v>
      </c>
      <c r="D318" s="97">
        <v>295.39038567447426</v>
      </c>
      <c r="E318" s="97">
        <v>357.28763752889301</v>
      </c>
      <c r="F318" s="97">
        <v>531.90113712332391</v>
      </c>
      <c r="G318" s="97">
        <v>2120.6898714901636</v>
      </c>
      <c r="H318" s="97">
        <v>8085.7416625732722</v>
      </c>
      <c r="I318" s="97">
        <v>71</v>
      </c>
      <c r="J318" s="97">
        <v>45</v>
      </c>
      <c r="K318" s="97">
        <v>198.35698888698067</v>
      </c>
      <c r="L318" s="97">
        <v>1608.8929673069697</v>
      </c>
      <c r="M318" s="97">
        <v>1946.0266657407037</v>
      </c>
      <c r="N318" s="97">
        <v>2706.9335370101157</v>
      </c>
      <c r="O318" s="97">
        <v>34376.382816855556</v>
      </c>
      <c r="P318" s="97">
        <v>125647.36324331257</v>
      </c>
      <c r="Q318" s="97">
        <v>9449.0761287749392</v>
      </c>
      <c r="R318" s="97">
        <v>175933.03234788784</v>
      </c>
      <c r="S318" s="97">
        <v>76108237.576259091</v>
      </c>
      <c r="T318" s="97">
        <v>42255707.677442946</v>
      </c>
      <c r="U318" s="45">
        <v>0</v>
      </c>
      <c r="V318">
        <v>0</v>
      </c>
      <c r="W318">
        <v>2.6475000000000001E-3</v>
      </c>
      <c r="X318" s="97">
        <v>8085.7416625732722</v>
      </c>
      <c r="Y318" s="97">
        <v>7.0507830691632849</v>
      </c>
      <c r="Z318" s="97">
        <v>3719.4729102621791</v>
      </c>
      <c r="AA318" s="97">
        <v>81.177556096457423</v>
      </c>
      <c r="AB318" s="97">
        <v>5.3578859005894115</v>
      </c>
      <c r="AC318" s="97">
        <v>378.9961522647767</v>
      </c>
      <c r="AD318" s="97">
        <v>118.71444347980324</v>
      </c>
      <c r="AE318" s="97">
        <v>2366.1826455844948</v>
      </c>
      <c r="AF318" s="97">
        <v>4237.3232770118639</v>
      </c>
      <c r="AG318" s="97">
        <v>1842.1014875150076</v>
      </c>
      <c r="AH318" s="97">
        <v>115956.77536561554</v>
      </c>
      <c r="AI318" s="97">
        <v>2170.3342588641426</v>
      </c>
      <c r="AJ318" s="97">
        <v>182625.91693694537</v>
      </c>
      <c r="AK318" s="97">
        <v>186463.9071855699</v>
      </c>
      <c r="AL318" s="97">
        <v>3837.9902486245023</v>
      </c>
      <c r="AM318" s="97">
        <v>118127.10962447969</v>
      </c>
    </row>
    <row r="319" spans="1:39" x14ac:dyDescent="0.25">
      <c r="A319" s="97">
        <v>317</v>
      </c>
      <c r="B319" s="97">
        <v>2.6475000000000001E-3</v>
      </c>
      <c r="C319" s="97">
        <v>35.945961016686148</v>
      </c>
      <c r="D319" s="97">
        <v>292.80542996992273</v>
      </c>
      <c r="E319" s="97">
        <v>354.73439624718594</v>
      </c>
      <c r="F319" s="97">
        <v>528.84161083477704</v>
      </c>
      <c r="G319" s="97">
        <v>2111.0038109776551</v>
      </c>
      <c r="H319" s="97">
        <v>8091.1788865274812</v>
      </c>
      <c r="I319" s="97">
        <v>71</v>
      </c>
      <c r="J319" s="97">
        <v>45</v>
      </c>
      <c r="K319" s="97">
        <v>195.78566767088387</v>
      </c>
      <c r="L319" s="97">
        <v>1594.8135752361791</v>
      </c>
      <c r="M319" s="97">
        <v>1932.1200115596725</v>
      </c>
      <c r="N319" s="97">
        <v>2691.3630978066526</v>
      </c>
      <c r="O319" s="97">
        <v>34219.371775947788</v>
      </c>
      <c r="P319" s="97">
        <v>125108.62942589115</v>
      </c>
      <c r="Q319" s="97">
        <v>9408.1111444916878</v>
      </c>
      <c r="R319" s="97">
        <v>175150.19469860403</v>
      </c>
      <c r="S319" s="97">
        <v>76283387.770957693</v>
      </c>
      <c r="T319" s="97">
        <v>42302585.966300659</v>
      </c>
      <c r="U319" s="45">
        <v>0</v>
      </c>
      <c r="V319">
        <v>0</v>
      </c>
      <c r="W319">
        <v>2.6475000000000001E-3</v>
      </c>
      <c r="X319" s="97">
        <v>8091.1788865274812</v>
      </c>
      <c r="Y319" s="97">
        <v>7.0186006633764455</v>
      </c>
      <c r="Z319" s="97">
        <v>3726.4915109255553</v>
      </c>
      <c r="AA319" s="97">
        <v>80.823719256325987</v>
      </c>
      <c r="AB319" s="97">
        <v>5.3348339366589679</v>
      </c>
      <c r="AC319" s="97">
        <v>377.37691834414454</v>
      </c>
      <c r="AD319" s="97">
        <v>118.19977567047789</v>
      </c>
      <c r="AE319" s="97">
        <v>2371.3654415107485</v>
      </c>
      <c r="AF319" s="97">
        <v>4247.7871672319006</v>
      </c>
      <c r="AG319" s="97">
        <v>1852.4812104509228</v>
      </c>
      <c r="AH319" s="97">
        <v>115956.77536561554</v>
      </c>
      <c r="AI319" s="97">
        <v>2170.3342588641426</v>
      </c>
      <c r="AJ319" s="97">
        <v>182625.91693694537</v>
      </c>
      <c r="AK319" s="97">
        <v>186463.9071855699</v>
      </c>
      <c r="AL319" s="97">
        <v>3837.9902486245023</v>
      </c>
      <c r="AM319" s="97">
        <v>118127.10962447969</v>
      </c>
    </row>
    <row r="320" spans="1:39" x14ac:dyDescent="0.25">
      <c r="A320" s="97">
        <v>318</v>
      </c>
      <c r="B320" s="97">
        <v>2.6475000000000001E-3</v>
      </c>
      <c r="C320" s="97">
        <v>35.47998997773346</v>
      </c>
      <c r="D320" s="97">
        <v>290.24151278103284</v>
      </c>
      <c r="E320" s="97">
        <v>352.19590468717348</v>
      </c>
      <c r="F320" s="97">
        <v>525.79440511057749</v>
      </c>
      <c r="G320" s="97">
        <v>2101.3555494800685</v>
      </c>
      <c r="H320" s="97">
        <v>8096.5848352531493</v>
      </c>
      <c r="I320" s="97">
        <v>71</v>
      </c>
      <c r="J320" s="97">
        <v>45</v>
      </c>
      <c r="K320" s="97">
        <v>193.24767874538824</v>
      </c>
      <c r="L320" s="97">
        <v>1580.8487729473588</v>
      </c>
      <c r="M320" s="97">
        <v>1918.2936941961382</v>
      </c>
      <c r="N320" s="97">
        <v>2675.8553600085806</v>
      </c>
      <c r="O320" s="97">
        <v>34062.973457071908</v>
      </c>
      <c r="P320" s="97">
        <v>124571.68006623449</v>
      </c>
      <c r="Q320" s="97">
        <v>9367.2879790692259</v>
      </c>
      <c r="R320" s="97">
        <v>174370.18700827309</v>
      </c>
      <c r="S320" s="97">
        <v>76457757.95796597</v>
      </c>
      <c r="T320" s="97">
        <v>42349061.839570671</v>
      </c>
      <c r="U320" s="45">
        <v>0</v>
      </c>
      <c r="V320">
        <v>0</v>
      </c>
      <c r="W320">
        <v>2.6475000000000001E-3</v>
      </c>
      <c r="X320" s="97">
        <v>8096.5848352531493</v>
      </c>
      <c r="Y320" s="97">
        <v>6.9865438352411626</v>
      </c>
      <c r="Z320" s="97">
        <v>3733.4780547607966</v>
      </c>
      <c r="AA320" s="97">
        <v>80.469675106182024</v>
      </c>
      <c r="AB320" s="97">
        <v>5.3118659276897713</v>
      </c>
      <c r="AC320" s="97">
        <v>375.76442717148262</v>
      </c>
      <c r="AD320" s="97">
        <v>117.68688961705165</v>
      </c>
      <c r="AE320" s="97">
        <v>2376.5253187344438</v>
      </c>
      <c r="AF320" s="97">
        <v>4258.2058961476896</v>
      </c>
      <c r="AG320" s="97">
        <v>1862.8057499210074</v>
      </c>
      <c r="AH320" s="97">
        <v>115956.77536561554</v>
      </c>
      <c r="AI320" s="97">
        <v>2170.3342588641426</v>
      </c>
      <c r="AJ320" s="97">
        <v>182625.91693694537</v>
      </c>
      <c r="AK320" s="97">
        <v>186463.9071855699</v>
      </c>
      <c r="AL320" s="97">
        <v>3837.9902486245023</v>
      </c>
      <c r="AM320" s="97">
        <v>118127.10962447969</v>
      </c>
    </row>
    <row r="321" spans="1:39" x14ac:dyDescent="0.25">
      <c r="A321" s="97">
        <v>319</v>
      </c>
      <c r="B321" s="97">
        <v>2.6475000000000001E-3</v>
      </c>
      <c r="C321" s="97">
        <v>35.020059367329665</v>
      </c>
      <c r="D321" s="97">
        <v>287.69848637259804</v>
      </c>
      <c r="E321" s="97">
        <v>349.67212267208146</v>
      </c>
      <c r="F321" s="97">
        <v>522.7595176798053</v>
      </c>
      <c r="G321" s="97">
        <v>2091.7449433849647</v>
      </c>
      <c r="H321" s="97">
        <v>8101.9596346941089</v>
      </c>
      <c r="I321" s="97">
        <v>71</v>
      </c>
      <c r="J321" s="97">
        <v>45</v>
      </c>
      <c r="K321" s="97">
        <v>190.74259002072222</v>
      </c>
      <c r="L321" s="97">
        <v>1566.997755776084</v>
      </c>
      <c r="M321" s="97">
        <v>1904.5474948206036</v>
      </c>
      <c r="N321" s="97">
        <v>2660.4103120588088</v>
      </c>
      <c r="O321" s="97">
        <v>33907.185532270283</v>
      </c>
      <c r="P321" s="97">
        <v>124036.51696159049</v>
      </c>
      <c r="Q321" s="97">
        <v>9326.6064027720095</v>
      </c>
      <c r="R321" s="97">
        <v>173593.007049309</v>
      </c>
      <c r="S321" s="97">
        <v>76631350.965015277</v>
      </c>
      <c r="T321" s="97">
        <v>42395138.580246158</v>
      </c>
      <c r="U321" s="45">
        <v>0</v>
      </c>
      <c r="V321">
        <v>0</v>
      </c>
      <c r="W321">
        <v>2.6475000000000001E-3</v>
      </c>
      <c r="X321" s="97">
        <v>8101.9596346941089</v>
      </c>
      <c r="Y321" s="97">
        <v>6.95461210611011</v>
      </c>
      <c r="Z321" s="97">
        <v>3740.4326668669069</v>
      </c>
      <c r="AA321" s="97">
        <v>80.11547030840859</v>
      </c>
      <c r="AB321" s="97">
        <v>5.2889815589428668</v>
      </c>
      <c r="AC321" s="97">
        <v>374.15863866668872</v>
      </c>
      <c r="AD321" s="97">
        <v>117.17578243321829</v>
      </c>
      <c r="AE321" s="97">
        <v>2381.6623598811066</v>
      </c>
      <c r="AF321" s="97">
        <v>4268.5796075268636</v>
      </c>
      <c r="AG321" s="97">
        <v>1873.0753715880405</v>
      </c>
      <c r="AH321" s="97">
        <v>115956.77536561554</v>
      </c>
      <c r="AI321" s="97">
        <v>2170.3342588641426</v>
      </c>
      <c r="AJ321" s="97">
        <v>182625.91693694537</v>
      </c>
      <c r="AK321" s="97">
        <v>186463.9071855699</v>
      </c>
      <c r="AL321" s="97">
        <v>3837.9902486245023</v>
      </c>
      <c r="AM321" s="97">
        <v>118127.10962447969</v>
      </c>
    </row>
    <row r="322" spans="1:39" x14ac:dyDescent="0.25">
      <c r="A322" s="97">
        <v>320</v>
      </c>
      <c r="B322" s="97">
        <v>2.6475000000000001E-3</v>
      </c>
      <c r="C322" s="97">
        <v>34.566090882803557</v>
      </c>
      <c r="D322" s="97">
        <v>285.1762036717804</v>
      </c>
      <c r="E322" s="97">
        <v>347.16300946763943</v>
      </c>
      <c r="F322" s="97">
        <v>519.7369458750436</v>
      </c>
      <c r="G322" s="97">
        <v>2082.1718500808342</v>
      </c>
      <c r="H322" s="97">
        <v>8107.3034107709782</v>
      </c>
      <c r="I322" s="97">
        <v>71</v>
      </c>
      <c r="J322" s="97">
        <v>45</v>
      </c>
      <c r="K322" s="97">
        <v>188.2699750083367</v>
      </c>
      <c r="L322" s="97">
        <v>1553.2597226656305</v>
      </c>
      <c r="M322" s="97">
        <v>1890.881191567076</v>
      </c>
      <c r="N322" s="97">
        <v>2645.0279403824093</v>
      </c>
      <c r="O322" s="97">
        <v>33752.005689810328</v>
      </c>
      <c r="P322" s="97">
        <v>123503.14166042791</v>
      </c>
      <c r="Q322" s="97">
        <v>9286.0661865335023</v>
      </c>
      <c r="R322" s="97">
        <v>172818.6523663952</v>
      </c>
      <c r="S322" s="97">
        <v>76804169.617381677</v>
      </c>
      <c r="T322" s="97">
        <v>42440819.447240673</v>
      </c>
      <c r="U322" s="45">
        <v>0</v>
      </c>
      <c r="V322">
        <v>0</v>
      </c>
      <c r="W322">
        <v>2.6475000000000001E-3</v>
      </c>
      <c r="X322" s="97">
        <v>8107.3034107709782</v>
      </c>
      <c r="Y322" s="97">
        <v>6.9228050006858979</v>
      </c>
      <c r="Z322" s="97">
        <v>3747.3554718675928</v>
      </c>
      <c r="AA322" s="97">
        <v>79.761150191145745</v>
      </c>
      <c r="AB322" s="97">
        <v>5.2661805181110504</v>
      </c>
      <c r="AC322" s="97">
        <v>372.55951317276924</v>
      </c>
      <c r="AD322" s="97">
        <v>116.66645124107673</v>
      </c>
      <c r="AE322" s="97">
        <v>2386.7766474461464</v>
      </c>
      <c r="AF322" s="97">
        <v>4278.9084453860723</v>
      </c>
      <c r="AG322" s="97">
        <v>1883.2903400308339</v>
      </c>
      <c r="AH322" s="97">
        <v>115956.77536561554</v>
      </c>
      <c r="AI322" s="97">
        <v>2170.3342588641426</v>
      </c>
      <c r="AJ322" s="97">
        <v>182625.91693694537</v>
      </c>
      <c r="AK322" s="97">
        <v>186463.9071855699</v>
      </c>
      <c r="AL322" s="97">
        <v>3837.9902486245023</v>
      </c>
      <c r="AM322" s="97">
        <v>118127.10962447969</v>
      </c>
    </row>
    <row r="323" spans="1:39" x14ac:dyDescent="0.25">
      <c r="A323" s="97">
        <v>321</v>
      </c>
      <c r="B323" s="97">
        <v>2.6475000000000001E-3</v>
      </c>
      <c r="C323" s="97">
        <v>34.118007236529188</v>
      </c>
      <c r="D323" s="97">
        <v>282.67451827208021</v>
      </c>
      <c r="E323" s="97">
        <v>344.66852379434937</v>
      </c>
      <c r="F323" s="97">
        <v>516.72668663157458</v>
      </c>
      <c r="G323" s="97">
        <v>2072.6361279459065</v>
      </c>
      <c r="H323" s="97">
        <v>8112.6162893771088</v>
      </c>
      <c r="I323" s="97">
        <v>71</v>
      </c>
      <c r="J323" s="97">
        <v>45</v>
      </c>
      <c r="K323" s="97">
        <v>185.82941274829562</v>
      </c>
      <c r="L323" s="97">
        <v>1539.6338761885968</v>
      </c>
      <c r="M323" s="97">
        <v>1877.2945595998895</v>
      </c>
      <c r="N323" s="97">
        <v>2629.7082293825215</v>
      </c>
      <c r="O323" s="97">
        <v>33597.431634003144</v>
      </c>
      <c r="P323" s="97">
        <v>122971.55547036532</v>
      </c>
      <c r="Q323" s="97">
        <v>9245.6671015932607</v>
      </c>
      <c r="R323" s="97">
        <v>172047.12028388103</v>
      </c>
      <c r="S323" s="97">
        <v>76976216.737665564</v>
      </c>
      <c r="T323" s="97">
        <v>42486107.675491773</v>
      </c>
      <c r="U323" s="45">
        <v>0</v>
      </c>
      <c r="V323">
        <v>0</v>
      </c>
      <c r="W323">
        <v>2.6475000000000001E-3</v>
      </c>
      <c r="X323" s="97">
        <v>8112.6162893771088</v>
      </c>
      <c r="Y323" s="97">
        <v>6.8911220469837984</v>
      </c>
      <c r="Z323" s="97">
        <v>3754.2465939145764</v>
      </c>
      <c r="AA323" s="97">
        <v>79.40675878268749</v>
      </c>
      <c r="AB323" s="97">
        <v>5.2434624952931888</v>
      </c>
      <c r="AC323" s="97">
        <v>370.96701145048178</v>
      </c>
      <c r="AD323" s="97">
        <v>116.15889316657153</v>
      </c>
      <c r="AE323" s="97">
        <v>2391.8682637906986</v>
      </c>
      <c r="AF323" s="97">
        <v>4289.1925539733757</v>
      </c>
      <c r="AG323" s="97">
        <v>1893.4509187464425</v>
      </c>
      <c r="AH323" s="97">
        <v>115956.77536561554</v>
      </c>
      <c r="AI323" s="97">
        <v>2170.3342588641426</v>
      </c>
      <c r="AJ323" s="97">
        <v>182625.91693694537</v>
      </c>
      <c r="AK323" s="97">
        <v>186463.9071855699</v>
      </c>
      <c r="AL323" s="97">
        <v>3837.9902486245023</v>
      </c>
      <c r="AM323" s="97">
        <v>118127.10962447969</v>
      </c>
    </row>
    <row r="324" spans="1:39" x14ac:dyDescent="0.25">
      <c r="A324" s="97">
        <v>322</v>
      </c>
      <c r="B324" s="97">
        <v>2.6475000000000001E-3</v>
      </c>
      <c r="C324" s="97">
        <v>33.675732142767721</v>
      </c>
      <c r="D324" s="97">
        <v>280.19328443712817</v>
      </c>
      <c r="E324" s="97">
        <v>342.18862383962079</v>
      </c>
      <c r="F324" s="97">
        <v>513.72873648671498</v>
      </c>
      <c r="G324" s="97">
        <v>2063.1376363370314</v>
      </c>
      <c r="H324" s="97">
        <v>8117.8983963745241</v>
      </c>
      <c r="I324" s="97">
        <v>71</v>
      </c>
      <c r="J324" s="97">
        <v>45</v>
      </c>
      <c r="K324" s="97">
        <v>183.42048773760817</v>
      </c>
      <c r="L324" s="97">
        <v>1526.1194225675581</v>
      </c>
      <c r="M324" s="97">
        <v>1863.7873711798011</v>
      </c>
      <c r="N324" s="97">
        <v>2614.4511614369735</v>
      </c>
      <c r="O324" s="97">
        <v>33443.461085023278</v>
      </c>
      <c r="P324" s="97">
        <v>122441.75946588122</v>
      </c>
      <c r="Q324" s="97">
        <v>9205.4089191639287</v>
      </c>
      <c r="R324" s="97">
        <v>171278.40791299037</v>
      </c>
      <c r="S324" s="97">
        <v>77147495.145578548</v>
      </c>
      <c r="T324" s="97">
        <v>42531006.476066716</v>
      </c>
      <c r="U324" s="45">
        <v>0</v>
      </c>
      <c r="V324">
        <v>0</v>
      </c>
      <c r="W324">
        <v>2.6475000000000001E-3</v>
      </c>
      <c r="X324" s="97">
        <v>8117.8983963745241</v>
      </c>
      <c r="Y324" s="97">
        <v>6.8595627762947053</v>
      </c>
      <c r="Z324" s="97">
        <v>3761.1061566908711</v>
      </c>
      <c r="AA324" s="97">
        <v>79.052338845003732</v>
      </c>
      <c r="AB324" s="97">
        <v>5.2208271829686188</v>
      </c>
      <c r="AC324" s="97">
        <v>369.38109467305031</v>
      </c>
      <c r="AD324" s="97">
        <v>115.65310533530911</v>
      </c>
      <c r="AE324" s="97">
        <v>2396.9372911376258</v>
      </c>
      <c r="AF324" s="97">
        <v>4299.4320777509556</v>
      </c>
      <c r="AG324" s="97">
        <v>1903.557370152417</v>
      </c>
      <c r="AH324" s="97">
        <v>115956.77536561554</v>
      </c>
      <c r="AI324" s="97">
        <v>2170.3342588641426</v>
      </c>
      <c r="AJ324" s="97">
        <v>182625.91693694537</v>
      </c>
      <c r="AK324" s="97">
        <v>186463.9071855699</v>
      </c>
      <c r="AL324" s="97">
        <v>3837.9902486245023</v>
      </c>
      <c r="AM324" s="97">
        <v>118127.10962447969</v>
      </c>
    </row>
    <row r="325" spans="1:39" x14ac:dyDescent="0.25">
      <c r="A325" s="97">
        <v>323</v>
      </c>
      <c r="B325" s="97">
        <v>2.6475000000000001E-3</v>
      </c>
      <c r="C325" s="97">
        <v>33.23919030467988</v>
      </c>
      <c r="D325" s="97">
        <v>277.73235710430396</v>
      </c>
      <c r="E325" s="97">
        <v>339.72326726977343</v>
      </c>
      <c r="F325" s="97">
        <v>510.74309157928906</v>
      </c>
      <c r="G325" s="97">
        <v>2053.6762355786304</v>
      </c>
      <c r="H325" s="97">
        <v>8123.1498575898504</v>
      </c>
      <c r="I325" s="97">
        <v>71</v>
      </c>
      <c r="J325" s="97">
        <v>45</v>
      </c>
      <c r="K325" s="97">
        <v>181.04278985948974</v>
      </c>
      <c r="L325" s="97">
        <v>1512.7155716947755</v>
      </c>
      <c r="M325" s="97">
        <v>1850.3593957293658</v>
      </c>
      <c r="N325" s="97">
        <v>2599.2567168955984</v>
      </c>
      <c r="O325" s="97">
        <v>33290.091778729598</v>
      </c>
      <c r="P325" s="97">
        <v>121913.75449581064</v>
      </c>
      <c r="Q325" s="97">
        <v>9165.2914101263104</v>
      </c>
      <c r="R325" s="97">
        <v>170512.51215884578</v>
      </c>
      <c r="S325" s="97">
        <v>77318007.657737389</v>
      </c>
      <c r="T325" s="97">
        <v>42575519.036270119</v>
      </c>
      <c r="U325" s="45">
        <v>0</v>
      </c>
      <c r="V325">
        <v>0</v>
      </c>
      <c r="W325">
        <v>2.6475000000000001E-3</v>
      </c>
      <c r="X325" s="97">
        <v>8123.1498575898504</v>
      </c>
      <c r="Y325" s="97">
        <v>6.8281267231483378</v>
      </c>
      <c r="Z325" s="97">
        <v>3767.9342834140193</v>
      </c>
      <c r="AA325" s="97">
        <v>78.69793190640965</v>
      </c>
      <c r="AB325" s="97">
        <v>5.1982742759716594</v>
      </c>
      <c r="AC325" s="97">
        <v>367.80172442095221</v>
      </c>
      <c r="AD325" s="97">
        <v>115.1490848687268</v>
      </c>
      <c r="AE325" s="97">
        <v>2401.9838115676712</v>
      </c>
      <c r="AF325" s="97">
        <v>4309.627161378141</v>
      </c>
      <c r="AG325" s="97">
        <v>1913.6099555890928</v>
      </c>
      <c r="AH325" s="97">
        <v>115956.77536561554</v>
      </c>
      <c r="AI325" s="97">
        <v>2170.3342588641426</v>
      </c>
      <c r="AJ325" s="97">
        <v>182625.91693694537</v>
      </c>
      <c r="AK325" s="97">
        <v>186463.9071855699</v>
      </c>
      <c r="AL325" s="97">
        <v>3837.9902486245023</v>
      </c>
      <c r="AM325" s="97">
        <v>118127.10962447969</v>
      </c>
    </row>
    <row r="326" spans="1:39" x14ac:dyDescent="0.25">
      <c r="A326" s="97">
        <v>324</v>
      </c>
      <c r="B326" s="97">
        <v>2.6475000000000001E-3</v>
      </c>
      <c r="C326" s="97">
        <v>32.808307401506752</v>
      </c>
      <c r="D326" s="97">
        <v>275.29159188818454</v>
      </c>
      <c r="E326" s="97">
        <v>337.27241124190738</v>
      </c>
      <c r="F326" s="97">
        <v>507.76974764923563</v>
      </c>
      <c r="G326" s="97">
        <v>2044.2517869517249</v>
      </c>
      <c r="H326" s="97">
        <v>8128.3707988102442</v>
      </c>
      <c r="I326" s="97">
        <v>72</v>
      </c>
      <c r="J326" s="97">
        <v>45</v>
      </c>
      <c r="K326" s="97">
        <v>178.6959143135401</v>
      </c>
      <c r="L326" s="97">
        <v>1499.4215371509783</v>
      </c>
      <c r="M326" s="97">
        <v>1837.0103998975887</v>
      </c>
      <c r="N326" s="97">
        <v>2584.1248740782348</v>
      </c>
      <c r="O326" s="97">
        <v>33137.321466487461</v>
      </c>
      <c r="P326" s="97">
        <v>121387.54119063419</v>
      </c>
      <c r="Q326" s="97">
        <v>9125.3143447508482</v>
      </c>
      <c r="R326" s="97">
        <v>169749.42972731285</v>
      </c>
      <c r="S326" s="97">
        <v>77487757.087464705</v>
      </c>
      <c r="T326" s="97">
        <v>42619648.519753516</v>
      </c>
      <c r="U326" s="45">
        <v>0</v>
      </c>
      <c r="V326">
        <v>0</v>
      </c>
      <c r="W326">
        <v>2.6475000000000001E-3</v>
      </c>
      <c r="X326" s="97">
        <v>8128.3707988102442</v>
      </c>
      <c r="Y326" s="97">
        <v>6.7968134252766781</v>
      </c>
      <c r="Z326" s="97">
        <v>3774.7310968392958</v>
      </c>
      <c r="AA326" s="97">
        <v>78.363105563592228</v>
      </c>
      <c r="AB326" s="97">
        <v>5.1562762012777288</v>
      </c>
      <c r="AC326" s="97">
        <v>366.20933540658655</v>
      </c>
      <c r="AD326" s="97">
        <v>114.6468288805936</v>
      </c>
      <c r="AE326" s="97">
        <v>2407.0079070157581</v>
      </c>
      <c r="AF326" s="97">
        <v>4319.777949694746</v>
      </c>
      <c r="AG326" s="97">
        <v>1923.608935321922</v>
      </c>
      <c r="AH326" s="97">
        <v>116981.74623712734</v>
      </c>
      <c r="AI326" s="97">
        <v>2201.8760207340019</v>
      </c>
      <c r="AJ326" s="97">
        <v>186270.3778707184</v>
      </c>
      <c r="AK326" s="97">
        <v>190220.52030055324</v>
      </c>
      <c r="AL326" s="97">
        <v>3950.1424298348052</v>
      </c>
      <c r="AM326" s="97">
        <v>119183.62225786135</v>
      </c>
    </row>
    <row r="327" spans="1:39" x14ac:dyDescent="0.25">
      <c r="A327" s="97">
        <v>325</v>
      </c>
      <c r="B327" s="97">
        <v>2.8908333333333334E-3</v>
      </c>
      <c r="C327" s="97">
        <v>32.375026721115709</v>
      </c>
      <c r="D327" s="97">
        <v>272.80385746313266</v>
      </c>
      <c r="E327" s="97">
        <v>334.7539427955727</v>
      </c>
      <c r="F327" s="97">
        <v>504.68514273208433</v>
      </c>
      <c r="G327" s="97">
        <v>2034.3667180815439</v>
      </c>
      <c r="H327" s="97">
        <v>8133.5613457793152</v>
      </c>
      <c r="I327" s="97">
        <v>72</v>
      </c>
      <c r="J327" s="97">
        <v>45</v>
      </c>
      <c r="K327" s="97">
        <v>176.33597887434357</v>
      </c>
      <c r="L327" s="97">
        <v>1485.8716769825292</v>
      </c>
      <c r="M327" s="97">
        <v>1823.2931417598859</v>
      </c>
      <c r="N327" s="97">
        <v>2568.4268055540324</v>
      </c>
      <c r="O327" s="97">
        <v>32977.084500101832</v>
      </c>
      <c r="P327" s="97">
        <v>120833.54633467519</v>
      </c>
      <c r="Q327" s="97">
        <v>9083.2569992866411</v>
      </c>
      <c r="R327" s="97">
        <v>168947.81543723444</v>
      </c>
      <c r="S327" s="97">
        <v>77656704.902901933</v>
      </c>
      <c r="T327" s="97">
        <v>42663387.363689102</v>
      </c>
      <c r="U327" s="45">
        <v>0</v>
      </c>
      <c r="V327">
        <v>0</v>
      </c>
      <c r="W327">
        <v>2.8908333333333334E-3</v>
      </c>
      <c r="X327" s="97">
        <v>8133.5613457793152</v>
      </c>
      <c r="Y327" s="97">
        <v>6.7656224235776525</v>
      </c>
      <c r="Z327" s="97">
        <v>3781.4967192628733</v>
      </c>
      <c r="AA327" s="97">
        <v>78.008728731396218</v>
      </c>
      <c r="AB327" s="97">
        <v>5.1339716679558371</v>
      </c>
      <c r="AC327" s="97">
        <v>364.5347491097591</v>
      </c>
      <c r="AD327" s="97">
        <v>114.1184370787944</v>
      </c>
      <c r="AE327" s="97">
        <v>2412.0096592674349</v>
      </c>
      <c r="AF327" s="97">
        <v>4329.8847195514472</v>
      </c>
      <c r="AG327" s="97">
        <v>1934.4686777351531</v>
      </c>
      <c r="AH327" s="97">
        <v>116981.74623712734</v>
      </c>
      <c r="AI327" s="97">
        <v>2201.8760207340019</v>
      </c>
      <c r="AJ327" s="97">
        <v>186270.3778707184</v>
      </c>
      <c r="AK327" s="97">
        <v>190220.52030055324</v>
      </c>
      <c r="AL327" s="97">
        <v>3950.1424298348052</v>
      </c>
      <c r="AM327" s="97">
        <v>119183.62225786135</v>
      </c>
    </row>
    <row r="328" spans="1:39" x14ac:dyDescent="0.25">
      <c r="A328" s="97">
        <v>326</v>
      </c>
      <c r="B328" s="97">
        <v>2.8908333333333334E-3</v>
      </c>
      <c r="C328" s="97">
        <v>31.947468132562648</v>
      </c>
      <c r="D328" s="97">
        <v>270.33719282559258</v>
      </c>
      <c r="E328" s="97">
        <v>332.25109340895307</v>
      </c>
      <c r="F328" s="97">
        <v>501.61430018338723</v>
      </c>
      <c r="G328" s="97">
        <v>2024.5230164222733</v>
      </c>
      <c r="H328" s="97">
        <v>8138.7203611599498</v>
      </c>
      <c r="I328" s="97">
        <v>72</v>
      </c>
      <c r="J328" s="97">
        <v>45</v>
      </c>
      <c r="K328" s="97">
        <v>174.00720976202453</v>
      </c>
      <c r="L328" s="97">
        <v>1472.4365769233941</v>
      </c>
      <c r="M328" s="97">
        <v>1809.6609554340976</v>
      </c>
      <c r="N328" s="97">
        <v>2552.7987760166216</v>
      </c>
      <c r="O328" s="97">
        <v>32817.518096205051</v>
      </c>
      <c r="P328" s="97">
        <v>120281.57192102092</v>
      </c>
      <c r="Q328" s="97">
        <v>9041.3595013846516</v>
      </c>
      <c r="R328" s="97">
        <v>168149.35303674676</v>
      </c>
      <c r="S328" s="97">
        <v>77824854.255938679</v>
      </c>
      <c r="T328" s="97">
        <v>42706738.86271257</v>
      </c>
      <c r="U328" s="45">
        <v>0</v>
      </c>
      <c r="V328">
        <v>0</v>
      </c>
      <c r="W328">
        <v>2.8908333333333334E-3</v>
      </c>
      <c r="X328" s="97">
        <v>8138.7203611599498</v>
      </c>
      <c r="Y328" s="97">
        <v>6.7329069606226559</v>
      </c>
      <c r="Z328" s="97">
        <v>3788.2296262234959</v>
      </c>
      <c r="AA328" s="97">
        <v>77.654004768564207</v>
      </c>
      <c r="AB328" s="97">
        <v>5.110584630599095</v>
      </c>
      <c r="AC328" s="97">
        <v>362.86790965657315</v>
      </c>
      <c r="AD328" s="97">
        <v>113.59205353834602</v>
      </c>
      <c r="AE328" s="97">
        <v>2416.9879320909281</v>
      </c>
      <c r="AF328" s="97">
        <v>4339.9451516079171</v>
      </c>
      <c r="AG328" s="97">
        <v>1945.2678094558305</v>
      </c>
      <c r="AH328" s="97">
        <v>116981.74623712734</v>
      </c>
      <c r="AI328" s="97">
        <v>2201.8760207340019</v>
      </c>
      <c r="AJ328" s="97">
        <v>186270.3778707184</v>
      </c>
      <c r="AK328" s="97">
        <v>190220.52030055324</v>
      </c>
      <c r="AL328" s="97">
        <v>3950.1424298348052</v>
      </c>
      <c r="AM328" s="97">
        <v>119183.62225786135</v>
      </c>
    </row>
    <row r="329" spans="1:39" x14ac:dyDescent="0.25">
      <c r="A329" s="97">
        <v>327</v>
      </c>
      <c r="B329" s="97">
        <v>2.8908333333333334E-3</v>
      </c>
      <c r="C329" s="97">
        <v>31.52555606743087</v>
      </c>
      <c r="D329" s="97">
        <v>267.89144069776455</v>
      </c>
      <c r="E329" s="97">
        <v>329.76380782198709</v>
      </c>
      <c r="F329" s="97">
        <v>498.55720503944463</v>
      </c>
      <c r="G329" s="97">
        <v>2014.7205175880365</v>
      </c>
      <c r="H329" s="97">
        <v>8143.8479856344547</v>
      </c>
      <c r="I329" s="97">
        <v>72</v>
      </c>
      <c r="J329" s="97">
        <v>45</v>
      </c>
      <c r="K329" s="97">
        <v>171.70919538060679</v>
      </c>
      <c r="L329" s="97">
        <v>1459.1153803338241</v>
      </c>
      <c r="M329" s="97">
        <v>1796.1135399370896</v>
      </c>
      <c r="N329" s="97">
        <v>2537.2407093132401</v>
      </c>
      <c r="O329" s="97">
        <v>32658.619590102073</v>
      </c>
      <c r="P329" s="97">
        <v>119731.61840748462</v>
      </c>
      <c r="Q329" s="97">
        <v>8999.6214531784881</v>
      </c>
      <c r="R329" s="97">
        <v>167354.03827572995</v>
      </c>
      <c r="S329" s="97">
        <v>77992208.294214413</v>
      </c>
      <c r="T329" s="97">
        <v>42749706.286380999</v>
      </c>
      <c r="U329" s="45">
        <v>0</v>
      </c>
      <c r="V329">
        <v>0</v>
      </c>
      <c r="W329">
        <v>2.8908333333333334E-3</v>
      </c>
      <c r="X329" s="97">
        <v>8143.8479856344547</v>
      </c>
      <c r="Y329" s="97">
        <v>6.7003284059152248</v>
      </c>
      <c r="Z329" s="97">
        <v>3794.929954629411</v>
      </c>
      <c r="AA329" s="97">
        <v>77.298988141312194</v>
      </c>
      <c r="AB329" s="97">
        <v>5.0872888329219297</v>
      </c>
      <c r="AC329" s="97">
        <v>361.20876425751811</v>
      </c>
      <c r="AD329" s="97">
        <v>113.06767326061296</v>
      </c>
      <c r="AE329" s="97">
        <v>2421.9428173587908</v>
      </c>
      <c r="AF329" s="97">
        <v>4349.9594074716706</v>
      </c>
      <c r="AG329" s="97">
        <v>1956.006639654222</v>
      </c>
      <c r="AH329" s="97">
        <v>116981.74623712734</v>
      </c>
      <c r="AI329" s="97">
        <v>2201.8760207340019</v>
      </c>
      <c r="AJ329" s="97">
        <v>186270.3778707184</v>
      </c>
      <c r="AK329" s="97">
        <v>190220.52030055324</v>
      </c>
      <c r="AL329" s="97">
        <v>3950.1424298348052</v>
      </c>
      <c r="AM329" s="97">
        <v>119183.62225786135</v>
      </c>
    </row>
    <row r="330" spans="1:39" x14ac:dyDescent="0.25">
      <c r="A330" s="97">
        <v>328</v>
      </c>
      <c r="B330" s="97">
        <v>2.8908333333333334E-3</v>
      </c>
      <c r="C330" s="97">
        <v>31.109215955292836</v>
      </c>
      <c r="D330" s="97">
        <v>265.46644463694543</v>
      </c>
      <c r="E330" s="97">
        <v>327.29203035994374</v>
      </c>
      <c r="F330" s="97">
        <v>495.51384194722817</v>
      </c>
      <c r="G330" s="97">
        <v>2004.959058252281</v>
      </c>
      <c r="H330" s="97">
        <v>8148.9443597321761</v>
      </c>
      <c r="I330" s="97">
        <v>72</v>
      </c>
      <c r="J330" s="97">
        <v>45</v>
      </c>
      <c r="K330" s="97">
        <v>169.4415295698283</v>
      </c>
      <c r="L330" s="97">
        <v>1445.9072351225627</v>
      </c>
      <c r="M330" s="97">
        <v>1782.6505920271602</v>
      </c>
      <c r="N330" s="97">
        <v>2521.7525273097685</v>
      </c>
      <c r="O330" s="97">
        <v>32500.386334269479</v>
      </c>
      <c r="P330" s="97">
        <v>119183.6859944068</v>
      </c>
      <c r="Q330" s="97">
        <v>8958.0424614104395</v>
      </c>
      <c r="R330" s="97">
        <v>166561.86667411603</v>
      </c>
      <c r="S330" s="97">
        <v>78158770.160888523</v>
      </c>
      <c r="T330" s="97">
        <v>42792292.879288509</v>
      </c>
      <c r="U330" s="45">
        <v>0</v>
      </c>
      <c r="V330">
        <v>0</v>
      </c>
      <c r="W330">
        <v>2.8908333333333334E-3</v>
      </c>
      <c r="X330" s="97">
        <v>8148.9443597321761</v>
      </c>
      <c r="Y330" s="97">
        <v>6.6678862154065408</v>
      </c>
      <c r="Z330" s="97">
        <v>3801.5978408448177</v>
      </c>
      <c r="AA330" s="97">
        <v>76.943731742579615</v>
      </c>
      <c r="AB330" s="97">
        <v>5.0640839237651463</v>
      </c>
      <c r="AC330" s="97">
        <v>359.55726075338606</v>
      </c>
      <c r="AD330" s="97">
        <v>112.54529130486135</v>
      </c>
      <c r="AE330" s="97">
        <v>2426.8744067603611</v>
      </c>
      <c r="AF330" s="97">
        <v>4359.9276489078256</v>
      </c>
      <c r="AG330" s="97">
        <v>1966.6854761396555</v>
      </c>
      <c r="AH330" s="97">
        <v>116981.74623712734</v>
      </c>
      <c r="AI330" s="97">
        <v>2201.8760207340019</v>
      </c>
      <c r="AJ330" s="97">
        <v>186270.3778707184</v>
      </c>
      <c r="AK330" s="97">
        <v>190220.52030055324</v>
      </c>
      <c r="AL330" s="97">
        <v>3950.1424298348052</v>
      </c>
      <c r="AM330" s="97">
        <v>119183.62225786135</v>
      </c>
    </row>
    <row r="331" spans="1:39" x14ac:dyDescent="0.25">
      <c r="A331" s="97">
        <v>329</v>
      </c>
      <c r="B331" s="97">
        <v>2.8908333333333334E-3</v>
      </c>
      <c r="C331" s="97">
        <v>30.698374210530282</v>
      </c>
      <c r="D331" s="97">
        <v>263.06204903725029</v>
      </c>
      <c r="E331" s="97">
        <v>324.83570494517426</v>
      </c>
      <c r="F331" s="97">
        <v>492.48419516509199</v>
      </c>
      <c r="G331" s="97">
        <v>1995.238476135986</v>
      </c>
      <c r="H331" s="97">
        <v>8154.0096238255164</v>
      </c>
      <c r="I331" s="97">
        <v>72</v>
      </c>
      <c r="J331" s="97">
        <v>45</v>
      </c>
      <c r="K331" s="97">
        <v>167.20381153335492</v>
      </c>
      <c r="L331" s="97">
        <v>1432.8112937562232</v>
      </c>
      <c r="M331" s="97">
        <v>1769.271806268049</v>
      </c>
      <c r="N331" s="97">
        <v>2506.3341498943473</v>
      </c>
      <c r="O331" s="97">
        <v>32342.815698164337</v>
      </c>
      <c r="P331" s="97">
        <v>118637.77463329978</v>
      </c>
      <c r="Q331" s="97">
        <v>8916.6221368689967</v>
      </c>
      <c r="R331" s="97">
        <v>165772.83352978507</v>
      </c>
      <c r="S331" s="97">
        <v>78324542.994418308</v>
      </c>
      <c r="T331" s="97">
        <v>42834501.861184008</v>
      </c>
      <c r="U331" s="45">
        <v>0</v>
      </c>
      <c r="V331">
        <v>0</v>
      </c>
      <c r="W331">
        <v>2.8908333333333334E-3</v>
      </c>
      <c r="X331" s="97">
        <v>8154.0096238255164</v>
      </c>
      <c r="Y331" s="97">
        <v>6.6355798485537036</v>
      </c>
      <c r="Z331" s="97">
        <v>3808.2334206933715</v>
      </c>
      <c r="AA331" s="97">
        <v>76.588286932920909</v>
      </c>
      <c r="AB331" s="97">
        <v>5.0409695544568649</v>
      </c>
      <c r="AC331" s="97">
        <v>357.9133476060403</v>
      </c>
      <c r="AD331" s="97">
        <v>112.02490278119224</v>
      </c>
      <c r="AE331" s="97">
        <v>2431.7827917974901</v>
      </c>
      <c r="AF331" s="97">
        <v>4369.8500378218159</v>
      </c>
      <c r="AG331" s="97">
        <v>1977.3046253639975</v>
      </c>
      <c r="AH331" s="97">
        <v>116981.74623712734</v>
      </c>
      <c r="AI331" s="97">
        <v>2201.8760207340019</v>
      </c>
      <c r="AJ331" s="97">
        <v>186270.3778707184</v>
      </c>
      <c r="AK331" s="97">
        <v>190220.52030055324</v>
      </c>
      <c r="AL331" s="97">
        <v>3950.1424298348052</v>
      </c>
      <c r="AM331" s="97">
        <v>119183.62225786135</v>
      </c>
    </row>
    <row r="332" spans="1:39" x14ac:dyDescent="0.25">
      <c r="A332" s="97">
        <v>330</v>
      </c>
      <c r="B332" s="97">
        <v>2.8908333333333334E-3</v>
      </c>
      <c r="C332" s="97">
        <v>30.292958219328415</v>
      </c>
      <c r="D332" s="97">
        <v>260.67809913118055</v>
      </c>
      <c r="E332" s="97">
        <v>322.39477510871791</v>
      </c>
      <c r="F332" s="97">
        <v>489.46824856359945</v>
      </c>
      <c r="G332" s="97">
        <v>1985.5586099959646</v>
      </c>
      <c r="H332" s="97">
        <v>8159.0439181259626</v>
      </c>
      <c r="I332" s="97">
        <v>72</v>
      </c>
      <c r="J332" s="97">
        <v>45</v>
      </c>
      <c r="K332" s="97">
        <v>164.99564576794208</v>
      </c>
      <c r="L332" s="97">
        <v>1419.82671326783</v>
      </c>
      <c r="M332" s="97">
        <v>1755.9768750921501</v>
      </c>
      <c r="N332" s="97">
        <v>2490.9854949815849</v>
      </c>
      <c r="O332" s="97">
        <v>32185.90506803459</v>
      </c>
      <c r="P332" s="97">
        <v>118093.88403524566</v>
      </c>
      <c r="Q332" s="97">
        <v>8875.3600938671498</v>
      </c>
      <c r="R332" s="97">
        <v>164986.9339262569</v>
      </c>
      <c r="S332" s="97">
        <v>78489529.928344563</v>
      </c>
      <c r="T332" s="97">
        <v>42876336.427090935</v>
      </c>
      <c r="U332" s="45">
        <v>0</v>
      </c>
      <c r="V332">
        <v>0</v>
      </c>
      <c r="W332">
        <v>2.8908333333333334E-3</v>
      </c>
      <c r="X332" s="97">
        <v>8159.0439181259626</v>
      </c>
      <c r="Y332" s="97">
        <v>6.603408768280711</v>
      </c>
      <c r="Z332" s="97">
        <v>3814.8368294616521</v>
      </c>
      <c r="AA332" s="97">
        <v>76.232703580349039</v>
      </c>
      <c r="AB332" s="97">
        <v>5.0179453787852601</v>
      </c>
      <c r="AC332" s="97">
        <v>356.27697388932847</v>
      </c>
      <c r="AD332" s="97">
        <v>111.50650284398706</v>
      </c>
      <c r="AE332" s="97">
        <v>2436.6680637804379</v>
      </c>
      <c r="AF332" s="97">
        <v>4379.7267362423727</v>
      </c>
      <c r="AG332" s="97">
        <v>1987.8643924251712</v>
      </c>
      <c r="AH332" s="97">
        <v>116981.74623712734</v>
      </c>
      <c r="AI332" s="97">
        <v>2201.8760207340019</v>
      </c>
      <c r="AJ332" s="97">
        <v>186270.3778707184</v>
      </c>
      <c r="AK332" s="97">
        <v>190220.52030055324</v>
      </c>
      <c r="AL332" s="97">
        <v>3950.1424298348052</v>
      </c>
      <c r="AM332" s="97">
        <v>119183.62225786135</v>
      </c>
    </row>
    <row r="333" spans="1:39" x14ac:dyDescent="0.25">
      <c r="A333" s="97">
        <v>331</v>
      </c>
      <c r="B333" s="97">
        <v>2.8908333333333334E-3</v>
      </c>
      <c r="C333" s="97">
        <v>29.892896326841843</v>
      </c>
      <c r="D333" s="97">
        <v>258.31444099104164</v>
      </c>
      <c r="E333" s="97">
        <v>319.96918400176304</v>
      </c>
      <c r="F333" s="97">
        <v>486.4659856264617</v>
      </c>
      <c r="G333" s="97">
        <v>1975.9192996132608</v>
      </c>
      <c r="H333" s="97">
        <v>8164.0473826801235</v>
      </c>
      <c r="I333" s="97">
        <v>72</v>
      </c>
      <c r="J333" s="97">
        <v>45</v>
      </c>
      <c r="K333" s="97">
        <v>162.8166419935319</v>
      </c>
      <c r="L333" s="97">
        <v>1406.95265526454</v>
      </c>
      <c r="M333" s="97">
        <v>1742.7654888629359</v>
      </c>
      <c r="N333" s="97">
        <v>2475.7064785173347</v>
      </c>
      <c r="O333" s="97">
        <v>32029.651846730958</v>
      </c>
      <c r="P333" s="97">
        <v>117552.01367905398</v>
      </c>
      <c r="Q333" s="97">
        <v>8834.2559497590864</v>
      </c>
      <c r="R333" s="97">
        <v>164204.16274018236</v>
      </c>
      <c r="S333" s="97">
        <v>78653734.091084749</v>
      </c>
      <c r="T333" s="97">
        <v>42917799.747428872</v>
      </c>
      <c r="U333" s="45">
        <v>0</v>
      </c>
      <c r="V333">
        <v>0</v>
      </c>
      <c r="W333">
        <v>2.8908333333333334E-3</v>
      </c>
      <c r="X333" s="97">
        <v>8164.0473826801235</v>
      </c>
      <c r="Y333" s="97">
        <v>6.5713724409397356</v>
      </c>
      <c r="Z333" s="97">
        <v>3821.4082019025918</v>
      </c>
      <c r="AA333" s="97">
        <v>75.877030099157494</v>
      </c>
      <c r="AB333" s="97">
        <v>4.9950110529714644</v>
      </c>
      <c r="AC333" s="97">
        <v>354.64808928013753</v>
      </c>
      <c r="AD333" s="97">
        <v>110.99008668583562</v>
      </c>
      <c r="AE333" s="97">
        <v>2441.5303138239383</v>
      </c>
      <c r="AF333" s="97">
        <v>4389.5579063047853</v>
      </c>
      <c r="AG333" s="97">
        <v>1998.3650810707147</v>
      </c>
      <c r="AH333" s="97">
        <v>116981.74623712734</v>
      </c>
      <c r="AI333" s="97">
        <v>2201.8760207340019</v>
      </c>
      <c r="AJ333" s="97">
        <v>186270.3778707184</v>
      </c>
      <c r="AK333" s="97">
        <v>190220.52030055324</v>
      </c>
      <c r="AL333" s="97">
        <v>3950.1424298348052</v>
      </c>
      <c r="AM333" s="97">
        <v>119183.62225786135</v>
      </c>
    </row>
    <row r="334" spans="1:39" x14ac:dyDescent="0.25">
      <c r="A334" s="97">
        <v>332</v>
      </c>
      <c r="B334" s="97">
        <v>2.8908333333333334E-3</v>
      </c>
      <c r="C334" s="97">
        <v>29.498117824530013</v>
      </c>
      <c r="D334" s="97">
        <v>255.97092153021396</v>
      </c>
      <c r="E334" s="97">
        <v>317.55887440696398</v>
      </c>
      <c r="F334" s="97">
        <v>483.47738945158568</v>
      </c>
      <c r="G334" s="97">
        <v>1966.320385781642</v>
      </c>
      <c r="H334" s="97">
        <v>8169.020157365775</v>
      </c>
      <c r="I334" s="97">
        <v>72</v>
      </c>
      <c r="J334" s="97">
        <v>45</v>
      </c>
      <c r="K334" s="97">
        <v>160.66641508427347</v>
      </c>
      <c r="L334" s="97">
        <v>1394.1882859345653</v>
      </c>
      <c r="M334" s="97">
        <v>1729.6373359365971</v>
      </c>
      <c r="N334" s="97">
        <v>2460.4970144840281</v>
      </c>
      <c r="O334" s="97">
        <v>31874.053453520417</v>
      </c>
      <c r="P334" s="97">
        <v>117012.16281918577</v>
      </c>
      <c r="Q334" s="97">
        <v>8793.3093244930187</v>
      </c>
      <c r="R334" s="97">
        <v>163424.51464863867</v>
      </c>
      <c r="S334" s="97">
        <v>78817158.605733395</v>
      </c>
      <c r="T334" s="97">
        <v>42958894.968136959</v>
      </c>
      <c r="U334" s="45">
        <v>0</v>
      </c>
      <c r="V334">
        <v>0</v>
      </c>
      <c r="W334">
        <v>2.8908333333333334E-3</v>
      </c>
      <c r="X334" s="97">
        <v>8169.020157365775</v>
      </c>
      <c r="Y334" s="97">
        <v>6.5394703362727311</v>
      </c>
      <c r="Z334" s="97">
        <v>3827.9476722388645</v>
      </c>
      <c r="AA334" s="97">
        <v>75.521313487747008</v>
      </c>
      <c r="AB334" s="97">
        <v>4.9721662356426322</v>
      </c>
      <c r="AC334" s="97">
        <v>353.02664404958807</v>
      </c>
      <c r="AD334" s="97">
        <v>110.47564953191807</v>
      </c>
      <c r="AE334" s="97">
        <v>2446.369632843423</v>
      </c>
      <c r="AF334" s="97">
        <v>4399.3437102344342</v>
      </c>
      <c r="AG334" s="97">
        <v>2008.8069937013768</v>
      </c>
      <c r="AH334" s="97">
        <v>116981.74623712734</v>
      </c>
      <c r="AI334" s="97">
        <v>2201.8760207340019</v>
      </c>
      <c r="AJ334" s="97">
        <v>186270.3778707184</v>
      </c>
      <c r="AK334" s="97">
        <v>190220.52030055324</v>
      </c>
      <c r="AL334" s="97">
        <v>3950.1424298348052</v>
      </c>
      <c r="AM334" s="97">
        <v>119183.62225786135</v>
      </c>
    </row>
    <row r="335" spans="1:39" x14ac:dyDescent="0.25">
      <c r="A335" s="97">
        <v>333</v>
      </c>
      <c r="B335" s="97">
        <v>2.8908333333333334E-3</v>
      </c>
      <c r="C335" s="97">
        <v>29.108552937659912</v>
      </c>
      <c r="D335" s="97">
        <v>253.64738850427986</v>
      </c>
      <c r="E335" s="97">
        <v>315.16378874961458</v>
      </c>
      <c r="F335" s="97">
        <v>480.50244275222792</v>
      </c>
      <c r="G335" s="97">
        <v>1956.7617102961863</v>
      </c>
      <c r="H335" s="97">
        <v>8173.9623818879136</v>
      </c>
      <c r="I335" s="97">
        <v>72</v>
      </c>
      <c r="J335" s="97">
        <v>45</v>
      </c>
      <c r="K335" s="97">
        <v>158.5445850004543</v>
      </c>
      <c r="L335" s="97">
        <v>1381.532776053311</v>
      </c>
      <c r="M335" s="97">
        <v>1716.5921027229006</v>
      </c>
      <c r="N335" s="97">
        <v>2445.3570149065463</v>
      </c>
      <c r="O335" s="97">
        <v>31719.107323901182</v>
      </c>
      <c r="P335" s="97">
        <v>116474.33049345002</v>
      </c>
      <c r="Q335" s="97">
        <v>8752.519840198036</v>
      </c>
      <c r="R335" s="97">
        <v>162647.98413623244</v>
      </c>
      <c r="S335" s="97">
        <v>78979806.589869633</v>
      </c>
      <c r="T335" s="97">
        <v>42999625.210798964</v>
      </c>
      <c r="U335" s="45">
        <v>0</v>
      </c>
      <c r="V335">
        <v>0</v>
      </c>
      <c r="W335">
        <v>2.8908333333333334E-3</v>
      </c>
      <c r="X335" s="97">
        <v>8173.9623818879136</v>
      </c>
      <c r="Y335" s="97">
        <v>6.5077019273733416</v>
      </c>
      <c r="Z335" s="97">
        <v>3834.455374166238</v>
      </c>
      <c r="AA335" s="97">
        <v>75.165599365482265</v>
      </c>
      <c r="AB335" s="97">
        <v>4.9494105878051737</v>
      </c>
      <c r="AC335" s="97">
        <v>351.41258905436564</v>
      </c>
      <c r="AD335" s="97">
        <v>109.96318663481419</v>
      </c>
      <c r="AE335" s="97">
        <v>2451.1861115514043</v>
      </c>
      <c r="AF335" s="97">
        <v>4409.0843103306197</v>
      </c>
      <c r="AG335" s="97">
        <v>2019.1904313747491</v>
      </c>
      <c r="AH335" s="97">
        <v>116981.74623712734</v>
      </c>
      <c r="AI335" s="97">
        <v>2201.8760207340019</v>
      </c>
      <c r="AJ335" s="97">
        <v>186270.3778707184</v>
      </c>
      <c r="AK335" s="97">
        <v>190220.52030055324</v>
      </c>
      <c r="AL335" s="97">
        <v>3950.1424298348052</v>
      </c>
      <c r="AM335" s="97">
        <v>119183.62225786135</v>
      </c>
    </row>
    <row r="336" spans="1:39" x14ac:dyDescent="0.25">
      <c r="A336" s="97">
        <v>334</v>
      </c>
      <c r="B336" s="97">
        <v>2.8908333333333334E-3</v>
      </c>
      <c r="C336" s="97">
        <v>28.724132812973785</v>
      </c>
      <c r="D336" s="97">
        <v>251.34369051201043</v>
      </c>
      <c r="E336" s="97">
        <v>312.78386910867943</v>
      </c>
      <c r="F336" s="97">
        <v>477.54112785825197</v>
      </c>
      <c r="G336" s="97">
        <v>1947.2431159419664</v>
      </c>
      <c r="H336" s="97">
        <v>8178.8741957748289</v>
      </c>
      <c r="I336" s="97">
        <v>72</v>
      </c>
      <c r="J336" s="97">
        <v>45</v>
      </c>
      <c r="K336" s="97">
        <v>156.45077672133053</v>
      </c>
      <c r="L336" s="97">
        <v>1368.9853009887499</v>
      </c>
      <c r="M336" s="97">
        <v>1703.6294737452738</v>
      </c>
      <c r="N336" s="97">
        <v>2430.2863898586206</v>
      </c>
      <c r="O336" s="97">
        <v>31564.810909419277</v>
      </c>
      <c r="P336" s="97">
        <v>115938.51553047891</v>
      </c>
      <c r="Q336" s="97">
        <v>8711.8871208029395</v>
      </c>
      <c r="R336" s="97">
        <v>161874.56550201509</v>
      </c>
      <c r="S336" s="97">
        <v>79141681.155371651</v>
      </c>
      <c r="T336" s="97">
        <v>43039993.572769962</v>
      </c>
      <c r="U336" s="45">
        <v>0</v>
      </c>
      <c r="V336">
        <v>0</v>
      </c>
      <c r="W336">
        <v>2.8908333333333334E-3</v>
      </c>
      <c r="X336" s="97">
        <v>8178.8741957748289</v>
      </c>
      <c r="Y336" s="97">
        <v>6.4760666906491346</v>
      </c>
      <c r="Z336" s="97">
        <v>3840.9314408568871</v>
      </c>
      <c r="AA336" s="97">
        <v>74.80993200860334</v>
      </c>
      <c r="AB336" s="97">
        <v>4.9267437728181465</v>
      </c>
      <c r="AC336" s="97">
        <v>349.80587572818655</v>
      </c>
      <c r="AD336" s="97">
        <v>109.45269326971469</v>
      </c>
      <c r="AE336" s="97">
        <v>2455.9798404540065</v>
      </c>
      <c r="AF336" s="97">
        <v>4418.7798689506772</v>
      </c>
      <c r="AG336" s="97">
        <v>2029.5156938089358</v>
      </c>
      <c r="AH336" s="97">
        <v>116981.74623712734</v>
      </c>
      <c r="AI336" s="97">
        <v>2201.8760207340019</v>
      </c>
      <c r="AJ336" s="97">
        <v>186270.3778707184</v>
      </c>
      <c r="AK336" s="97">
        <v>190220.52030055324</v>
      </c>
      <c r="AL336" s="97">
        <v>3950.1424298348052</v>
      </c>
      <c r="AM336" s="97">
        <v>119183.62225786135</v>
      </c>
    </row>
    <row r="337" spans="1:39" x14ac:dyDescent="0.25">
      <c r="A337" s="97">
        <v>335</v>
      </c>
      <c r="B337" s="97">
        <v>2.8908333333333334E-3</v>
      </c>
      <c r="C337" s="97">
        <v>28.344789506519749</v>
      </c>
      <c r="D337" s="97">
        <v>249.05967699621473</v>
      </c>
      <c r="E337" s="97">
        <v>310.4190572276836</v>
      </c>
      <c r="F337" s="97">
        <v>474.59342671748595</v>
      </c>
      <c r="G337" s="97">
        <v>1937.7644464828297</v>
      </c>
      <c r="H337" s="97">
        <v>8183.7557383741796</v>
      </c>
      <c r="I337" s="97">
        <v>72</v>
      </c>
      <c r="J337" s="97">
        <v>45</v>
      </c>
      <c r="K337" s="97">
        <v>154.38462017884422</v>
      </c>
      <c r="L337" s="97">
        <v>1356.5450407060496</v>
      </c>
      <c r="M337" s="97">
        <v>1690.7491317001165</v>
      </c>
      <c r="N337" s="97">
        <v>2415.2850474697389</v>
      </c>
      <c r="O337" s="97">
        <v>31411.161677486671</v>
      </c>
      <c r="P337" s="97">
        <v>115404.71655698759</v>
      </c>
      <c r="Q337" s="97">
        <v>8671.4107916851644</v>
      </c>
      <c r="R337" s="97">
        <v>161104.25286621417</v>
      </c>
      <c r="S337" s="97">
        <v>79302785.40823786</v>
      </c>
      <c r="T337" s="97">
        <v>43080003.127304472</v>
      </c>
      <c r="U337" s="45">
        <v>0</v>
      </c>
      <c r="V337">
        <v>0</v>
      </c>
      <c r="W337">
        <v>2.8908333333333334E-3</v>
      </c>
      <c r="X337" s="97">
        <v>8183.7557383741796</v>
      </c>
      <c r="Y337" s="97">
        <v>6.4445641057841465</v>
      </c>
      <c r="Z337" s="97">
        <v>3847.3760049626712</v>
      </c>
      <c r="AA337" s="97">
        <v>74.45435438521595</v>
      </c>
      <c r="AB337" s="97">
        <v>4.9041654563668304</v>
      </c>
      <c r="AC337" s="97">
        <v>348.20645607339594</v>
      </c>
      <c r="AD337" s="97">
        <v>108.94416473001023</v>
      </c>
      <c r="AE337" s="97">
        <v>2460.7509098476462</v>
      </c>
      <c r="AF337" s="97">
        <v>4428.4305484943852</v>
      </c>
      <c r="AG337" s="97">
        <v>2039.7830793862581</v>
      </c>
      <c r="AH337" s="97">
        <v>116981.74623712734</v>
      </c>
      <c r="AI337" s="97">
        <v>2201.8760207340019</v>
      </c>
      <c r="AJ337" s="97">
        <v>186270.3778707184</v>
      </c>
      <c r="AK337" s="97">
        <v>190220.52030055324</v>
      </c>
      <c r="AL337" s="97">
        <v>3950.1424298348052</v>
      </c>
      <c r="AM337" s="97">
        <v>119183.62225786135</v>
      </c>
    </row>
    <row r="338" spans="1:39" x14ac:dyDescent="0.25">
      <c r="A338" s="97">
        <v>336</v>
      </c>
      <c r="B338" s="97">
        <v>2.8908333333333334E-3</v>
      </c>
      <c r="C338" s="97">
        <v>27.970455971643098</v>
      </c>
      <c r="D338" s="97">
        <v>246.79519824445487</v>
      </c>
      <c r="E338" s="97">
        <v>308.06929452546171</v>
      </c>
      <c r="F338" s="97">
        <v>471.65932089717796</v>
      </c>
      <c r="G338" s="97">
        <v>1928.3255466502751</v>
      </c>
      <c r="H338" s="97">
        <v>8188.6071488490925</v>
      </c>
      <c r="I338" s="97">
        <v>73</v>
      </c>
      <c r="J338" s="97">
        <v>45</v>
      </c>
      <c r="K338" s="97">
        <v>152.34575019221606</v>
      </c>
      <c r="L338" s="97">
        <v>1344.211179771464</v>
      </c>
      <c r="M338" s="97">
        <v>1677.950757515348</v>
      </c>
      <c r="N338" s="97">
        <v>2400.3528939325547</v>
      </c>
      <c r="O338" s="97">
        <v>31258.157111200962</v>
      </c>
      <c r="P338" s="97">
        <v>114872.93200482431</v>
      </c>
      <c r="Q338" s="97">
        <v>8631.0904793479513</v>
      </c>
      <c r="R338" s="97">
        <v>160337.04017678479</v>
      </c>
      <c r="S338" s="97">
        <v>79463122.448414639</v>
      </c>
      <c r="T338" s="97">
        <v>43119656.92368602</v>
      </c>
      <c r="U338" s="45">
        <v>0</v>
      </c>
      <c r="V338">
        <v>0</v>
      </c>
      <c r="W338">
        <v>2.8908333333333334E-3</v>
      </c>
      <c r="X338" s="97">
        <v>8188.6071488490925</v>
      </c>
      <c r="Y338" s="97">
        <v>6.4131936557017513</v>
      </c>
      <c r="Z338" s="97">
        <v>3853.7891986183731</v>
      </c>
      <c r="AA338" s="97">
        <v>74.118754884585897</v>
      </c>
      <c r="AB338" s="97">
        <v>4.8618286112346603</v>
      </c>
      <c r="AC338" s="97">
        <v>346.594435957494</v>
      </c>
      <c r="AD338" s="97">
        <v>108.43759632323578</v>
      </c>
      <c r="AE338" s="97">
        <v>2465.4994098158554</v>
      </c>
      <c r="AF338" s="97">
        <v>4438.0365113886774</v>
      </c>
      <c r="AG338" s="97">
        <v>2049.992885156993</v>
      </c>
      <c r="AH338" s="97">
        <v>117893.99840607926</v>
      </c>
      <c r="AI338" s="97">
        <v>2230.2992742955776</v>
      </c>
      <c r="AJ338" s="97">
        <v>189676.23149846174</v>
      </c>
      <c r="AK338" s="97">
        <v>193732.49090400757</v>
      </c>
      <c r="AL338" s="97">
        <v>4056.2594055457871</v>
      </c>
      <c r="AM338" s="97">
        <v>120124.29768037485</v>
      </c>
    </row>
    <row r="339" spans="1:39" x14ac:dyDescent="0.25">
      <c r="A339" s="97">
        <v>337</v>
      </c>
      <c r="B339" s="97">
        <v>3.1474999999999997E-3</v>
      </c>
      <c r="C339" s="97">
        <v>27.593886963436827</v>
      </c>
      <c r="D339" s="97">
        <v>244.48676128874712</v>
      </c>
      <c r="E339" s="97">
        <v>305.65545098783923</v>
      </c>
      <c r="F339" s="97">
        <v>468.61773235984913</v>
      </c>
      <c r="G339" s="97">
        <v>1918.4313252421189</v>
      </c>
      <c r="H339" s="97">
        <v>8193.4285661742706</v>
      </c>
      <c r="I339" s="97">
        <v>73</v>
      </c>
      <c r="J339" s="97">
        <v>45</v>
      </c>
      <c r="K339" s="97">
        <v>150.29470432751924</v>
      </c>
      <c r="L339" s="97">
        <v>1331.6378931527092</v>
      </c>
      <c r="M339" s="97">
        <v>1664.8033563804308</v>
      </c>
      <c r="N339" s="97">
        <v>2384.8737429346652</v>
      </c>
      <c r="O339" s="97">
        <v>31097.77178217475</v>
      </c>
      <c r="P339" s="97">
        <v>114313.63947652039</v>
      </c>
      <c r="Q339" s="97">
        <v>8588.7104979010746</v>
      </c>
      <c r="R339" s="97">
        <v>159531.73145339155</v>
      </c>
      <c r="S339" s="97">
        <v>79622654.179868028</v>
      </c>
      <c r="T339" s="97">
        <v>43158947.842770405</v>
      </c>
      <c r="U339" s="45">
        <v>0</v>
      </c>
      <c r="V339">
        <v>0</v>
      </c>
      <c r="W339">
        <v>3.1474999999999997E-3</v>
      </c>
      <c r="X339" s="97">
        <v>8193.4285661742706</v>
      </c>
      <c r="Y339" s="97">
        <v>6.3819548265278465</v>
      </c>
      <c r="Z339" s="97">
        <v>3860.1711534449009</v>
      </c>
      <c r="AA339" s="97">
        <v>73.763709380392243</v>
      </c>
      <c r="AB339" s="97">
        <v>4.8395173758093311</v>
      </c>
      <c r="AC339" s="97">
        <v>344.90111601919165</v>
      </c>
      <c r="AD339" s="97">
        <v>107.90515105095892</v>
      </c>
      <c r="AE339" s="97">
        <v>2470.2254302262409</v>
      </c>
      <c r="AF339" s="97">
        <v>4447.5980540760993</v>
      </c>
      <c r="AG339" s="97">
        <v>2061.0468126313654</v>
      </c>
      <c r="AH339" s="97">
        <v>117893.99840607926</v>
      </c>
      <c r="AI339" s="97">
        <v>2230.2992742955776</v>
      </c>
      <c r="AJ339" s="97">
        <v>189676.23149846174</v>
      </c>
      <c r="AK339" s="97">
        <v>193732.49090400757</v>
      </c>
      <c r="AL339" s="97">
        <v>4056.2594055457871</v>
      </c>
      <c r="AM339" s="97">
        <v>120124.29768037485</v>
      </c>
    </row>
    <row r="340" spans="1:39" x14ac:dyDescent="0.25">
      <c r="A340" s="97">
        <v>338</v>
      </c>
      <c r="B340" s="97">
        <v>3.1474999999999997E-3</v>
      </c>
      <c r="C340" s="97">
        <v>27.222387740938917</v>
      </c>
      <c r="D340" s="97">
        <v>242.19873094798371</v>
      </c>
      <c r="E340" s="97">
        <v>303.25775734631628</v>
      </c>
      <c r="F340" s="97">
        <v>465.59123141894116</v>
      </c>
      <c r="G340" s="97">
        <v>1908.5815177823413</v>
      </c>
      <c r="H340" s="97">
        <v>8198.2188916350024</v>
      </c>
      <c r="I340" s="97">
        <v>73</v>
      </c>
      <c r="J340" s="97">
        <v>45</v>
      </c>
      <c r="K340" s="97">
        <v>148.27127189564729</v>
      </c>
      <c r="L340" s="97">
        <v>1319.1757545633511</v>
      </c>
      <c r="M340" s="97">
        <v>1651.7439183462693</v>
      </c>
      <c r="N340" s="97">
        <v>2369.4713752295611</v>
      </c>
      <c r="O340" s="97">
        <v>30938.106403251753</v>
      </c>
      <c r="P340" s="97">
        <v>113756.60239847007</v>
      </c>
      <c r="Q340" s="97">
        <v>8546.5069125081372</v>
      </c>
      <c r="R340" s="97">
        <v>158729.87803426478</v>
      </c>
      <c r="S340" s="97">
        <v>79781384.057902291</v>
      </c>
      <c r="T340" s="97">
        <v>43197879.060727283</v>
      </c>
      <c r="U340" s="45">
        <v>0</v>
      </c>
      <c r="V340">
        <v>0</v>
      </c>
      <c r="W340">
        <v>3.1474999999999997E-3</v>
      </c>
      <c r="X340" s="97">
        <v>8198.2188916350024</v>
      </c>
      <c r="Y340" s="97">
        <v>6.349209072482215</v>
      </c>
      <c r="Z340" s="97">
        <v>3866.5203625173831</v>
      </c>
      <c r="AA340" s="97">
        <v>73.40840919003135</v>
      </c>
      <c r="AB340" s="97">
        <v>4.8161156780029923</v>
      </c>
      <c r="AC340" s="97">
        <v>343.21631117842077</v>
      </c>
      <c r="AD340" s="97">
        <v>107.3749219487171</v>
      </c>
      <c r="AE340" s="97">
        <v>2474.9278469315709</v>
      </c>
      <c r="AF340" s="97">
        <v>4457.1128795329041</v>
      </c>
      <c r="AG340" s="97">
        <v>2072.0358529134032</v>
      </c>
      <c r="AH340" s="97">
        <v>117893.99840607926</v>
      </c>
      <c r="AI340" s="97">
        <v>2230.2992742955776</v>
      </c>
      <c r="AJ340" s="97">
        <v>189676.23149846174</v>
      </c>
      <c r="AK340" s="97">
        <v>193732.49090400757</v>
      </c>
      <c r="AL340" s="97">
        <v>4056.2594055457871</v>
      </c>
      <c r="AM340" s="97">
        <v>120124.29768037485</v>
      </c>
    </row>
    <row r="341" spans="1:39" x14ac:dyDescent="0.25">
      <c r="A341" s="97">
        <v>339</v>
      </c>
      <c r="B341" s="97">
        <v>3.1474999999999997E-3</v>
      </c>
      <c r="C341" s="97">
        <v>26.855890049124213</v>
      </c>
      <c r="D341" s="97">
        <v>239.93094478593653</v>
      </c>
      <c r="E341" s="97">
        <v>300.87614214518538</v>
      </c>
      <c r="F341" s="97">
        <v>462.57978748532292</v>
      </c>
      <c r="G341" s="97">
        <v>1898.7759395637074</v>
      </c>
      <c r="H341" s="97">
        <v>8202.9782794604016</v>
      </c>
      <c r="I341" s="97">
        <v>73</v>
      </c>
      <c r="J341" s="97">
        <v>45</v>
      </c>
      <c r="K341" s="97">
        <v>146.27508113422988</v>
      </c>
      <c r="L341" s="97">
        <v>1306.8238792674008</v>
      </c>
      <c r="M341" s="97">
        <v>1638.7720542174429</v>
      </c>
      <c r="N341" s="97">
        <v>2354.1456351440556</v>
      </c>
      <c r="O341" s="97">
        <v>30779.157980327698</v>
      </c>
      <c r="P341" s="97">
        <v>113201.81886311009</v>
      </c>
      <c r="Q341" s="97">
        <v>8504.4791674036751</v>
      </c>
      <c r="R341" s="97">
        <v>157931.4726606046</v>
      </c>
      <c r="S341" s="97">
        <v>79939315.530562893</v>
      </c>
      <c r="T341" s="97">
        <v>43236453.72832641</v>
      </c>
      <c r="U341" s="45">
        <v>0</v>
      </c>
      <c r="V341">
        <v>0</v>
      </c>
      <c r="W341">
        <v>3.1474999999999997E-3</v>
      </c>
      <c r="X341" s="97">
        <v>8202.9782794604016</v>
      </c>
      <c r="Y341" s="97">
        <v>6.3166103101168591</v>
      </c>
      <c r="Z341" s="97">
        <v>3872.8369728275002</v>
      </c>
      <c r="AA341" s="97">
        <v>73.052909893457979</v>
      </c>
      <c r="AB341" s="97">
        <v>4.7928119120352193</v>
      </c>
      <c r="AC341" s="97">
        <v>341.53995886892437</v>
      </c>
      <c r="AD341" s="97">
        <v>106.84690203409353</v>
      </c>
      <c r="AE341" s="97">
        <v>2479.6067604181894</v>
      </c>
      <c r="AF341" s="97">
        <v>4466.5811678962173</v>
      </c>
      <c r="AG341" s="97">
        <v>2082.9603572780284</v>
      </c>
      <c r="AH341" s="97">
        <v>117893.99840607926</v>
      </c>
      <c r="AI341" s="97">
        <v>2230.2992742955776</v>
      </c>
      <c r="AJ341" s="97">
        <v>189676.23149846174</v>
      </c>
      <c r="AK341" s="97">
        <v>193732.49090400757</v>
      </c>
      <c r="AL341" s="97">
        <v>4056.2594055457871</v>
      </c>
      <c r="AM341" s="97">
        <v>120124.29768037485</v>
      </c>
    </row>
    <row r="342" spans="1:39" x14ac:dyDescent="0.25">
      <c r="A342" s="97">
        <v>340</v>
      </c>
      <c r="B342" s="97">
        <v>3.1474999999999997E-3</v>
      </c>
      <c r="C342" s="97">
        <v>26.494326551891696</v>
      </c>
      <c r="D342" s="97">
        <v>237.68324137156497</v>
      </c>
      <c r="E342" s="97">
        <v>298.51053371279681</v>
      </c>
      <c r="F342" s="97">
        <v>459.58336962167027</v>
      </c>
      <c r="G342" s="97">
        <v>1889.0144069758494</v>
      </c>
      <c r="H342" s="97">
        <v>8207.7068835668906</v>
      </c>
      <c r="I342" s="97">
        <v>73</v>
      </c>
      <c r="J342" s="97">
        <v>45</v>
      </c>
      <c r="K342" s="97">
        <v>144.3057652859701</v>
      </c>
      <c r="L342" s="97">
        <v>1294.5813880037904</v>
      </c>
      <c r="M342" s="97">
        <v>1625.8873736223666</v>
      </c>
      <c r="N342" s="97">
        <v>2338.8963652329503</v>
      </c>
      <c r="O342" s="97">
        <v>30620.923537078521</v>
      </c>
      <c r="P342" s="97">
        <v>112649.28672945425</v>
      </c>
      <c r="Q342" s="97">
        <v>8462.6267132560533</v>
      </c>
      <c r="R342" s="97">
        <v>157136.50787193389</v>
      </c>
      <c r="S342" s="97">
        <v>80096452.038434833</v>
      </c>
      <c r="T342" s="97">
        <v>43274674.971073955</v>
      </c>
      <c r="U342" s="45">
        <v>0</v>
      </c>
      <c r="V342">
        <v>0</v>
      </c>
      <c r="W342">
        <v>3.1474999999999997E-3</v>
      </c>
      <c r="X342" s="97">
        <v>8207.7068835668906</v>
      </c>
      <c r="Y342" s="97">
        <v>6.2841579281277218</v>
      </c>
      <c r="Z342" s="97">
        <v>3879.1211307556277</v>
      </c>
      <c r="AA342" s="97">
        <v>72.697265425607426</v>
      </c>
      <c r="AB342" s="97">
        <v>4.7696056887424527</v>
      </c>
      <c r="AC342" s="97">
        <v>339.87199731457144</v>
      </c>
      <c r="AD342" s="97">
        <v>106.32108440550353</v>
      </c>
      <c r="AE342" s="97">
        <v>2484.262270914674</v>
      </c>
      <c r="AF342" s="97">
        <v>4476.0030992929997</v>
      </c>
      <c r="AG342" s="97">
        <v>2093.8206753275422</v>
      </c>
      <c r="AH342" s="97">
        <v>117893.99840607926</v>
      </c>
      <c r="AI342" s="97">
        <v>2230.2992742955776</v>
      </c>
      <c r="AJ342" s="97">
        <v>189676.23149846174</v>
      </c>
      <c r="AK342" s="97">
        <v>193732.49090400757</v>
      </c>
      <c r="AL342" s="97">
        <v>4056.2594055457871</v>
      </c>
      <c r="AM342" s="97">
        <v>120124.29768037485</v>
      </c>
    </row>
    <row r="343" spans="1:39" x14ac:dyDescent="0.25">
      <c r="A343" s="97">
        <v>341</v>
      </c>
      <c r="B343" s="97">
        <v>3.1474999999999997E-3</v>
      </c>
      <c r="C343" s="97">
        <v>26.137630819692916</v>
      </c>
      <c r="D343" s="97">
        <v>235.45546027791787</v>
      </c>
      <c r="E343" s="97">
        <v>296.1608601719401</v>
      </c>
      <c r="F343" s="97">
        <v>456.60194654483314</v>
      </c>
      <c r="G343" s="97">
        <v>1879.2967374933373</v>
      </c>
      <c r="H343" s="97">
        <v>8212.4048575546458</v>
      </c>
      <c r="I343" s="97">
        <v>73</v>
      </c>
      <c r="J343" s="97">
        <v>45</v>
      </c>
      <c r="K343" s="97">
        <v>142.36296253126073</v>
      </c>
      <c r="L343" s="97">
        <v>1282.4474069803925</v>
      </c>
      <c r="M343" s="97">
        <v>1613.0894850698337</v>
      </c>
      <c r="N343" s="97">
        <v>2323.7234062910798</v>
      </c>
      <c r="O343" s="97">
        <v>30463.400114766999</v>
      </c>
      <c r="P343" s="97">
        <v>112099.00363151696</v>
      </c>
      <c r="Q343" s="97">
        <v>8420.9490065598329</v>
      </c>
      <c r="R343" s="97">
        <v>156344.97601371637</v>
      </c>
      <c r="S343" s="97">
        <v>80252797.014448553</v>
      </c>
      <c r="T343" s="97">
        <v>43312545.889350504</v>
      </c>
      <c r="U343" s="45">
        <v>0</v>
      </c>
      <c r="V343">
        <v>0</v>
      </c>
      <c r="W343">
        <v>3.1474999999999997E-3</v>
      </c>
      <c r="X343" s="97">
        <v>8212.4048575546458</v>
      </c>
      <c r="Y343" s="97">
        <v>6.2518513188409202</v>
      </c>
      <c r="Z343" s="97">
        <v>3885.3729820744688</v>
      </c>
      <c r="AA343" s="97">
        <v>72.341528119631363</v>
      </c>
      <c r="AB343" s="97">
        <v>4.7464966214689497</v>
      </c>
      <c r="AC343" s="97">
        <v>338.21236551697194</v>
      </c>
      <c r="AD343" s="97">
        <v>105.79746223456038</v>
      </c>
      <c r="AE343" s="97">
        <v>2488.8944783881211</v>
      </c>
      <c r="AF343" s="97">
        <v>4485.3788538241879</v>
      </c>
      <c r="AG343" s="97">
        <v>2104.6171549969245</v>
      </c>
      <c r="AH343" s="97">
        <v>117893.99840607926</v>
      </c>
      <c r="AI343" s="97">
        <v>2230.2992742955776</v>
      </c>
      <c r="AJ343" s="97">
        <v>189676.23149846174</v>
      </c>
      <c r="AK343" s="97">
        <v>193732.49090400757</v>
      </c>
      <c r="AL343" s="97">
        <v>4056.2594055457871</v>
      </c>
      <c r="AM343" s="97">
        <v>120124.29768037485</v>
      </c>
    </row>
    <row r="344" spans="1:39" x14ac:dyDescent="0.25">
      <c r="A344" s="97">
        <v>342</v>
      </c>
      <c r="B344" s="97">
        <v>3.1474999999999997E-3</v>
      </c>
      <c r="C344" s="97">
        <v>25.785737317326987</v>
      </c>
      <c r="D344" s="97">
        <v>233.24744208091928</v>
      </c>
      <c r="E344" s="97">
        <v>293.82704945007441</v>
      </c>
      <c r="F344" s="97">
        <v>453.63548662828094</v>
      </c>
      <c r="G344" s="97">
        <v>1869.6227496638644</v>
      </c>
      <c r="H344" s="97">
        <v>8217.0723547040579</v>
      </c>
      <c r="I344" s="97">
        <v>73</v>
      </c>
      <c r="J344" s="97">
        <v>45</v>
      </c>
      <c r="K344" s="97">
        <v>140.44631592170765</v>
      </c>
      <c r="L344" s="97">
        <v>1270.4210678674069</v>
      </c>
      <c r="M344" s="97">
        <v>1600.3779960047386</v>
      </c>
      <c r="N344" s="97">
        <v>2308.6265973657596</v>
      </c>
      <c r="O344" s="97">
        <v>30306.584772051243</v>
      </c>
      <c r="P344" s="97">
        <v>111550.96698648765</v>
      </c>
      <c r="Q344" s="97">
        <v>8379.4455090708507</v>
      </c>
      <c r="R344" s="97">
        <v>155556.86924476936</v>
      </c>
      <c r="S344" s="97">
        <v>80408353.883693323</v>
      </c>
      <c r="T344" s="97">
        <v>43350069.558550499</v>
      </c>
      <c r="U344" s="45">
        <v>0</v>
      </c>
      <c r="V344">
        <v>0</v>
      </c>
      <c r="W344">
        <v>3.1474999999999997E-3</v>
      </c>
      <c r="X344" s="97">
        <v>8217.0723547040579</v>
      </c>
      <c r="Y344" s="97">
        <v>6.2196898781732628</v>
      </c>
      <c r="Z344" s="97">
        <v>3891.5926719526419</v>
      </c>
      <c r="AA344" s="97">
        <v>71.985748749015158</v>
      </c>
      <c r="AB344" s="97">
        <v>4.723484326038875</v>
      </c>
      <c r="AC344" s="97">
        <v>336.56100324329731</v>
      </c>
      <c r="AD344" s="97">
        <v>105.27602875897797</v>
      </c>
      <c r="AE344" s="97">
        <v>2493.5034825405996</v>
      </c>
      <c r="AF344" s="97">
        <v>4494.7086115490811</v>
      </c>
      <c r="AG344" s="97">
        <v>2115.3501425591598</v>
      </c>
      <c r="AH344" s="97">
        <v>117893.99840607926</v>
      </c>
      <c r="AI344" s="97">
        <v>2230.2992742955776</v>
      </c>
      <c r="AJ344" s="97">
        <v>189676.23149846174</v>
      </c>
      <c r="AK344" s="97">
        <v>193732.49090400757</v>
      </c>
      <c r="AL344" s="97">
        <v>4056.2594055457871</v>
      </c>
      <c r="AM344" s="97">
        <v>120124.29768037485</v>
      </c>
    </row>
    <row r="345" spans="1:39" x14ac:dyDescent="0.25">
      <c r="A345" s="97">
        <v>343</v>
      </c>
      <c r="B345" s="97">
        <v>3.1474999999999997E-3</v>
      </c>
      <c r="C345" s="97">
        <v>25.438581391899902</v>
      </c>
      <c r="D345" s="97">
        <v>231.05902835804122</v>
      </c>
      <c r="E345" s="97">
        <v>291.50902928940991</v>
      </c>
      <c r="F345" s="97">
        <v>450.68395790462381</v>
      </c>
      <c r="G345" s="97">
        <v>1859.992263096547</v>
      </c>
      <c r="H345" s="97">
        <v>8221.7095279722216</v>
      </c>
      <c r="I345" s="97">
        <v>73</v>
      </c>
      <c r="J345" s="97">
        <v>45</v>
      </c>
      <c r="K345" s="97">
        <v>138.55547331454812</v>
      </c>
      <c r="L345" s="97">
        <v>1258.5015077901312</v>
      </c>
      <c r="M345" s="97">
        <v>1587.7525128629859</v>
      </c>
      <c r="N345" s="97">
        <v>2293.6057757696144</v>
      </c>
      <c r="O345" s="97">
        <v>30150.474584795029</v>
      </c>
      <c r="P345" s="97">
        <v>111005.17400266262</v>
      </c>
      <c r="Q345" s="97">
        <v>8338.1156872815354</v>
      </c>
      <c r="R345" s="97">
        <v>154772.17954447647</v>
      </c>
      <c r="S345" s="97">
        <v>80563126.063237801</v>
      </c>
      <c r="T345" s="97">
        <v>43387249.029223144</v>
      </c>
      <c r="U345" s="45">
        <v>0</v>
      </c>
      <c r="V345">
        <v>0</v>
      </c>
      <c r="W345">
        <v>3.1474999999999997E-3</v>
      </c>
      <c r="X345" s="97">
        <v>8221.7095279722216</v>
      </c>
      <c r="Y345" s="97">
        <v>6.187673005593151</v>
      </c>
      <c r="Z345" s="97">
        <v>3897.7803449582352</v>
      </c>
      <c r="AA345" s="97">
        <v>71.629976568605656</v>
      </c>
      <c r="AB345" s="97">
        <v>4.7005684207286027</v>
      </c>
      <c r="AC345" s="97">
        <v>334.91785101430287</v>
      </c>
      <c r="AD345" s="97">
        <v>104.75677727597885</v>
      </c>
      <c r="AE345" s="97">
        <v>2498.0893828057624</v>
      </c>
      <c r="AF345" s="97">
        <v>4503.9925524699838</v>
      </c>
      <c r="AG345" s="97">
        <v>2126.0199826306043</v>
      </c>
      <c r="AH345" s="97">
        <v>117893.99840607926</v>
      </c>
      <c r="AI345" s="97">
        <v>2230.2992742955776</v>
      </c>
      <c r="AJ345" s="97">
        <v>189676.23149846174</v>
      </c>
      <c r="AK345" s="97">
        <v>193732.49090400757</v>
      </c>
      <c r="AL345" s="97">
        <v>4056.2594055457871</v>
      </c>
      <c r="AM345" s="97">
        <v>120124.29768037485</v>
      </c>
    </row>
    <row r="346" spans="1:39" x14ac:dyDescent="0.25">
      <c r="A346" s="97">
        <v>344</v>
      </c>
      <c r="B346" s="97">
        <v>3.1474999999999997E-3</v>
      </c>
      <c r="C346" s="97">
        <v>25.096099260945941</v>
      </c>
      <c r="D346" s="97">
        <v>228.89006168686609</v>
      </c>
      <c r="E346" s="97">
        <v>289.20672725684017</v>
      </c>
      <c r="F346" s="97">
        <v>447.74732806820668</v>
      </c>
      <c r="G346" s="97">
        <v>1850.405098450341</v>
      </c>
      <c r="H346" s="97">
        <v>8226.3165299894572</v>
      </c>
      <c r="I346" s="97">
        <v>73</v>
      </c>
      <c r="J346" s="97">
        <v>45</v>
      </c>
      <c r="K346" s="97">
        <v>136.69008730795221</v>
      </c>
      <c r="L346" s="97">
        <v>1246.6878693211306</v>
      </c>
      <c r="M346" s="97">
        <v>1575.2126411255892</v>
      </c>
      <c r="N346" s="97">
        <v>2278.6607770937817</v>
      </c>
      <c r="O346" s="97">
        <v>29995.06664588003</v>
      </c>
      <c r="P346" s="97">
        <v>110461.62168714139</v>
      </c>
      <c r="Q346" s="97">
        <v>8296.9590119341046</v>
      </c>
      <c r="R346" s="97">
        <v>153990.89871980398</v>
      </c>
      <c r="S346" s="97">
        <v>80717116.961957604</v>
      </c>
      <c r="T346" s="97">
        <v>43424087.327214591</v>
      </c>
      <c r="U346" s="45">
        <v>0</v>
      </c>
      <c r="V346">
        <v>0</v>
      </c>
      <c r="W346">
        <v>3.1474999999999997E-3</v>
      </c>
      <c r="X346" s="97">
        <v>8226.3165299894572</v>
      </c>
      <c r="Y346" s="97">
        <v>6.1558001040818535</v>
      </c>
      <c r="Z346" s="97">
        <v>3903.9361450623169</v>
      </c>
      <c r="AA346" s="97">
        <v>71.27425935457731</v>
      </c>
      <c r="AB346" s="97">
        <v>4.6777485262392471</v>
      </c>
      <c r="AC346" s="97">
        <v>333.28285009254847</v>
      </c>
      <c r="AD346" s="97">
        <v>104.23970113617821</v>
      </c>
      <c r="AE346" s="97">
        <v>2502.652278345618</v>
      </c>
      <c r="AF346" s="97">
        <v>4513.2308565171179</v>
      </c>
      <c r="AG346" s="97">
        <v>2136.6270181763753</v>
      </c>
      <c r="AH346" s="97">
        <v>117893.99840607926</v>
      </c>
      <c r="AI346" s="97">
        <v>2230.2992742955776</v>
      </c>
      <c r="AJ346" s="97">
        <v>189676.23149846174</v>
      </c>
      <c r="AK346" s="97">
        <v>193732.49090400757</v>
      </c>
      <c r="AL346" s="97">
        <v>4056.2594055457871</v>
      </c>
      <c r="AM346" s="97">
        <v>120124.29768037485</v>
      </c>
    </row>
    <row r="347" spans="1:39" x14ac:dyDescent="0.25">
      <c r="A347" s="97">
        <v>345</v>
      </c>
      <c r="B347" s="97">
        <v>3.1474999999999997E-3</v>
      </c>
      <c r="C347" s="97">
        <v>24.758228000709011</v>
      </c>
      <c r="D347" s="97">
        <v>226.74038564354186</v>
      </c>
      <c r="E347" s="97">
        <v>286.92007075372794</v>
      </c>
      <c r="F347" s="97">
        <v>444.82556447777432</v>
      </c>
      <c r="G347" s="97">
        <v>1840.8610774225722</v>
      </c>
      <c r="H347" s="97">
        <v>8230.8935130558439</v>
      </c>
      <c r="I347" s="97">
        <v>73</v>
      </c>
      <c r="J347" s="97">
        <v>45</v>
      </c>
      <c r="K347" s="97">
        <v>134.84981517719507</v>
      </c>
      <c r="L347" s="97">
        <v>1234.9793004718247</v>
      </c>
      <c r="M347" s="97">
        <v>1562.7579853719715</v>
      </c>
      <c r="N347" s="97">
        <v>2263.791435221473</v>
      </c>
      <c r="O347" s="97">
        <v>29840.358065019896</v>
      </c>
      <c r="P347" s="97">
        <v>109920.30685329362</v>
      </c>
      <c r="Q347" s="97">
        <v>8255.9749575694095</v>
      </c>
      <c r="R347" s="97">
        <v>153213.01841212538</v>
      </c>
      <c r="S347" s="97">
        <v>80870329.980369732</v>
      </c>
      <c r="T347" s="97">
        <v>43460587.453811385</v>
      </c>
      <c r="U347" s="45">
        <v>0</v>
      </c>
      <c r="V347">
        <v>0</v>
      </c>
      <c r="W347">
        <v>3.1474999999999997E-3</v>
      </c>
      <c r="X347" s="97">
        <v>8230.8935130558439</v>
      </c>
      <c r="Y347" s="97">
        <v>6.1240705800951716</v>
      </c>
      <c r="Z347" s="97">
        <v>3910.060215642412</v>
      </c>
      <c r="AA347" s="97">
        <v>70.918643443364061</v>
      </c>
      <c r="AB347" s="97">
        <v>4.6550242656694252</v>
      </c>
      <c r="AC347" s="97">
        <v>331.65594247081418</v>
      </c>
      <c r="AD347" s="97">
        <v>103.72479373791582</v>
      </c>
      <c r="AE347" s="97">
        <v>2507.1922680474504</v>
      </c>
      <c r="AF347" s="97">
        <v>4522.4237035338001</v>
      </c>
      <c r="AG347" s="97">
        <v>2147.1715905157776</v>
      </c>
      <c r="AH347" s="97">
        <v>117893.99840607926</v>
      </c>
      <c r="AI347" s="97">
        <v>2230.2992742955776</v>
      </c>
      <c r="AJ347" s="97">
        <v>189676.23149846174</v>
      </c>
      <c r="AK347" s="97">
        <v>193732.49090400757</v>
      </c>
      <c r="AL347" s="97">
        <v>4056.2594055457871</v>
      </c>
      <c r="AM347" s="97">
        <v>120124.29768037485</v>
      </c>
    </row>
    <row r="348" spans="1:39" x14ac:dyDescent="0.25">
      <c r="A348" s="97">
        <v>346</v>
      </c>
      <c r="B348" s="97">
        <v>3.1474999999999997E-3</v>
      </c>
      <c r="C348" s="97">
        <v>24.424905534581761</v>
      </c>
      <c r="D348" s="97">
        <v>224.60984480113228</v>
      </c>
      <c r="E348" s="97">
        <v>284.64898702554484</v>
      </c>
      <c r="F348" s="97">
        <v>441.91863415920403</v>
      </c>
      <c r="G348" s="97">
        <v>1831.3600227375809</v>
      </c>
      <c r="H348" s="97">
        <v>8235.4406291377982</v>
      </c>
      <c r="I348" s="97">
        <v>73</v>
      </c>
      <c r="J348" s="97">
        <v>45</v>
      </c>
      <c r="K348" s="97">
        <v>133.03431881168865</v>
      </c>
      <c r="L348" s="97">
        <v>1223.3749546835004</v>
      </c>
      <c r="M348" s="97">
        <v>1550.3881493324675</v>
      </c>
      <c r="N348" s="97">
        <v>2248.9975823418822</v>
      </c>
      <c r="O348" s="97">
        <v>29686.345968576188</v>
      </c>
      <c r="P348" s="97">
        <v>109381.22612800331</v>
      </c>
      <c r="Q348" s="97">
        <v>8215.1630021093297</v>
      </c>
      <c r="R348" s="97">
        <v>152438.53010385836</v>
      </c>
      <c r="S348" s="97">
        <v>81022768.510473594</v>
      </c>
      <c r="T348" s="97">
        <v>43496752.385885023</v>
      </c>
      <c r="U348" s="45">
        <v>0</v>
      </c>
      <c r="V348">
        <v>0</v>
      </c>
      <c r="W348">
        <v>3.1474999999999997E-3</v>
      </c>
      <c r="X348" s="97">
        <v>8235.4406291377982</v>
      </c>
      <c r="Y348" s="97">
        <v>6.0924838435254784</v>
      </c>
      <c r="Z348" s="97">
        <v>3916.1526994859373</v>
      </c>
      <c r="AA348" s="97">
        <v>70.56317376958367</v>
      </c>
      <c r="AB348" s="97">
        <v>4.6323952644882329</v>
      </c>
      <c r="AC348" s="97">
        <v>330.03707086070688</v>
      </c>
      <c r="AD348" s="97">
        <v>103.21204852200928</v>
      </c>
      <c r="AE348" s="97">
        <v>2511.709450520887</v>
      </c>
      <c r="AF348" s="97">
        <v>4531.5712732618967</v>
      </c>
      <c r="AG348" s="97">
        <v>2157.6540393277564</v>
      </c>
      <c r="AH348" s="97">
        <v>117893.99840607926</v>
      </c>
      <c r="AI348" s="97">
        <v>2230.2992742955776</v>
      </c>
      <c r="AJ348" s="97">
        <v>189676.23149846174</v>
      </c>
      <c r="AK348" s="97">
        <v>193732.49090400757</v>
      </c>
      <c r="AL348" s="97">
        <v>4056.2594055457871</v>
      </c>
      <c r="AM348" s="97">
        <v>120124.29768037485</v>
      </c>
    </row>
    <row r="349" spans="1:39" x14ac:dyDescent="0.25">
      <c r="A349" s="97">
        <v>347</v>
      </c>
      <c r="B349" s="97">
        <v>3.1474999999999997E-3</v>
      </c>
      <c r="C349" s="97">
        <v>24.096070621700324</v>
      </c>
      <c r="D349" s="97">
        <v>222.49828472786567</v>
      </c>
      <c r="E349" s="97">
        <v>282.39340317136629</v>
      </c>
      <c r="F349" s="97">
        <v>439.02650380830426</v>
      </c>
      <c r="G349" s="97">
        <v>1821.9017581354826</v>
      </c>
      <c r="H349" s="97">
        <v>8239.9580298646633</v>
      </c>
      <c r="I349" s="97">
        <v>73</v>
      </c>
      <c r="J349" s="97">
        <v>45</v>
      </c>
      <c r="K349" s="97">
        <v>131.24326465286109</v>
      </c>
      <c r="L349" s="97">
        <v>1211.8739908177749</v>
      </c>
      <c r="M349" s="97">
        <v>1538.1027359400416</v>
      </c>
      <c r="N349" s="97">
        <v>2234.2790489644285</v>
      </c>
      <c r="O349" s="97">
        <v>29533.027499376174</v>
      </c>
      <c r="P349" s="97">
        <v>108844.3759586962</v>
      </c>
      <c r="Q349" s="97">
        <v>8174.5226264707044</v>
      </c>
      <c r="R349" s="97">
        <v>151667.42512491817</v>
      </c>
      <c r="S349" s="97">
        <v>81174435.935598508</v>
      </c>
      <c r="T349" s="97">
        <v>43532585.076037586</v>
      </c>
      <c r="U349" s="45">
        <v>0</v>
      </c>
      <c r="V349">
        <v>0</v>
      </c>
      <c r="W349">
        <v>3.1474999999999997E-3</v>
      </c>
      <c r="X349" s="97">
        <v>8239.9580298646633</v>
      </c>
      <c r="Y349" s="97">
        <v>6.0610393076641369</v>
      </c>
      <c r="Z349" s="97">
        <v>3922.2137387936014</v>
      </c>
      <c r="AA349" s="97">
        <v>70.207893902980288</v>
      </c>
      <c r="AB349" s="97">
        <v>4.6098611505084577</v>
      </c>
      <c r="AC349" s="97">
        <v>328.4261786814551</v>
      </c>
      <c r="AD349" s="97">
        <v>102.70145896690376</v>
      </c>
      <c r="AE349" s="97">
        <v>2516.2039240951085</v>
      </c>
      <c r="AF349" s="97">
        <v>4540.6737453275582</v>
      </c>
      <c r="AG349" s="97">
        <v>2168.0747026563804</v>
      </c>
      <c r="AH349" s="97">
        <v>117893.99840607926</v>
      </c>
      <c r="AI349" s="97">
        <v>2230.2992742955776</v>
      </c>
      <c r="AJ349" s="97">
        <v>189676.23149846174</v>
      </c>
      <c r="AK349" s="97">
        <v>193732.49090400757</v>
      </c>
      <c r="AL349" s="97">
        <v>4056.2594055457871</v>
      </c>
      <c r="AM349" s="97">
        <v>120124.29768037485</v>
      </c>
    </row>
    <row r="350" spans="1:39" x14ac:dyDescent="0.25">
      <c r="A350" s="97">
        <v>348</v>
      </c>
      <c r="B350" s="97">
        <v>3.1474999999999997E-3</v>
      </c>
      <c r="C350" s="97">
        <v>23.771662845692624</v>
      </c>
      <c r="D350" s="97">
        <v>220.40555198528398</v>
      </c>
      <c r="E350" s="97">
        <v>280.15324615322322</v>
      </c>
      <c r="F350" s="97">
        <v>436.14913979367617</v>
      </c>
      <c r="G350" s="97">
        <v>1812.4861083610419</v>
      </c>
      <c r="H350" s="97">
        <v>8244.4458665253424</v>
      </c>
      <c r="I350" s="97">
        <v>74</v>
      </c>
      <c r="J350" s="97">
        <v>45</v>
      </c>
      <c r="K350" s="97">
        <v>129.47632363287249</v>
      </c>
      <c r="L350" s="97">
        <v>1200.4755731465134</v>
      </c>
      <c r="M350" s="97">
        <v>1525.9013473812224</v>
      </c>
      <c r="N350" s="97">
        <v>2219.6356639333167</v>
      </c>
      <c r="O350" s="97">
        <v>29380.399816532492</v>
      </c>
      <c r="P350" s="97">
        <v>108309.75262015648</v>
      </c>
      <c r="Q350" s="97">
        <v>8134.0533142089316</v>
      </c>
      <c r="R350" s="97">
        <v>150899.69465899182</v>
      </c>
      <c r="S350" s="97">
        <v>81325335.630257502</v>
      </c>
      <c r="T350" s="97">
        <v>43568088.452748343</v>
      </c>
      <c r="U350" s="45">
        <v>0</v>
      </c>
      <c r="V350">
        <v>0</v>
      </c>
      <c r="W350">
        <v>3.1474999999999997E-3</v>
      </c>
      <c r="X350" s="97">
        <v>8244.4458665253424</v>
      </c>
      <c r="Y350" s="97">
        <v>6.0297363891643041</v>
      </c>
      <c r="Z350" s="97">
        <v>3928.2434751827655</v>
      </c>
      <c r="AA350" s="97">
        <v>69.872598720870258</v>
      </c>
      <c r="AB350" s="97">
        <v>4.5676689174004581</v>
      </c>
      <c r="AC350" s="97">
        <v>326.803457412429</v>
      </c>
      <c r="AD350" s="97">
        <v>102.19301858419414</v>
      </c>
      <c r="AE350" s="97">
        <v>2520.6757868161953</v>
      </c>
      <c r="AF350" s="97">
        <v>4549.7312992272346</v>
      </c>
      <c r="AG350" s="97">
        <v>2178.4339169163509</v>
      </c>
      <c r="AH350" s="97">
        <v>118703.10309229874</v>
      </c>
      <c r="AI350" s="97">
        <v>2255.8188232212819</v>
      </c>
      <c r="AJ350" s="97">
        <v>192848.02635497416</v>
      </c>
      <c r="AK350" s="97">
        <v>197004.32568786398</v>
      </c>
      <c r="AL350" s="97">
        <v>4156.2993328897619</v>
      </c>
      <c r="AM350" s="97">
        <v>120958.92191552003</v>
      </c>
    </row>
    <row r="351" spans="1:39" x14ac:dyDescent="0.25">
      <c r="A351" s="97">
        <v>349</v>
      </c>
      <c r="B351" s="97">
        <v>3.4158333333333332E-3</v>
      </c>
      <c r="C351" s="97">
        <v>23.445243874047907</v>
      </c>
      <c r="D351" s="97">
        <v>218.27235196984631</v>
      </c>
      <c r="E351" s="97">
        <v>277.85326835092712</v>
      </c>
      <c r="F351" s="97">
        <v>433.16947480712508</v>
      </c>
      <c r="G351" s="97">
        <v>1802.6265487135843</v>
      </c>
      <c r="H351" s="97">
        <v>8248.9042900649474</v>
      </c>
      <c r="I351" s="97">
        <v>74</v>
      </c>
      <c r="J351" s="97">
        <v>45</v>
      </c>
      <c r="K351" s="97">
        <v>127.69842830064759</v>
      </c>
      <c r="L351" s="97">
        <v>1188.8567437290963</v>
      </c>
      <c r="M351" s="97">
        <v>1513.374134951383</v>
      </c>
      <c r="N351" s="97">
        <v>2204.4716522059275</v>
      </c>
      <c r="O351" s="97">
        <v>29220.576354647201</v>
      </c>
      <c r="P351" s="97">
        <v>107748.25268884102</v>
      </c>
      <c r="Q351" s="97">
        <v>8091.5719135501167</v>
      </c>
      <c r="R351" s="97">
        <v>150094.80191622541</v>
      </c>
      <c r="S351" s="97">
        <v>81475430.432173729</v>
      </c>
      <c r="T351" s="97">
        <v>43603255.924779706</v>
      </c>
      <c r="U351" s="45">
        <v>0</v>
      </c>
      <c r="V351">
        <v>0</v>
      </c>
      <c r="W351">
        <v>3.4158333333333332E-3</v>
      </c>
      <c r="X351" s="97">
        <v>8248.9042900649474</v>
      </c>
      <c r="Y351" s="97">
        <v>5.9985745080041077</v>
      </c>
      <c r="Z351" s="97">
        <v>3934.2420496907694</v>
      </c>
      <c r="AA351" s="97">
        <v>69.518225491993022</v>
      </c>
      <c r="AB351" s="97">
        <v>4.5454196860979286</v>
      </c>
      <c r="AC351" s="97">
        <v>325.10138075673802</v>
      </c>
      <c r="AD351" s="97">
        <v>101.65929912117743</v>
      </c>
      <c r="AE351" s="97">
        <v>2525.1251364446075</v>
      </c>
      <c r="AF351" s="97">
        <v>4558.7442476823508</v>
      </c>
      <c r="AG351" s="97">
        <v>2189.6099592322071</v>
      </c>
      <c r="AH351" s="97">
        <v>118703.10309229874</v>
      </c>
      <c r="AI351" s="97">
        <v>2255.8188232212819</v>
      </c>
      <c r="AJ351" s="97">
        <v>192848.02635497416</v>
      </c>
      <c r="AK351" s="97">
        <v>197004.32568786398</v>
      </c>
      <c r="AL351" s="97">
        <v>4156.2993328897619</v>
      </c>
      <c r="AM351" s="97">
        <v>120958.92191552003</v>
      </c>
    </row>
    <row r="352" spans="1:39" x14ac:dyDescent="0.25">
      <c r="A352" s="97">
        <v>350</v>
      </c>
      <c r="B352" s="97">
        <v>3.4158333333333332E-3</v>
      </c>
      <c r="C352" s="97">
        <v>23.123307102312438</v>
      </c>
      <c r="D352" s="97">
        <v>216.1588043277653</v>
      </c>
      <c r="E352" s="97">
        <v>275.56978508390051</v>
      </c>
      <c r="F352" s="97">
        <v>430.2060756071017</v>
      </c>
      <c r="G352" s="97">
        <v>1792.814417146305</v>
      </c>
      <c r="H352" s="97">
        <v>8253.3322547378393</v>
      </c>
      <c r="I352" s="97">
        <v>74</v>
      </c>
      <c r="J352" s="97">
        <v>45</v>
      </c>
      <c r="K352" s="97">
        <v>125.94494601726174</v>
      </c>
      <c r="L352" s="97">
        <v>1177.3449542385615</v>
      </c>
      <c r="M352" s="97">
        <v>1500.9367627569779</v>
      </c>
      <c r="N352" s="97">
        <v>2189.3904197771417</v>
      </c>
      <c r="O352" s="97">
        <v>29061.521701941605</v>
      </c>
      <c r="P352" s="97">
        <v>107189.23056654769</v>
      </c>
      <c r="Q352" s="97">
        <v>8049.2827005691415</v>
      </c>
      <c r="R352" s="97">
        <v>149293.65205184839</v>
      </c>
      <c r="S352" s="97">
        <v>81624724.08422558</v>
      </c>
      <c r="T352" s="97">
        <v>43638090.541772895</v>
      </c>
      <c r="U352" s="45">
        <v>0</v>
      </c>
      <c r="V352">
        <v>0</v>
      </c>
      <c r="W352">
        <v>3.4158333333333332E-3</v>
      </c>
      <c r="X352" s="97">
        <v>8253.3322547378393</v>
      </c>
      <c r="Y352" s="97">
        <v>5.9659434699572191</v>
      </c>
      <c r="Z352" s="97">
        <v>3940.2079931607268</v>
      </c>
      <c r="AA352" s="97">
        <v>69.163710983058039</v>
      </c>
      <c r="AB352" s="97">
        <v>4.5220971776940084</v>
      </c>
      <c r="AC352" s="97">
        <v>323.40852016418728</v>
      </c>
      <c r="AD352" s="97">
        <v>101.12799422789298</v>
      </c>
      <c r="AE352" s="97">
        <v>2529.5508757635921</v>
      </c>
      <c r="AF352" s="97">
        <v>4567.7103460370527</v>
      </c>
      <c r="AG352" s="97">
        <v>2200.7170393204215</v>
      </c>
      <c r="AH352" s="97">
        <v>118703.10309229874</v>
      </c>
      <c r="AI352" s="97">
        <v>2255.8188232212819</v>
      </c>
      <c r="AJ352" s="97">
        <v>192848.02635497416</v>
      </c>
      <c r="AK352" s="97">
        <v>197004.32568786398</v>
      </c>
      <c r="AL352" s="97">
        <v>4156.2993328897619</v>
      </c>
      <c r="AM352" s="97">
        <v>120958.92191552003</v>
      </c>
    </row>
    <row r="353" spans="1:39" x14ac:dyDescent="0.25">
      <c r="A353" s="97">
        <v>351</v>
      </c>
      <c r="B353" s="97">
        <v>3.4158333333333332E-3</v>
      </c>
      <c r="C353" s="97">
        <v>22.805790983462998</v>
      </c>
      <c r="D353" s="97">
        <v>214.06474322483697</v>
      </c>
      <c r="E353" s="97">
        <v>273.30271017103587</v>
      </c>
      <c r="F353" s="97">
        <v>427.2588951396001</v>
      </c>
      <c r="G353" s="97">
        <v>1783.0495052674262</v>
      </c>
      <c r="H353" s="97">
        <v>8257.729926816879</v>
      </c>
      <c r="I353" s="97">
        <v>74</v>
      </c>
      <c r="J353" s="97">
        <v>45</v>
      </c>
      <c r="K353" s="97">
        <v>124.21554155659513</v>
      </c>
      <c r="L353" s="97">
        <v>1165.9393014312786</v>
      </c>
      <c r="M353" s="97">
        <v>1488.588761398242</v>
      </c>
      <c r="N353" s="97">
        <v>2174.3917271812816</v>
      </c>
      <c r="O353" s="97">
        <v>28903.232480384981</v>
      </c>
      <c r="P353" s="97">
        <v>106632.68200434948</v>
      </c>
      <c r="Q353" s="97">
        <v>8007.1849631379619</v>
      </c>
      <c r="R353" s="97">
        <v>148496.23477943981</v>
      </c>
      <c r="S353" s="97">
        <v>81773220.319005013</v>
      </c>
      <c r="T353" s="97">
        <v>43672595.327830382</v>
      </c>
      <c r="U353" s="45">
        <v>0</v>
      </c>
      <c r="V353">
        <v>0</v>
      </c>
      <c r="W353">
        <v>3.4158333333333332E-3</v>
      </c>
      <c r="X353" s="97">
        <v>8257.729926816879</v>
      </c>
      <c r="Y353" s="97">
        <v>5.9334693991121261</v>
      </c>
      <c r="Z353" s="97">
        <v>3946.1414625598391</v>
      </c>
      <c r="AA353" s="97">
        <v>68.809111124143925</v>
      </c>
      <c r="AB353" s="97">
        <v>4.4988793611745308</v>
      </c>
      <c r="AC353" s="97">
        <v>321.72480414333307</v>
      </c>
      <c r="AD353" s="97">
        <v>100.5990949574466</v>
      </c>
      <c r="AE353" s="97">
        <v>2533.9531135639236</v>
      </c>
      <c r="AF353" s="97">
        <v>4576.6297922121075</v>
      </c>
      <c r="AG353" s="97">
        <v>2211.7555527766044</v>
      </c>
      <c r="AH353" s="97">
        <v>118703.10309229874</v>
      </c>
      <c r="AI353" s="97">
        <v>2255.8188232212819</v>
      </c>
      <c r="AJ353" s="97">
        <v>192848.02635497416</v>
      </c>
      <c r="AK353" s="97">
        <v>197004.32568786398</v>
      </c>
      <c r="AL353" s="97">
        <v>4156.2993328897619</v>
      </c>
      <c r="AM353" s="97">
        <v>120958.92191552003</v>
      </c>
    </row>
    <row r="354" spans="1:39" x14ac:dyDescent="0.25">
      <c r="A354" s="97">
        <v>352</v>
      </c>
      <c r="B354" s="97">
        <v>3.4158333333333332E-3</v>
      </c>
      <c r="C354" s="97">
        <v>22.492634815605133</v>
      </c>
      <c r="D354" s="97">
        <v>211.9900039814969</v>
      </c>
      <c r="E354" s="97">
        <v>271.05195741572987</v>
      </c>
      <c r="F354" s="97">
        <v>424.32788607914489</v>
      </c>
      <c r="G354" s="97">
        <v>1773.3316058503915</v>
      </c>
      <c r="H354" s="97">
        <v>8262.0974720939321</v>
      </c>
      <c r="I354" s="97">
        <v>74</v>
      </c>
      <c r="J354" s="97">
        <v>45</v>
      </c>
      <c r="K354" s="97">
        <v>122.50988429566262</v>
      </c>
      <c r="L354" s="97">
        <v>1154.6388883525531</v>
      </c>
      <c r="M354" s="97">
        <v>1476.3296613910086</v>
      </c>
      <c r="N354" s="97">
        <v>2159.4753335711148</v>
      </c>
      <c r="O354" s="97">
        <v>28745.705330834848</v>
      </c>
      <c r="P354" s="97">
        <v>106078.60254311988</v>
      </c>
      <c r="Q354" s="97">
        <v>7965.2779971286018</v>
      </c>
      <c r="R354" s="97">
        <v>147702.53963869368</v>
      </c>
      <c r="S354" s="97">
        <v>81920922.858643711</v>
      </c>
      <c r="T354" s="97">
        <v>43706773.281669945</v>
      </c>
      <c r="U354" s="45">
        <v>0</v>
      </c>
      <c r="V354">
        <v>0</v>
      </c>
      <c r="W354">
        <v>3.4158333333333332E-3</v>
      </c>
      <c r="X354" s="97">
        <v>8262.0974720939321</v>
      </c>
      <c r="Y354" s="97">
        <v>5.9011516057787929</v>
      </c>
      <c r="Z354" s="97">
        <v>3952.042614165618</v>
      </c>
      <c r="AA354" s="97">
        <v>68.45448014417812</v>
      </c>
      <c r="AB354" s="97">
        <v>4.4757658011504073</v>
      </c>
      <c r="AC354" s="97">
        <v>320.05016213404343</v>
      </c>
      <c r="AD354" s="97">
        <v>100.07259246345376</v>
      </c>
      <c r="AE354" s="97">
        <v>2538.3319583006241</v>
      </c>
      <c r="AF354" s="97">
        <v>4585.5027839469403</v>
      </c>
      <c r="AG354" s="97">
        <v>2222.7258931690139</v>
      </c>
      <c r="AH354" s="97">
        <v>118703.10309229874</v>
      </c>
      <c r="AI354" s="97">
        <v>2255.8188232212819</v>
      </c>
      <c r="AJ354" s="97">
        <v>192848.02635497416</v>
      </c>
      <c r="AK354" s="97">
        <v>197004.32568786398</v>
      </c>
      <c r="AL354" s="97">
        <v>4156.2993328897619</v>
      </c>
      <c r="AM354" s="97">
        <v>120958.92191552003</v>
      </c>
    </row>
    <row r="355" spans="1:39" x14ac:dyDescent="0.25">
      <c r="A355" s="97">
        <v>353</v>
      </c>
      <c r="B355" s="97">
        <v>3.4158333333333332E-3</v>
      </c>
      <c r="C355" s="97">
        <v>22.183778730368321</v>
      </c>
      <c r="D355" s="97">
        <v>209.93442306907835</v>
      </c>
      <c r="E355" s="97">
        <v>268.81744061461615</v>
      </c>
      <c r="F355" s="97">
        <v>421.41300083232915</v>
      </c>
      <c r="G355" s="97">
        <v>1763.6605128218869</v>
      </c>
      <c r="H355" s="97">
        <v>8266.4350558770875</v>
      </c>
      <c r="I355" s="97">
        <v>74</v>
      </c>
      <c r="J355" s="97">
        <v>45</v>
      </c>
      <c r="K355" s="97">
        <v>120.82764815140611</v>
      </c>
      <c r="L355" s="97">
        <v>1143.4428243162467</v>
      </c>
      <c r="M355" s="97">
        <v>1464.1589932142758</v>
      </c>
      <c r="N355" s="97">
        <v>2144.6409967358618</v>
      </c>
      <c r="O355" s="97">
        <v>28588.936912842786</v>
      </c>
      <c r="P355" s="97">
        <v>105526.98752174035</v>
      </c>
      <c r="Q355" s="97">
        <v>7923.5611057734232</v>
      </c>
      <c r="R355" s="97">
        <v>146912.55600277433</v>
      </c>
      <c r="S355" s="97">
        <v>82067835.414646491</v>
      </c>
      <c r="T355" s="97">
        <v>43740627.376779906</v>
      </c>
      <c r="U355" s="45">
        <v>0</v>
      </c>
      <c r="V355">
        <v>0</v>
      </c>
      <c r="W355">
        <v>3.4158333333333332E-3</v>
      </c>
      <c r="X355" s="97">
        <v>8266.4350558770875</v>
      </c>
      <c r="Y355" s="97">
        <v>5.8689894041235844</v>
      </c>
      <c r="Z355" s="97">
        <v>3957.9116035697416</v>
      </c>
      <c r="AA355" s="97">
        <v>68.099870616214702</v>
      </c>
      <c r="AB355" s="97">
        <v>4.4527560648180682</v>
      </c>
      <c r="AC355" s="97">
        <v>318.3845244922797</v>
      </c>
      <c r="AD355" s="97">
        <v>99.548477992002304</v>
      </c>
      <c r="AE355" s="97">
        <v>2542.6875180898264</v>
      </c>
      <c r="AF355" s="97">
        <v>4594.3295187851236</v>
      </c>
      <c r="AG355" s="97">
        <v>2233.6284520460986</v>
      </c>
      <c r="AH355" s="97">
        <v>118703.10309229874</v>
      </c>
      <c r="AI355" s="97">
        <v>2255.8188232212819</v>
      </c>
      <c r="AJ355" s="97">
        <v>192848.02635497416</v>
      </c>
      <c r="AK355" s="97">
        <v>197004.32568786398</v>
      </c>
      <c r="AL355" s="97">
        <v>4156.2993328897619</v>
      </c>
      <c r="AM355" s="97">
        <v>120958.92191552003</v>
      </c>
    </row>
    <row r="356" spans="1:39" x14ac:dyDescent="0.25">
      <c r="A356" s="97">
        <v>354</v>
      </c>
      <c r="B356" s="97">
        <v>3.4158333333333332E-3</v>
      </c>
      <c r="C356" s="97">
        <v>21.879163681460504</v>
      </c>
      <c r="D356" s="97">
        <v>207.89783810599116</v>
      </c>
      <c r="E356" s="97">
        <v>266.59907356614843</v>
      </c>
      <c r="F356" s="97">
        <v>418.51419154139694</v>
      </c>
      <c r="G356" s="97">
        <v>1754.0360212499913</v>
      </c>
      <c r="H356" s="97">
        <v>8270.7428429879274</v>
      </c>
      <c r="I356" s="97">
        <v>74</v>
      </c>
      <c r="J356" s="97">
        <v>45</v>
      </c>
      <c r="K356" s="97">
        <v>119.16851151835488</v>
      </c>
      <c r="L356" s="97">
        <v>1132.350224883965</v>
      </c>
      <c r="M356" s="97">
        <v>1452.0762873569549</v>
      </c>
      <c r="N356" s="97">
        <v>2129.8884731194257</v>
      </c>
      <c r="O356" s="97">
        <v>28432.923904462361</v>
      </c>
      <c r="P356" s="97">
        <v>104977.83208505667</v>
      </c>
      <c r="Q356" s="97">
        <v>7882.0335990694603</v>
      </c>
      <c r="R356" s="97">
        <v>146126.2730854672</v>
      </c>
      <c r="S356" s="97">
        <v>82213961.687731951</v>
      </c>
      <c r="T356" s="97">
        <v>43774160.561575457</v>
      </c>
      <c r="U356" s="45">
        <v>0</v>
      </c>
      <c r="V356">
        <v>0</v>
      </c>
      <c r="W356">
        <v>3.4158333333333332E-3</v>
      </c>
      <c r="X356" s="97">
        <v>8270.7428429879274</v>
      </c>
      <c r="Y356" s="97">
        <v>5.8369821121296157</v>
      </c>
      <c r="Z356" s="97">
        <v>3963.7485856818712</v>
      </c>
      <c r="AA356" s="97">
        <v>67.745333501529316</v>
      </c>
      <c r="AB356" s="97">
        <v>4.4298497219313431</v>
      </c>
      <c r="AC356" s="97">
        <v>316.72782247514101</v>
      </c>
      <c r="AD356" s="97">
        <v>99.026742874168733</v>
      </c>
      <c r="AE356" s="97">
        <v>2547.019900705799</v>
      </c>
      <c r="AF356" s="97">
        <v>4603.1101940601029</v>
      </c>
      <c r="AG356" s="97">
        <v>2244.4636189440675</v>
      </c>
      <c r="AH356" s="97">
        <v>118703.10309229874</v>
      </c>
      <c r="AI356" s="97">
        <v>2255.8188232212819</v>
      </c>
      <c r="AJ356" s="97">
        <v>192848.02635497416</v>
      </c>
      <c r="AK356" s="97">
        <v>197004.32568786398</v>
      </c>
      <c r="AL356" s="97">
        <v>4156.2993328897619</v>
      </c>
      <c r="AM356" s="97">
        <v>120958.92191552003</v>
      </c>
    </row>
    <row r="357" spans="1:39" x14ac:dyDescent="0.25">
      <c r="A357" s="97">
        <v>355</v>
      </c>
      <c r="B357" s="97">
        <v>3.4158333333333332E-3</v>
      </c>
      <c r="C357" s="97">
        <v>21.578731433379769</v>
      </c>
      <c r="D357" s="97">
        <v>205.88008785382371</v>
      </c>
      <c r="E357" s="97">
        <v>264.39677007903498</v>
      </c>
      <c r="F357" s="97">
        <v>415.63141008786789</v>
      </c>
      <c r="G357" s="97">
        <v>1744.4579273324578</v>
      </c>
      <c r="H357" s="97">
        <v>8275.0209977588165</v>
      </c>
      <c r="I357" s="97">
        <v>74</v>
      </c>
      <c r="J357" s="97">
        <v>45</v>
      </c>
      <c r="K357" s="97">
        <v>117.53215720714179</v>
      </c>
      <c r="L357" s="97">
        <v>1121.3602118438264</v>
      </c>
      <c r="M357" s="97">
        <v>1440.0810743638103</v>
      </c>
      <c r="N357" s="97">
        <v>2115.2175178388411</v>
      </c>
      <c r="O357" s="97">
        <v>28277.66300205914</v>
      </c>
      <c r="P357" s="97">
        <v>104431.13119159119</v>
      </c>
      <c r="Q357" s="97">
        <v>7840.6947932242729</v>
      </c>
      <c r="R357" s="97">
        <v>145343.67994812824</v>
      </c>
      <c r="S357" s="97">
        <v>82359305.367680073</v>
      </c>
      <c r="T357" s="97">
        <v>43807375.759555973</v>
      </c>
      <c r="U357" s="45">
        <v>0</v>
      </c>
      <c r="V357">
        <v>0</v>
      </c>
      <c r="W357">
        <v>3.4158333333333332E-3</v>
      </c>
      <c r="X357" s="97">
        <v>8275.0209977588165</v>
      </c>
      <c r="Y357" s="97">
        <v>5.8051290515575378</v>
      </c>
      <c r="Z357" s="97">
        <v>3969.5537147334289</v>
      </c>
      <c r="AA357" s="97">
        <v>67.390918192562239</v>
      </c>
      <c r="AB357" s="97">
        <v>4.4070463447736099</v>
      </c>
      <c r="AC357" s="97">
        <v>315.07998822616685</v>
      </c>
      <c r="AD357" s="97">
        <v>98.507378519056132</v>
      </c>
      <c r="AE357" s="97">
        <v>2551.3292135781294</v>
      </c>
      <c r="AF357" s="97">
        <v>4611.845006881168</v>
      </c>
      <c r="AG357" s="97">
        <v>2255.2317813944805</v>
      </c>
      <c r="AH357" s="97">
        <v>118703.10309229874</v>
      </c>
      <c r="AI357" s="97">
        <v>2255.8188232212819</v>
      </c>
      <c r="AJ357" s="97">
        <v>192848.02635497416</v>
      </c>
      <c r="AK357" s="97">
        <v>197004.32568786398</v>
      </c>
      <c r="AL357" s="97">
        <v>4156.2993328897619</v>
      </c>
      <c r="AM357" s="97">
        <v>120958.92191552003</v>
      </c>
    </row>
    <row r="358" spans="1:39" x14ac:dyDescent="0.25">
      <c r="A358" s="97">
        <v>356</v>
      </c>
      <c r="B358" s="97">
        <v>3.4158333333333332E-3</v>
      </c>
      <c r="C358" s="97">
        <v>21.282424550281029</v>
      </c>
      <c r="D358" s="97">
        <v>203.88101221337061</v>
      </c>
      <c r="E358" s="97">
        <v>262.21044398052607</v>
      </c>
      <c r="F358" s="97">
        <v>412.76460809620153</v>
      </c>
      <c r="G358" s="97">
        <v>1734.9260283851243</v>
      </c>
      <c r="H358" s="97">
        <v>8279.2696840302415</v>
      </c>
      <c r="I358" s="97">
        <v>74</v>
      </c>
      <c r="J358" s="97">
        <v>45</v>
      </c>
      <c r="K358" s="97">
        <v>115.91827238386399</v>
      </c>
      <c r="L358" s="97">
        <v>1110.4719131888253</v>
      </c>
      <c r="M358" s="97">
        <v>1428.1728848805985</v>
      </c>
      <c r="N358" s="97">
        <v>2100.6278847029189</v>
      </c>
      <c r="O358" s="97">
        <v>28123.150920122866</v>
      </c>
      <c r="P358" s="97">
        <v>103886.87962101784</v>
      </c>
      <c r="Q358" s="97">
        <v>7799.5440101408749</v>
      </c>
      <c r="R358" s="97">
        <v>144564.76550643778</v>
      </c>
      <c r="S358" s="97">
        <v>82503870.133186504</v>
      </c>
      <c r="T358" s="97">
        <v>43840275.86946322</v>
      </c>
      <c r="U358" s="45">
        <v>0</v>
      </c>
      <c r="V358">
        <v>0</v>
      </c>
      <c r="W358">
        <v>3.4158333333333332E-3</v>
      </c>
      <c r="X358" s="97">
        <v>8279.2696840302415</v>
      </c>
      <c r="Y358" s="97">
        <v>5.7734295479067539</v>
      </c>
      <c r="Z358" s="97">
        <v>3975.3271442813357</v>
      </c>
      <c r="AA358" s="97">
        <v>67.036672554739084</v>
      </c>
      <c r="AB358" s="97">
        <v>4.3843455081302185</v>
      </c>
      <c r="AC358" s="97">
        <v>313.44095476089274</v>
      </c>
      <c r="AD358" s="97">
        <v>97.990376407323012</v>
      </c>
      <c r="AE358" s="97">
        <v>2555.6155637890561</v>
      </c>
      <c r="AF358" s="97">
        <v>4620.5341541196776</v>
      </c>
      <c r="AG358" s="97">
        <v>2265.9333249318624</v>
      </c>
      <c r="AH358" s="97">
        <v>118703.10309229874</v>
      </c>
      <c r="AI358" s="97">
        <v>2255.8188232212819</v>
      </c>
      <c r="AJ358" s="97">
        <v>192848.02635497416</v>
      </c>
      <c r="AK358" s="97">
        <v>197004.32568786398</v>
      </c>
      <c r="AL358" s="97">
        <v>4156.2993328897619</v>
      </c>
      <c r="AM358" s="97">
        <v>120958.92191552003</v>
      </c>
    </row>
    <row r="359" spans="1:39" x14ac:dyDescent="0.25">
      <c r="A359" s="97">
        <v>357</v>
      </c>
      <c r="B359" s="97">
        <v>3.4158333333333332E-3</v>
      </c>
      <c r="C359" s="97">
        <v>20.990186384995599</v>
      </c>
      <c r="D359" s="97">
        <v>201.90045222058828</v>
      </c>
      <c r="E359" s="97">
        <v>260.04000912455615</v>
      </c>
      <c r="F359" s="97">
        <v>409.91373693749949</v>
      </c>
      <c r="G359" s="97">
        <v>1725.4401228304537</v>
      </c>
      <c r="H359" s="97">
        <v>8283.4890651481837</v>
      </c>
      <c r="I359" s="97">
        <v>74</v>
      </c>
      <c r="J359" s="97">
        <v>45</v>
      </c>
      <c r="K359" s="97">
        <v>114.32654851027603</v>
      </c>
      <c r="L359" s="97">
        <v>1099.6844630948042</v>
      </c>
      <c r="M359" s="97">
        <v>1416.3512496984158</v>
      </c>
      <c r="N359" s="97">
        <v>2086.1193262310912</v>
      </c>
      <c r="O359" s="97">
        <v>27969.384391081654</v>
      </c>
      <c r="P359" s="97">
        <v>103345.0719814067</v>
      </c>
      <c r="Q359" s="97">
        <v>7758.580576939451</v>
      </c>
      <c r="R359" s="97">
        <v>143789.51853696239</v>
      </c>
      <c r="S359" s="97">
        <v>82647659.651723459</v>
      </c>
      <c r="T359" s="97">
        <v>43872863.765440419</v>
      </c>
      <c r="U359" s="45">
        <v>0</v>
      </c>
      <c r="V359">
        <v>0</v>
      </c>
      <c r="W359">
        <v>3.4158333333333332E-3</v>
      </c>
      <c r="X359" s="97">
        <v>8283.4890651481837</v>
      </c>
      <c r="Y359" s="97">
        <v>5.741882930377062</v>
      </c>
      <c r="Z359" s="97">
        <v>3981.0690272117126</v>
      </c>
      <c r="AA359" s="97">
        <v>66.682642967198845</v>
      </c>
      <c r="AB359" s="97">
        <v>4.3617467892611836</v>
      </c>
      <c r="AC359" s="97">
        <v>311.81065595265522</v>
      </c>
      <c r="AD359" s="97">
        <v>97.475728085174339</v>
      </c>
      <c r="AE359" s="97">
        <v>2559.8790580709497</v>
      </c>
      <c r="AF359" s="97">
        <v>4629.1778323955414</v>
      </c>
      <c r="AG359" s="97">
        <v>2276.5686331013353</v>
      </c>
      <c r="AH359" s="97">
        <v>118703.10309229874</v>
      </c>
      <c r="AI359" s="97">
        <v>2255.8188232212819</v>
      </c>
      <c r="AJ359" s="97">
        <v>192848.02635497416</v>
      </c>
      <c r="AK359" s="97">
        <v>197004.32568786398</v>
      </c>
      <c r="AL359" s="97">
        <v>4156.2993328897619</v>
      </c>
      <c r="AM359" s="97">
        <v>120958.92191552003</v>
      </c>
    </row>
    <row r="360" spans="1:39" x14ac:dyDescent="0.25">
      <c r="A360" s="97">
        <v>358</v>
      </c>
      <c r="B360" s="97">
        <v>3.4158333333333332E-3</v>
      </c>
      <c r="C360" s="97">
        <v>20.701961068201545</v>
      </c>
      <c r="D360" s="97">
        <v>199.93825004248103</v>
      </c>
      <c r="E360" s="97">
        <v>257.88537939974225</v>
      </c>
      <c r="F360" s="97">
        <v>407.0787477332438</v>
      </c>
      <c r="G360" s="97">
        <v>1716.0000101862015</v>
      </c>
      <c r="H360" s="97">
        <v>8287.6793039615277</v>
      </c>
      <c r="I360" s="97">
        <v>74</v>
      </c>
      <c r="J360" s="97">
        <v>45</v>
      </c>
      <c r="K360" s="97">
        <v>112.7566812848044</v>
      </c>
      <c r="L360" s="97">
        <v>1088.9970018980466</v>
      </c>
      <c r="M360" s="97">
        <v>1404.6156997972628</v>
      </c>
      <c r="N360" s="97">
        <v>2071.6915936724331</v>
      </c>
      <c r="O360" s="97">
        <v>27816.360165118327</v>
      </c>
      <c r="P360" s="97">
        <v>102805.70271624465</v>
      </c>
      <c r="Q360" s="97">
        <v>7717.8038255136753</v>
      </c>
      <c r="R360" s="97">
        <v>143017.92768352918</v>
      </c>
      <c r="S360" s="97">
        <v>82790677.579406992</v>
      </c>
      <c r="T360" s="97">
        <v>43905142.297192022</v>
      </c>
      <c r="U360" s="45">
        <v>0</v>
      </c>
      <c r="V360">
        <v>0</v>
      </c>
      <c r="W360">
        <v>3.4158333333333332E-3</v>
      </c>
      <c r="X360" s="97">
        <v>8287.6793039615277</v>
      </c>
      <c r="Y360" s="97">
        <v>5.7104885318307277</v>
      </c>
      <c r="Z360" s="97">
        <v>3986.7795157435435</v>
      </c>
      <c r="AA360" s="97">
        <v>66.328874362457313</v>
      </c>
      <c r="AB360" s="97">
        <v>4.3392497678741515</v>
      </c>
      <c r="AC360" s="97">
        <v>310.18902651864084</v>
      </c>
      <c r="AD360" s="97">
        <v>96.963425158787302</v>
      </c>
      <c r="AE360" s="97">
        <v>2564.1198028039348</v>
      </c>
      <c r="AF360" s="97">
        <v>4637.776238063967</v>
      </c>
      <c r="AG360" s="97">
        <v>2287.1380874662755</v>
      </c>
      <c r="AH360" s="97">
        <v>118703.10309229874</v>
      </c>
      <c r="AI360" s="97">
        <v>2255.8188232212819</v>
      </c>
      <c r="AJ360" s="97">
        <v>192848.02635497416</v>
      </c>
      <c r="AK360" s="97">
        <v>197004.32568786398</v>
      </c>
      <c r="AL360" s="97">
        <v>4156.2993328897619</v>
      </c>
      <c r="AM360" s="97">
        <v>120958.92191552003</v>
      </c>
    </row>
    <row r="361" spans="1:39" x14ac:dyDescent="0.25">
      <c r="A361" s="97">
        <v>359</v>
      </c>
      <c r="B361" s="97">
        <v>3.4158333333333332E-3</v>
      </c>
      <c r="C361" s="97">
        <v>20.417693497742722</v>
      </c>
      <c r="D361" s="97">
        <v>197.99424897291973</v>
      </c>
      <c r="E361" s="97">
        <v>255.7464687372395</v>
      </c>
      <c r="F361" s="97">
        <v>404.25959135906857</v>
      </c>
      <c r="G361" s="97">
        <v>1706.6054910542125</v>
      </c>
      <c r="H361" s="97">
        <v>8291.8405628195087</v>
      </c>
      <c r="I361" s="97">
        <v>74</v>
      </c>
      <c r="J361" s="97">
        <v>45</v>
      </c>
      <c r="K361" s="97">
        <v>111.20837058437202</v>
      </c>
      <c r="L361" s="97">
        <v>1078.4086760725027</v>
      </c>
      <c r="M361" s="97">
        <v>1392.9657663888311</v>
      </c>
      <c r="N361" s="97">
        <v>2057.3444370248599</v>
      </c>
      <c r="O361" s="97">
        <v>27664.075009988785</v>
      </c>
      <c r="P361" s="97">
        <v>102268.76611123844</v>
      </c>
      <c r="Q361" s="97">
        <v>7677.2130921195812</v>
      </c>
      <c r="R361" s="97">
        <v>142249.98146341738</v>
      </c>
      <c r="S361" s="97">
        <v>82932927.560870409</v>
      </c>
      <c r="T361" s="97">
        <v>43937114.290144198</v>
      </c>
      <c r="U361" s="45">
        <v>0</v>
      </c>
      <c r="V361">
        <v>0</v>
      </c>
      <c r="W361">
        <v>3.4158333333333332E-3</v>
      </c>
      <c r="X361" s="97">
        <v>8291.8405628195087</v>
      </c>
      <c r="Y361" s="97">
        <v>5.6792456887549791</v>
      </c>
      <c r="Z361" s="97">
        <v>3992.4587614322986</v>
      </c>
      <c r="AA361" s="97">
        <v>65.975410265033702</v>
      </c>
      <c r="AB361" s="97">
        <v>4.3168540260976282</v>
      </c>
      <c r="AC361" s="97">
        <v>308.57600200617514</v>
      </c>
      <c r="AD361" s="97">
        <v>96.453459289146068</v>
      </c>
      <c r="AE361" s="97">
        <v>2568.3379040136483</v>
      </c>
      <c r="AF361" s="97">
        <v>4646.3295672024751</v>
      </c>
      <c r="AG361" s="97">
        <v>2297.6420676159851</v>
      </c>
      <c r="AH361" s="97">
        <v>118703.10309229874</v>
      </c>
      <c r="AI361" s="97">
        <v>2255.8188232212819</v>
      </c>
      <c r="AJ361" s="97">
        <v>192848.02635497416</v>
      </c>
      <c r="AK361" s="97">
        <v>197004.32568786398</v>
      </c>
      <c r="AL361" s="97">
        <v>4156.2993328897619</v>
      </c>
      <c r="AM361" s="97">
        <v>120958.92191552003</v>
      </c>
    </row>
    <row r="362" spans="1:39" x14ac:dyDescent="0.25">
      <c r="A362" s="97">
        <v>360</v>
      </c>
      <c r="B362" s="97">
        <v>3.4158333333333332E-3</v>
      </c>
      <c r="C362" s="97">
        <v>20.137329328094495</v>
      </c>
      <c r="D362" s="97">
        <v>196.06829342839544</v>
      </c>
      <c r="E362" s="97">
        <v>253.62319111845622</v>
      </c>
      <c r="F362" s="97">
        <v>401.45621844856356</v>
      </c>
      <c r="G362" s="97">
        <v>1697.256367109343</v>
      </c>
      <c r="H362" s="97">
        <v>8295.973003569201</v>
      </c>
      <c r="I362" s="97">
        <v>75</v>
      </c>
      <c r="J362" s="97">
        <v>45</v>
      </c>
      <c r="K362" s="97">
        <v>109.68132040702135</v>
      </c>
      <c r="L362" s="97">
        <v>1067.9186382066605</v>
      </c>
      <c r="M362" s="97">
        <v>1381.4009809585248</v>
      </c>
      <c r="N362" s="97">
        <v>2043.0776050544812</v>
      </c>
      <c r="O362" s="97">
        <v>27512.525710842452</v>
      </c>
      <c r="P362" s="97">
        <v>101734.25630090629</v>
      </c>
      <c r="Q362" s="97">
        <v>7636.8077169950438</v>
      </c>
      <c r="R362" s="97">
        <v>141485.66827337048</v>
      </c>
      <c r="S362" s="97">
        <v>83074413.229143783</v>
      </c>
      <c r="T362" s="97">
        <v>43968782.545605868</v>
      </c>
      <c r="U362" s="45">
        <v>0</v>
      </c>
      <c r="V362">
        <v>0</v>
      </c>
      <c r="W362">
        <v>3.4158333333333332E-3</v>
      </c>
      <c r="X362" s="97">
        <v>8295.973003569201</v>
      </c>
      <c r="Y362" s="97">
        <v>5.6481537412249292</v>
      </c>
      <c r="Z362" s="97">
        <v>3998.1069151735237</v>
      </c>
      <c r="AA362" s="97">
        <v>65.641708580240675</v>
      </c>
      <c r="AB362" s="97">
        <v>4.2751433972813828</v>
      </c>
      <c r="AC362" s="97">
        <v>306.95210302807408</v>
      </c>
      <c r="AD362" s="97">
        <v>95.945822187261058</v>
      </c>
      <c r="AE362" s="97">
        <v>2572.5334673691327</v>
      </c>
      <c r="AF362" s="97">
        <v>4654.8380155981849</v>
      </c>
      <c r="AG362" s="97">
        <v>2308.0809511733842</v>
      </c>
      <c r="AH362" s="97">
        <v>119418.12495437599</v>
      </c>
      <c r="AI362" s="97">
        <v>2278.6446250149911</v>
      </c>
      <c r="AJ362" s="97">
        <v>195791.15329294637</v>
      </c>
      <c r="AK362" s="97">
        <v>200041.40672109241</v>
      </c>
      <c r="AL362" s="97">
        <v>4250.253428145973</v>
      </c>
      <c r="AM362" s="97">
        <v>121696.769579391</v>
      </c>
    </row>
    <row r="363" spans="1:39" x14ac:dyDescent="0.25">
      <c r="A363" s="97">
        <v>361</v>
      </c>
      <c r="B363" s="97">
        <v>3.6991666666666666E-3</v>
      </c>
      <c r="C363" s="97">
        <v>19.855109383331147</v>
      </c>
      <c r="D363" s="97">
        <v>194.10467626057218</v>
      </c>
      <c r="E363" s="97">
        <v>251.44360067847913</v>
      </c>
      <c r="F363" s="97">
        <v>398.55483346854749</v>
      </c>
      <c r="G363" s="97">
        <v>1687.4715517844961</v>
      </c>
      <c r="H363" s="97">
        <v>8300.0767875530437</v>
      </c>
      <c r="I363" s="97">
        <v>75</v>
      </c>
      <c r="J363" s="97">
        <v>45</v>
      </c>
      <c r="K363" s="97">
        <v>108.14416244121031</v>
      </c>
      <c r="L363" s="97">
        <v>1057.223470032583</v>
      </c>
      <c r="M363" s="97">
        <v>1369.5294783621162</v>
      </c>
      <c r="N363" s="97">
        <v>2028.3119733270162</v>
      </c>
      <c r="O363" s="97">
        <v>27353.913854426683</v>
      </c>
      <c r="P363" s="97">
        <v>101173.30677473905</v>
      </c>
      <c r="Q363" s="97">
        <v>7594.4232818215305</v>
      </c>
      <c r="R363" s="97">
        <v>140684.85299515017</v>
      </c>
      <c r="S363" s="97">
        <v>83215098.082138941</v>
      </c>
      <c r="T363" s="97">
        <v>44000140.897510476</v>
      </c>
      <c r="U363" s="45">
        <v>0</v>
      </c>
      <c r="V363">
        <v>0</v>
      </c>
      <c r="W363">
        <v>3.6991666666666666E-3</v>
      </c>
      <c r="X363" s="97">
        <v>8300.0767875530437</v>
      </c>
      <c r="Y363" s="97">
        <v>5.6172120328669122</v>
      </c>
      <c r="Z363" s="97">
        <v>4003.7241272063907</v>
      </c>
      <c r="AA363" s="97">
        <v>65.289193287600483</v>
      </c>
      <c r="AB363" s="97">
        <v>4.2530493119199928</v>
      </c>
      <c r="AC363" s="97">
        <v>305.25018425224926</v>
      </c>
      <c r="AD363" s="97">
        <v>95.413320960129795</v>
      </c>
      <c r="AE363" s="97">
        <v>2576.7065981808541</v>
      </c>
      <c r="AF363" s="97">
        <v>4663.3019098291234</v>
      </c>
      <c r="AG363" s="97">
        <v>2319.3156200954686</v>
      </c>
      <c r="AH363" s="97">
        <v>119418.12495437599</v>
      </c>
      <c r="AI363" s="97">
        <v>2278.6446250149911</v>
      </c>
      <c r="AJ363" s="97">
        <v>195791.15329294637</v>
      </c>
      <c r="AK363" s="97">
        <v>200041.40672109241</v>
      </c>
      <c r="AL363" s="97">
        <v>4250.253428145973</v>
      </c>
      <c r="AM363" s="97">
        <v>121696.769579391</v>
      </c>
    </row>
    <row r="364" spans="1:39" x14ac:dyDescent="0.25">
      <c r="A364" s="97">
        <v>362</v>
      </c>
      <c r="B364" s="97">
        <v>3.6991666666666666E-3</v>
      </c>
      <c r="C364" s="97">
        <v>19.576844684863101</v>
      </c>
      <c r="D364" s="97">
        <v>192.15989377779943</v>
      </c>
      <c r="E364" s="97">
        <v>249.28068616690473</v>
      </c>
      <c r="F364" s="97">
        <v>395.67074439875284</v>
      </c>
      <c r="G364" s="97">
        <v>1677.7371466485547</v>
      </c>
      <c r="H364" s="97">
        <v>8304.1509128676098</v>
      </c>
      <c r="I364" s="97">
        <v>75</v>
      </c>
      <c r="J364" s="97">
        <v>45</v>
      </c>
      <c r="K364" s="97">
        <v>106.62854738355435</v>
      </c>
      <c r="L364" s="97">
        <v>1046.6308881097475</v>
      </c>
      <c r="M364" s="97">
        <v>1357.7488039890743</v>
      </c>
      <c r="N364" s="97">
        <v>2013.6343633693195</v>
      </c>
      <c r="O364" s="97">
        <v>27196.119147173074</v>
      </c>
      <c r="P364" s="97">
        <v>100615.04758941082</v>
      </c>
      <c r="Q364" s="97">
        <v>7552.2462396840674</v>
      </c>
      <c r="R364" s="97">
        <v>139888.05557911965</v>
      </c>
      <c r="S364" s="97">
        <v>83354986.137718067</v>
      </c>
      <c r="T364" s="97">
        <v>44031192.264285617</v>
      </c>
      <c r="U364" s="45">
        <v>0</v>
      </c>
      <c r="V364">
        <v>0</v>
      </c>
      <c r="W364">
        <v>3.6991666666666666E-3</v>
      </c>
      <c r="X364" s="97">
        <v>8304.1509128676098</v>
      </c>
      <c r="Y364" s="97">
        <v>5.5848283674129293</v>
      </c>
      <c r="Z364" s="97">
        <v>4009.3089555738038</v>
      </c>
      <c r="AA364" s="97">
        <v>64.93664912792255</v>
      </c>
      <c r="AB364" s="97">
        <v>4.2299135796343679</v>
      </c>
      <c r="AC364" s="97">
        <v>303.55814750781593</v>
      </c>
      <c r="AD364" s="97">
        <v>94.88342533681849</v>
      </c>
      <c r="AE364" s="97">
        <v>2580.856218244709</v>
      </c>
      <c r="AF364" s="97">
        <v>4671.7190416012099</v>
      </c>
      <c r="AG364" s="97">
        <v>2330.477420749356</v>
      </c>
      <c r="AH364" s="97">
        <v>119418.12495437599</v>
      </c>
      <c r="AI364" s="97">
        <v>2278.6446250149911</v>
      </c>
      <c r="AJ364" s="97">
        <v>195791.15329294637</v>
      </c>
      <c r="AK364" s="97">
        <v>200041.40672109241</v>
      </c>
      <c r="AL364" s="97">
        <v>4250.253428145973</v>
      </c>
      <c r="AM364" s="97">
        <v>121696.769579391</v>
      </c>
    </row>
    <row r="365" spans="1:39" x14ac:dyDescent="0.25">
      <c r="A365" s="97">
        <v>363</v>
      </c>
      <c r="B365" s="97">
        <v>3.6991666666666666E-3</v>
      </c>
      <c r="C365" s="97">
        <v>19.302479800841734</v>
      </c>
      <c r="D365" s="97">
        <v>190.23377819729561</v>
      </c>
      <c r="E365" s="97">
        <v>247.13434810541347</v>
      </c>
      <c r="F365" s="97">
        <v>392.80388715784318</v>
      </c>
      <c r="G365" s="97">
        <v>1668.052915999453</v>
      </c>
      <c r="H365" s="97">
        <v>8308.195556315939</v>
      </c>
      <c r="I365" s="97">
        <v>75</v>
      </c>
      <c r="J365" s="97">
        <v>45</v>
      </c>
      <c r="K365" s="97">
        <v>105.1341733152513</v>
      </c>
      <c r="L365" s="97">
        <v>1036.13997858127</v>
      </c>
      <c r="M365" s="97">
        <v>1346.0584160141518</v>
      </c>
      <c r="N365" s="97">
        <v>1999.0444490607902</v>
      </c>
      <c r="O365" s="97">
        <v>27039.137768351135</v>
      </c>
      <c r="P365" s="97">
        <v>100059.4721583347</v>
      </c>
      <c r="Q365" s="97">
        <v>7510.2757194956412</v>
      </c>
      <c r="R365" s="97">
        <v>139095.26266315294</v>
      </c>
      <c r="S365" s="97">
        <v>83494081.400381222</v>
      </c>
      <c r="T365" s="97">
        <v>44061939.538820915</v>
      </c>
      <c r="U365" s="45">
        <v>0</v>
      </c>
      <c r="V365">
        <v>0</v>
      </c>
      <c r="W365">
        <v>3.6991666666666666E-3</v>
      </c>
      <c r="X365" s="97">
        <v>8308.195556315939</v>
      </c>
      <c r="Y365" s="97">
        <v>5.5526115386992219</v>
      </c>
      <c r="Z365" s="97">
        <v>4014.8615671125031</v>
      </c>
      <c r="AA365" s="97">
        <v>64.584132401569249</v>
      </c>
      <c r="AB365" s="97">
        <v>4.2068891386644882</v>
      </c>
      <c r="AC365" s="97">
        <v>301.87591237154868</v>
      </c>
      <c r="AD365" s="97">
        <v>94.356124373335533</v>
      </c>
      <c r="AE365" s="97">
        <v>2584.982444407708</v>
      </c>
      <c r="AF365" s="97">
        <v>4680.0896259236533</v>
      </c>
      <c r="AG365" s="97">
        <v>2341.5667956690445</v>
      </c>
      <c r="AH365" s="97">
        <v>119418.12495437599</v>
      </c>
      <c r="AI365" s="97">
        <v>2278.6446250149911</v>
      </c>
      <c r="AJ365" s="97">
        <v>195791.15329294637</v>
      </c>
      <c r="AK365" s="97">
        <v>200041.40672109241</v>
      </c>
      <c r="AL365" s="97">
        <v>4250.253428145973</v>
      </c>
      <c r="AM365" s="97">
        <v>121696.769579391</v>
      </c>
    </row>
    <row r="366" spans="1:39" x14ac:dyDescent="0.25">
      <c r="A366" s="97">
        <v>364</v>
      </c>
      <c r="B366" s="97">
        <v>3.6991666666666666E-3</v>
      </c>
      <c r="C366" s="97">
        <v>19.031960076282775</v>
      </c>
      <c r="D366" s="97">
        <v>188.32616302256613</v>
      </c>
      <c r="E366" s="97">
        <v>245.0044872003258</v>
      </c>
      <c r="F366" s="97">
        <v>389.95419750248846</v>
      </c>
      <c r="G366" s="97">
        <v>1658.4186254088136</v>
      </c>
      <c r="H366" s="97">
        <v>8312.210894046013</v>
      </c>
      <c r="I366" s="97">
        <v>75</v>
      </c>
      <c r="J366" s="97">
        <v>45</v>
      </c>
      <c r="K366" s="97">
        <v>103.66074254882018</v>
      </c>
      <c r="L366" s="97">
        <v>1025.7498345962435</v>
      </c>
      <c r="M366" s="97">
        <v>1334.4577736177744</v>
      </c>
      <c r="N366" s="97">
        <v>1984.541903456414</v>
      </c>
      <c r="O366" s="97">
        <v>26882.965917876871</v>
      </c>
      <c r="P366" s="97">
        <v>99506.573705917559</v>
      </c>
      <c r="Q366" s="97">
        <v>7468.5108596272748</v>
      </c>
      <c r="R366" s="97">
        <v>138306.46073764097</v>
      </c>
      <c r="S366" s="97">
        <v>83632387.861118868</v>
      </c>
      <c r="T366" s="97">
        <v>44092385.588637099</v>
      </c>
      <c r="U366" s="45">
        <v>0</v>
      </c>
      <c r="V366">
        <v>0</v>
      </c>
      <c r="W366">
        <v>3.6991666666666666E-3</v>
      </c>
      <c r="X366" s="97">
        <v>8312.210894046013</v>
      </c>
      <c r="Y366" s="97">
        <v>5.5205607666500702</v>
      </c>
      <c r="Z366" s="97">
        <v>4020.3821278791529</v>
      </c>
      <c r="AA366" s="97">
        <v>64.231697645443518</v>
      </c>
      <c r="AB366" s="97">
        <v>4.1839755000132222</v>
      </c>
      <c r="AC366" s="97">
        <v>300.20339949146108</v>
      </c>
      <c r="AD366" s="97">
        <v>93.831407244516299</v>
      </c>
      <c r="AE366" s="97">
        <v>2589.0853930989447</v>
      </c>
      <c r="AF366" s="97">
        <v>4688.4138774519315</v>
      </c>
      <c r="AG366" s="97">
        <v>2352.5841849561693</v>
      </c>
      <c r="AH366" s="97">
        <v>119418.12495437599</v>
      </c>
      <c r="AI366" s="97">
        <v>2278.6446250149911</v>
      </c>
      <c r="AJ366" s="97">
        <v>195791.15329294637</v>
      </c>
      <c r="AK366" s="97">
        <v>200041.40672109241</v>
      </c>
      <c r="AL366" s="97">
        <v>4250.253428145973</v>
      </c>
      <c r="AM366" s="97">
        <v>121696.769579391</v>
      </c>
    </row>
    <row r="367" spans="1:39" x14ac:dyDescent="0.25">
      <c r="A367" s="97">
        <v>365</v>
      </c>
      <c r="B367" s="97">
        <v>3.6991666666666666E-3</v>
      </c>
      <c r="C367" s="97">
        <v>18.765231622178728</v>
      </c>
      <c r="D367" s="97">
        <v>186.43688303717229</v>
      </c>
      <c r="E367" s="97">
        <v>242.89100434944928</v>
      </c>
      <c r="F367" s="97">
        <v>387.12161103157672</v>
      </c>
      <c r="G367" s="97">
        <v>1648.8340417098682</v>
      </c>
      <c r="H367" s="97">
        <v>8316.1971015491054</v>
      </c>
      <c r="I367" s="97">
        <v>75</v>
      </c>
      <c r="J367" s="97">
        <v>45</v>
      </c>
      <c r="K367" s="97">
        <v>102.20796156880013</v>
      </c>
      <c r="L367" s="97">
        <v>1015.4595562757984</v>
      </c>
      <c r="M367" s="97">
        <v>1322.9463370233336</v>
      </c>
      <c r="N367" s="97">
        <v>1970.1263988081992</v>
      </c>
      <c r="O367" s="97">
        <v>26727.599816116966</v>
      </c>
      <c r="P367" s="97">
        <v>98956.345275628919</v>
      </c>
      <c r="Q367" s="97">
        <v>7426.9508072408071</v>
      </c>
      <c r="R367" s="97">
        <v>137521.63615266283</v>
      </c>
      <c r="S367" s="97">
        <v>83769909.497271538</v>
      </c>
      <c r="T367" s="97">
        <v>44122533.256055899</v>
      </c>
      <c r="U367" s="45">
        <v>0</v>
      </c>
      <c r="V367">
        <v>0</v>
      </c>
      <c r="W367">
        <v>3.6991666666666666E-3</v>
      </c>
      <c r="X367" s="97">
        <v>8316.1971015491054</v>
      </c>
      <c r="Y367" s="97">
        <v>5.488675275405134</v>
      </c>
      <c r="Z367" s="97">
        <v>4025.870803154558</v>
      </c>
      <c r="AA367" s="97">
        <v>63.879397680588418</v>
      </c>
      <c r="AB367" s="97">
        <v>4.1611721774176624</v>
      </c>
      <c r="AC367" s="97">
        <v>298.5405305687575</v>
      </c>
      <c r="AD367" s="97">
        <v>93.309263235640515</v>
      </c>
      <c r="AE367" s="97">
        <v>2593.1651803270402</v>
      </c>
      <c r="AF367" s="97">
        <v>4696.6920104744559</v>
      </c>
      <c r="AG367" s="97">
        <v>2363.5300262903111</v>
      </c>
      <c r="AH367" s="97">
        <v>119418.12495437599</v>
      </c>
      <c r="AI367" s="97">
        <v>2278.6446250149911</v>
      </c>
      <c r="AJ367" s="97">
        <v>195791.15329294637</v>
      </c>
      <c r="AK367" s="97">
        <v>200041.40672109241</v>
      </c>
      <c r="AL367" s="97">
        <v>4250.253428145973</v>
      </c>
      <c r="AM367" s="97">
        <v>121696.769579391</v>
      </c>
    </row>
    <row r="368" spans="1:39" x14ac:dyDescent="0.25">
      <c r="A368" s="97">
        <v>366</v>
      </c>
      <c r="B368" s="97">
        <v>3.6991666666666666E-3</v>
      </c>
      <c r="C368" s="97">
        <v>18.502241304763889</v>
      </c>
      <c r="D368" s="97">
        <v>184.56577429845694</v>
      </c>
      <c r="E368" s="97">
        <v>240.79380064878194</v>
      </c>
      <c r="F368" s="97">
        <v>384.30606319043972</v>
      </c>
      <c r="G368" s="97">
        <v>1639.2989329855218</v>
      </c>
      <c r="H368" s="97">
        <v>8320.1543536581648</v>
      </c>
      <c r="I368" s="97">
        <v>75</v>
      </c>
      <c r="J368" s="97">
        <v>45</v>
      </c>
      <c r="K368" s="97">
        <v>100.77554097328064</v>
      </c>
      <c r="L368" s="97">
        <v>1005.2682506789288</v>
      </c>
      <c r="M368" s="97">
        <v>1311.523567533699</v>
      </c>
      <c r="N368" s="97">
        <v>1955.7976065866794</v>
      </c>
      <c r="O368" s="97">
        <v>26573.03570369531</v>
      </c>
      <c r="P368" s="97">
        <v>98408.77973781449</v>
      </c>
      <c r="Q368" s="97">
        <v>7385.5947176670315</v>
      </c>
      <c r="R368" s="97">
        <v>136740.77512494943</v>
      </c>
      <c r="S368" s="97">
        <v>83906650.27239649</v>
      </c>
      <c r="T368" s="97">
        <v>44152385.358370632</v>
      </c>
      <c r="U368" s="45">
        <v>0</v>
      </c>
      <c r="V368">
        <v>0</v>
      </c>
      <c r="W368">
        <v>3.6991666666666666E-3</v>
      </c>
      <c r="X368" s="97">
        <v>8320.1543536581648</v>
      </c>
      <c r="Y368" s="97">
        <v>5.456954293279475</v>
      </c>
      <c r="Z368" s="97">
        <v>4031.3277574478375</v>
      </c>
      <c r="AA368" s="97">
        <v>63.527283658530031</v>
      </c>
      <c r="AB368" s="97">
        <v>4.1384786873210189</v>
      </c>
      <c r="AC368" s="97">
        <v>296.8872283401069</v>
      </c>
      <c r="AD368" s="97">
        <v>92.789681734619407</v>
      </c>
      <c r="AE368" s="97">
        <v>2597.2219216777471</v>
      </c>
      <c r="AF368" s="97">
        <v>4704.9242388994662</v>
      </c>
      <c r="AG368" s="97">
        <v>2374.4047549393122</v>
      </c>
      <c r="AH368" s="97">
        <v>119418.12495437599</v>
      </c>
      <c r="AI368" s="97">
        <v>2278.6446250149911</v>
      </c>
      <c r="AJ368" s="97">
        <v>195791.15329294637</v>
      </c>
      <c r="AK368" s="97">
        <v>200041.40672109241</v>
      </c>
      <c r="AL368" s="97">
        <v>4250.253428145973</v>
      </c>
      <c r="AM368" s="97">
        <v>121696.769579391</v>
      </c>
    </row>
    <row r="369" spans="1:39" x14ac:dyDescent="0.25">
      <c r="A369" s="97">
        <v>367</v>
      </c>
      <c r="B369" s="97">
        <v>3.6991666666666666E-3</v>
      </c>
      <c r="C369" s="97">
        <v>18.242936734929817</v>
      </c>
      <c r="D369" s="97">
        <v>182.71267413122874</v>
      </c>
      <c r="E369" s="97">
        <v>238.71277739907364</v>
      </c>
      <c r="F369" s="97">
        <v>381.50748927509073</v>
      </c>
      <c r="G369" s="97">
        <v>1629.8130685565563</v>
      </c>
      <c r="H369" s="97">
        <v>8324.0828245462471</v>
      </c>
      <c r="I369" s="97">
        <v>75</v>
      </c>
      <c r="J369" s="97">
        <v>45</v>
      </c>
      <c r="K369" s="97">
        <v>99.36319541625106</v>
      </c>
      <c r="L369" s="97">
        <v>995.17503176809248</v>
      </c>
      <c r="M369" s="97">
        <v>1300.1889275669544</v>
      </c>
      <c r="N369" s="97">
        <v>1941.5551975024825</v>
      </c>
      <c r="O369" s="97">
        <v>26419.269841301779</v>
      </c>
      <c r="P369" s="97">
        <v>97863.869797262101</v>
      </c>
      <c r="Q369" s="97">
        <v>7344.4417538265507</v>
      </c>
      <c r="R369" s="97">
        <v>135963.86374464422</v>
      </c>
      <c r="S369" s="97">
        <v>84042614.136141136</v>
      </c>
      <c r="T369" s="97">
        <v>44181944.688017435</v>
      </c>
      <c r="U369" s="45">
        <v>0</v>
      </c>
      <c r="V369">
        <v>0</v>
      </c>
      <c r="W369">
        <v>3.6991666666666666E-3</v>
      </c>
      <c r="X369" s="97">
        <v>8324.0828245462471</v>
      </c>
      <c r="Y369" s="97">
        <v>5.425397052724052</v>
      </c>
      <c r="Z369" s="97">
        <v>4036.7531545005613</v>
      </c>
      <c r="AA369" s="97">
        <v>63.175405106396695</v>
      </c>
      <c r="AB369" s="97">
        <v>4.1158945488448095</v>
      </c>
      <c r="AC369" s="97">
        <v>295.2434165602329</v>
      </c>
      <c r="AD369" s="97">
        <v>92.272652224719522</v>
      </c>
      <c r="AE369" s="97">
        <v>2601.2557323117067</v>
      </c>
      <c r="AF369" s="97">
        <v>4713.110776242167</v>
      </c>
      <c r="AG369" s="97">
        <v>2385.2088037696039</v>
      </c>
      <c r="AH369" s="97">
        <v>119418.12495437599</v>
      </c>
      <c r="AI369" s="97">
        <v>2278.6446250149911</v>
      </c>
      <c r="AJ369" s="97">
        <v>195791.15329294637</v>
      </c>
      <c r="AK369" s="97">
        <v>200041.40672109241</v>
      </c>
      <c r="AL369" s="97">
        <v>4250.253428145973</v>
      </c>
      <c r="AM369" s="97">
        <v>121696.769579391</v>
      </c>
    </row>
    <row r="370" spans="1:39" x14ac:dyDescent="0.25">
      <c r="A370" s="97">
        <v>368</v>
      </c>
      <c r="B370" s="97">
        <v>3.6991666666666666E-3</v>
      </c>
      <c r="C370" s="97">
        <v>17.987266257789127</v>
      </c>
      <c r="D370" s="97">
        <v>180.87742112140737</v>
      </c>
      <c r="E370" s="97">
        <v>236.64783611224689</v>
      </c>
      <c r="F370" s="97">
        <v>378.72582443647286</v>
      </c>
      <c r="G370" s="97">
        <v>1620.3762189699748</v>
      </c>
      <c r="H370" s="97">
        <v>8327.9826877249852</v>
      </c>
      <c r="I370" s="97">
        <v>75</v>
      </c>
      <c r="J370" s="97">
        <v>45</v>
      </c>
      <c r="K370" s="97">
        <v>97.970643550758112</v>
      </c>
      <c r="L370" s="97">
        <v>985.17902037459874</v>
      </c>
      <c r="M370" s="97">
        <v>1288.9418806913714</v>
      </c>
      <c r="N370" s="97">
        <v>1927.3988415279498</v>
      </c>
      <c r="O370" s="97">
        <v>26266.298509503293</v>
      </c>
      <c r="P370" s="97">
        <v>97321.608000526787</v>
      </c>
      <c r="Q370" s="97">
        <v>7303.49108569083</v>
      </c>
      <c r="R370" s="97">
        <v>135190.88798186558</v>
      </c>
      <c r="S370" s="97">
        <v>84177805.024122998</v>
      </c>
      <c r="T370" s="97">
        <v>44211214.012747057</v>
      </c>
      <c r="U370" s="45">
        <v>0</v>
      </c>
      <c r="V370">
        <v>0</v>
      </c>
      <c r="W370">
        <v>3.6991666666666666E-3</v>
      </c>
      <c r="X370" s="97">
        <v>8327.9826877249852</v>
      </c>
      <c r="Y370" s="97">
        <v>5.3940027902866818</v>
      </c>
      <c r="Z370" s="97">
        <v>4042.1471572908481</v>
      </c>
      <c r="AA370" s="97">
        <v>62.823809970846625</v>
      </c>
      <c r="AB370" s="97">
        <v>4.0934192837613672</v>
      </c>
      <c r="AC370" s="97">
        <v>293.60901998481404</v>
      </c>
      <c r="AD370" s="97">
        <v>91.758164277791693</v>
      </c>
      <c r="AE370" s="97">
        <v>2605.2667269623548</v>
      </c>
      <c r="AF370" s="97">
        <v>4721.2518356121118</v>
      </c>
      <c r="AG370" s="97">
        <v>2395.9426032565434</v>
      </c>
      <c r="AH370" s="97">
        <v>119418.12495437599</v>
      </c>
      <c r="AI370" s="97">
        <v>2278.6446250149911</v>
      </c>
      <c r="AJ370" s="97">
        <v>195791.15329294637</v>
      </c>
      <c r="AK370" s="97">
        <v>200041.40672109241</v>
      </c>
      <c r="AL370" s="97">
        <v>4250.253428145973</v>
      </c>
      <c r="AM370" s="97">
        <v>121696.769579391</v>
      </c>
    </row>
    <row r="371" spans="1:39" x14ac:dyDescent="0.25">
      <c r="A371" s="97">
        <v>369</v>
      </c>
      <c r="B371" s="97">
        <v>3.6991666666666666E-3</v>
      </c>
      <c r="C371" s="97">
        <v>17.735178942385559</v>
      </c>
      <c r="D371" s="97">
        <v>179.05985510963131</v>
      </c>
      <c r="E371" s="97">
        <v>234.59887851767905</v>
      </c>
      <c r="F371" s="97">
        <v>375.96100368471616</v>
      </c>
      <c r="G371" s="97">
        <v>1610.9881559874848</v>
      </c>
      <c r="H371" s="97">
        <v>8331.8541160431123</v>
      </c>
      <c r="I371" s="97">
        <v>75</v>
      </c>
      <c r="J371" s="97">
        <v>45</v>
      </c>
      <c r="K371" s="97">
        <v>96.597607972860004</v>
      </c>
      <c r="L371" s="97">
        <v>975.27934416379185</v>
      </c>
      <c r="M371" s="97">
        <v>1277.7818916596252</v>
      </c>
      <c r="N371" s="97">
        <v>1913.3282079188011</v>
      </c>
      <c r="O371" s="97">
        <v>26114.118008557129</v>
      </c>
      <c r="P371" s="97">
        <v>96781.986743022324</v>
      </c>
      <c r="Q371" s="97">
        <v>7262.7418897810949</v>
      </c>
      <c r="R371" s="97">
        <v>134421.83369307563</v>
      </c>
      <c r="S371" s="97">
        <v>84312226.85781607</v>
      </c>
      <c r="T371" s="97">
        <v>44240196.075797111</v>
      </c>
      <c r="U371" s="45">
        <v>0</v>
      </c>
      <c r="V371">
        <v>0</v>
      </c>
      <c r="W371">
        <v>3.6991666666666666E-3</v>
      </c>
      <c r="X371" s="97">
        <v>8331.8541160431123</v>
      </c>
      <c r="Y371" s="97">
        <v>5.3627707465734611</v>
      </c>
      <c r="Z371" s="97">
        <v>4047.5099280374216</v>
      </c>
      <c r="AA371" s="97">
        <v>62.472544660835467</v>
      </c>
      <c r="AB371" s="97">
        <v>4.0710524164666406</v>
      </c>
      <c r="AC371" s="97">
        <v>291.98396435368841</v>
      </c>
      <c r="AD371" s="97">
        <v>91.246207547975317</v>
      </c>
      <c r="AE371" s="97">
        <v>2609.2550199339707</v>
      </c>
      <c r="AF371" s="97">
        <v>4729.347629700841</v>
      </c>
      <c r="AG371" s="97">
        <v>2406.6065814947615</v>
      </c>
      <c r="AH371" s="97">
        <v>119418.12495437599</v>
      </c>
      <c r="AI371" s="97">
        <v>2278.6446250149911</v>
      </c>
      <c r="AJ371" s="97">
        <v>195791.15329294637</v>
      </c>
      <c r="AK371" s="97">
        <v>200041.40672109241</v>
      </c>
      <c r="AL371" s="97">
        <v>4250.253428145973</v>
      </c>
      <c r="AM371" s="97">
        <v>121696.769579391</v>
      </c>
    </row>
    <row r="372" spans="1:39" x14ac:dyDescent="0.25">
      <c r="A372" s="97">
        <v>370</v>
      </c>
      <c r="B372" s="97">
        <v>3.6991666666666666E-3</v>
      </c>
      <c r="C372" s="97">
        <v>17.486624571548255</v>
      </c>
      <c r="D372" s="97">
        <v>177.25981718483038</v>
      </c>
      <c r="E372" s="97">
        <v>232.56580656834774</v>
      </c>
      <c r="F372" s="97">
        <v>373.21296189340234</v>
      </c>
      <c r="G372" s="97">
        <v>1601.6486525741186</v>
      </c>
      <c r="H372" s="97">
        <v>8335.6972816850175</v>
      </c>
      <c r="I372" s="97">
        <v>75</v>
      </c>
      <c r="J372" s="97">
        <v>45</v>
      </c>
      <c r="K372" s="97">
        <v>95.243815166366161</v>
      </c>
      <c r="L372" s="97">
        <v>965.47513760004279</v>
      </c>
      <c r="M372" s="97">
        <v>1266.7084264422672</v>
      </c>
      <c r="N372" s="97">
        <v>1899.34296523584</v>
      </c>
      <c r="O372" s="97">
        <v>25962.724658226463</v>
      </c>
      <c r="P372" s="97">
        <v>96244.998275886057</v>
      </c>
      <c r="Q372" s="97">
        <v>7222.1933487028255</v>
      </c>
      <c r="R372" s="97">
        <v>133656.68662725986</v>
      </c>
      <c r="S372" s="97">
        <v>84445883.544443324</v>
      </c>
      <c r="T372" s="97">
        <v>44268893.596064769</v>
      </c>
      <c r="U372" s="45">
        <v>0</v>
      </c>
      <c r="V372">
        <v>0</v>
      </c>
      <c r="W372">
        <v>3.6991666666666666E-3</v>
      </c>
      <c r="X372" s="97">
        <v>8335.6972816850175</v>
      </c>
      <c r="Y372" s="97">
        <v>5.3317001662106547</v>
      </c>
      <c r="Z372" s="97">
        <v>4052.8416282036324</v>
      </c>
      <c r="AA372" s="97">
        <v>62.1216540892541</v>
      </c>
      <c r="AB372" s="97">
        <v>4.048793473953304</v>
      </c>
      <c r="AC372" s="97">
        <v>290.36817637435746</v>
      </c>
      <c r="AD372" s="97">
        <v>90.736771765849937</v>
      </c>
      <c r="AE372" s="97">
        <v>2613.2207250998645</v>
      </c>
      <c r="AF372" s="97">
        <v>4737.3983707697762</v>
      </c>
      <c r="AG372" s="97">
        <v>2417.201164208514</v>
      </c>
      <c r="AH372" s="97">
        <v>119418.12495437599</v>
      </c>
      <c r="AI372" s="97">
        <v>2278.6446250149911</v>
      </c>
      <c r="AJ372" s="97">
        <v>195791.15329294637</v>
      </c>
      <c r="AK372" s="97">
        <v>200041.40672109241</v>
      </c>
      <c r="AL372" s="97">
        <v>4250.253428145973</v>
      </c>
      <c r="AM372" s="97">
        <v>121696.769579391</v>
      </c>
    </row>
    <row r="373" spans="1:39" x14ac:dyDescent="0.25">
      <c r="A373" s="97">
        <v>371</v>
      </c>
      <c r="B373" s="97">
        <v>3.6991666666666666E-3</v>
      </c>
      <c r="C373" s="97">
        <v>17.241553631888216</v>
      </c>
      <c r="D373" s="97">
        <v>175.47714967776466</v>
      </c>
      <c r="E373" s="97">
        <v>230.54852244684071</v>
      </c>
      <c r="F373" s="97">
        <v>370.48163380383482</v>
      </c>
      <c r="G373" s="97">
        <v>1592.357482886991</v>
      </c>
      <c r="H373" s="97">
        <v>8339.5123561693526</v>
      </c>
      <c r="I373" s="97">
        <v>75</v>
      </c>
      <c r="J373" s="97">
        <v>45</v>
      </c>
      <c r="K373" s="97">
        <v>93.908995448351149</v>
      </c>
      <c r="L373" s="97">
        <v>955.7655419115581</v>
      </c>
      <c r="M373" s="97">
        <v>1255.7209522604589</v>
      </c>
      <c r="N373" s="97">
        <v>1885.4427813666825</v>
      </c>
      <c r="O373" s="97">
        <v>25812.114797598126</v>
      </c>
      <c r="P373" s="97">
        <v>95710.63471262333</v>
      </c>
      <c r="Q373" s="97">
        <v>7181.8446507137169</v>
      </c>
      <c r="R373" s="97">
        <v>132895.43243192224</v>
      </c>
      <c r="S373" s="97">
        <v>84578778.976875246</v>
      </c>
      <c r="T373" s="97">
        <v>44297309.268279761</v>
      </c>
      <c r="U373" s="45">
        <v>0</v>
      </c>
      <c r="V373">
        <v>0</v>
      </c>
      <c r="W373">
        <v>3.6991666666666666E-3</v>
      </c>
      <c r="X373" s="97">
        <v>8339.5123561693526</v>
      </c>
      <c r="Y373" s="97">
        <v>5.3007902978070316</v>
      </c>
      <c r="Z373" s="97">
        <v>4058.1424185014394</v>
      </c>
      <c r="AA373" s="97">
        <v>61.771181713466476</v>
      </c>
      <c r="AB373" s="97">
        <v>4.0266419857841678</v>
      </c>
      <c r="AC373" s="97">
        <v>288.76158370578321</v>
      </c>
      <c r="AD373" s="97">
        <v>90.229846733007307</v>
      </c>
      <c r="AE373" s="97">
        <v>2617.1639559006976</v>
      </c>
      <c r="AF373" s="97">
        <v>4745.4042706383825</v>
      </c>
      <c r="AG373" s="97">
        <v>2427.7267747620403</v>
      </c>
      <c r="AH373" s="97">
        <v>119418.12495437599</v>
      </c>
      <c r="AI373" s="97">
        <v>2278.6446250149911</v>
      </c>
      <c r="AJ373" s="97">
        <v>195791.15329294637</v>
      </c>
      <c r="AK373" s="97">
        <v>200041.40672109241</v>
      </c>
      <c r="AL373" s="97">
        <v>4250.253428145973</v>
      </c>
      <c r="AM373" s="97">
        <v>121696.769579391</v>
      </c>
    </row>
    <row r="374" spans="1:39" x14ac:dyDescent="0.25">
      <c r="A374" s="97">
        <v>372</v>
      </c>
      <c r="B374" s="97">
        <v>3.6991666666666666E-3</v>
      </c>
      <c r="C374" s="97">
        <v>16.999917303934978</v>
      </c>
      <c r="D374" s="97">
        <v>173.71169615453192</v>
      </c>
      <c r="E374" s="97">
        <v>228.54692857123243</v>
      </c>
      <c r="F374" s="97">
        <v>367.76695402931352</v>
      </c>
      <c r="G374" s="97">
        <v>1583.1144222641915</v>
      </c>
      <c r="H374" s="97">
        <v>8343.2995103476787</v>
      </c>
      <c r="I374" s="97">
        <v>76</v>
      </c>
      <c r="J374" s="97">
        <v>45</v>
      </c>
      <c r="K374" s="97">
        <v>92.592882915432511</v>
      </c>
      <c r="L374" s="97">
        <v>946.14970505501719</v>
      </c>
      <c r="M374" s="97">
        <v>1244.8189376179791</v>
      </c>
      <c r="N374" s="97">
        <v>1871.6273235475146</v>
      </c>
      <c r="O374" s="97">
        <v>25662.284784902546</v>
      </c>
      <c r="P374" s="97">
        <v>95178.888035538243</v>
      </c>
      <c r="Q374" s="97">
        <v>7141.6949893231249</v>
      </c>
      <c r="R374" s="97">
        <v>132138.05665889985</v>
      </c>
      <c r="S374" s="97">
        <v>84710917.033534139</v>
      </c>
      <c r="T374" s="97">
        <v>44325445.763177671</v>
      </c>
      <c r="U374" s="45">
        <v>0</v>
      </c>
      <c r="V374">
        <v>0</v>
      </c>
      <c r="W374">
        <v>3.6991666666666666E-3</v>
      </c>
      <c r="X374" s="97">
        <v>8343.2995103476787</v>
      </c>
      <c r="Y374" s="97">
        <v>5.2700403939166547</v>
      </c>
      <c r="Z374" s="97">
        <v>4063.4124588953559</v>
      </c>
      <c r="AA374" s="97">
        <v>61.440373297496478</v>
      </c>
      <c r="AB374" s="97">
        <v>3.9853937613457222</v>
      </c>
      <c r="AC374" s="97">
        <v>287.14491121975317</v>
      </c>
      <c r="AD374" s="97">
        <v>89.725422317018968</v>
      </c>
      <c r="AE374" s="97">
        <v>2621.084825342934</v>
      </c>
      <c r="AF374" s="97">
        <v>4753.3655406725966</v>
      </c>
      <c r="AG374" s="97">
        <v>2438.1838341699299</v>
      </c>
      <c r="AH374" s="97">
        <v>120047.60153845267</v>
      </c>
      <c r="AI374" s="97">
        <v>2298.9801812631949</v>
      </c>
      <c r="AJ374" s="97">
        <v>198511.71481583247</v>
      </c>
      <c r="AK374" s="97">
        <v>202849.85734624989</v>
      </c>
      <c r="AL374" s="97">
        <v>4338.1425304173445</v>
      </c>
      <c r="AM374" s="97">
        <v>122346.58171971588</v>
      </c>
    </row>
    <row r="375" spans="1:39" x14ac:dyDescent="0.25">
      <c r="A375" s="97">
        <v>373</v>
      </c>
      <c r="B375" s="97">
        <v>4.0049999999999999E-3</v>
      </c>
      <c r="C375" s="97">
        <v>16.756468311036041</v>
      </c>
      <c r="D375" s="97">
        <v>171.91017458297117</v>
      </c>
      <c r="E375" s="97">
        <v>226.49103033184056</v>
      </c>
      <c r="F375" s="97">
        <v>364.95638166597115</v>
      </c>
      <c r="G375" s="97">
        <v>1573.4350780530042</v>
      </c>
      <c r="H375" s="97">
        <v>8347.0589144031565</v>
      </c>
      <c r="I375" s="97">
        <v>76</v>
      </c>
      <c r="J375" s="97">
        <v>45</v>
      </c>
      <c r="K375" s="97">
        <v>91.266897400776301</v>
      </c>
      <c r="L375" s="97">
        <v>936.33741756191625</v>
      </c>
      <c r="M375" s="97">
        <v>1233.6211452074249</v>
      </c>
      <c r="N375" s="97">
        <v>1857.3238523617381</v>
      </c>
      <c r="O375" s="97">
        <v>25505.382615239199</v>
      </c>
      <c r="P375" s="97">
        <v>94620.605821981604</v>
      </c>
      <c r="Q375" s="97">
        <v>7099.5593945368491</v>
      </c>
      <c r="R375" s="97">
        <v>131344.0971442895</v>
      </c>
      <c r="S375" s="97">
        <v>84842261.13067843</v>
      </c>
      <c r="T375" s="97">
        <v>44353297.150793873</v>
      </c>
      <c r="U375" s="45">
        <v>0</v>
      </c>
      <c r="V375">
        <v>0</v>
      </c>
      <c r="W375">
        <v>4.0049999999999999E-3</v>
      </c>
      <c r="X375" s="97">
        <v>8347.0589144031565</v>
      </c>
      <c r="Y375" s="97">
        <v>5.2394497110021261</v>
      </c>
      <c r="Z375" s="97">
        <v>4068.6519086063581</v>
      </c>
      <c r="AA375" s="97">
        <v>61.090667845863791</v>
      </c>
      <c r="AB375" s="97">
        <v>3.9635609825112219</v>
      </c>
      <c r="AC375" s="97">
        <v>285.44995142817669</v>
      </c>
      <c r="AD375" s="97">
        <v>89.196047421783391</v>
      </c>
      <c r="AE375" s="97">
        <v>2624.9834459974149</v>
      </c>
      <c r="AF375" s="97">
        <v>4761.2825214356671</v>
      </c>
      <c r="AG375" s="97">
        <v>2449.4316789236855</v>
      </c>
      <c r="AH375" s="97">
        <v>120047.60153845267</v>
      </c>
      <c r="AI375" s="97">
        <v>2298.9801812631949</v>
      </c>
      <c r="AJ375" s="97">
        <v>198511.71481583247</v>
      </c>
      <c r="AK375" s="97">
        <v>202849.85734624989</v>
      </c>
      <c r="AL375" s="97">
        <v>4338.1425304173445</v>
      </c>
      <c r="AM375" s="97">
        <v>122346.58171971588</v>
      </c>
    </row>
    <row r="376" spans="1:39" x14ac:dyDescent="0.25">
      <c r="A376" s="97">
        <v>374</v>
      </c>
      <c r="B376" s="97">
        <v>4.0049999999999999E-3</v>
      </c>
      <c r="C376" s="97">
        <v>16.516505653457674</v>
      </c>
      <c r="D376" s="97">
        <v>170.12664349007389</v>
      </c>
      <c r="E376" s="97">
        <v>224.45186405131278</v>
      </c>
      <c r="F376" s="97">
        <v>362.16401121207838</v>
      </c>
      <c r="G376" s="97">
        <v>1563.8091695386358</v>
      </c>
      <c r="H376" s="97">
        <v>8350.7895880982105</v>
      </c>
      <c r="I376" s="97">
        <v>76</v>
      </c>
      <c r="J376" s="97">
        <v>45</v>
      </c>
      <c r="K376" s="97">
        <v>89.959900792499454</v>
      </c>
      <c r="L376" s="97">
        <v>926.62311820926902</v>
      </c>
      <c r="M376" s="97">
        <v>1222.5144861994836</v>
      </c>
      <c r="N376" s="97">
        <v>1843.1130137268021</v>
      </c>
      <c r="O376" s="97">
        <v>25349.34663822129</v>
      </c>
      <c r="P376" s="97">
        <v>94065.223073731264</v>
      </c>
      <c r="Q376" s="97">
        <v>7057.646282225307</v>
      </c>
      <c r="R376" s="97">
        <v>130554.42651310592</v>
      </c>
      <c r="S376" s="97">
        <v>84972815.557191536</v>
      </c>
      <c r="T376" s="97">
        <v>44380866.218408339</v>
      </c>
      <c r="U376" s="45">
        <v>0</v>
      </c>
      <c r="V376">
        <v>0</v>
      </c>
      <c r="W376">
        <v>4.0049999999999999E-3</v>
      </c>
      <c r="X376" s="97">
        <v>8350.7895880982105</v>
      </c>
      <c r="Y376" s="97">
        <v>5.2074151110283209</v>
      </c>
      <c r="Z376" s="97">
        <v>4073.8593237173864</v>
      </c>
      <c r="AA376" s="97">
        <v>60.741030566503774</v>
      </c>
      <c r="AB376" s="97">
        <v>3.9407107443302372</v>
      </c>
      <c r="AC376" s="97">
        <v>283.76554253079917</v>
      </c>
      <c r="AD376" s="97">
        <v>88.669467708088533</v>
      </c>
      <c r="AE376" s="97">
        <v>2628.8587369112051</v>
      </c>
      <c r="AF376" s="97">
        <v>4769.1529966978032</v>
      </c>
      <c r="AG376" s="97">
        <v>2460.6027685512463</v>
      </c>
      <c r="AH376" s="97">
        <v>120047.60153845267</v>
      </c>
      <c r="AI376" s="97">
        <v>2298.9801812631949</v>
      </c>
      <c r="AJ376" s="97">
        <v>198511.71481583247</v>
      </c>
      <c r="AK376" s="97">
        <v>202849.85734624989</v>
      </c>
      <c r="AL376" s="97">
        <v>4338.1425304173445</v>
      </c>
      <c r="AM376" s="97">
        <v>122346.58171971588</v>
      </c>
    </row>
    <row r="377" spans="1:39" x14ac:dyDescent="0.25">
      <c r="A377" s="97">
        <v>375</v>
      </c>
      <c r="B377" s="97">
        <v>4.0049999999999999E-3</v>
      </c>
      <c r="C377" s="97">
        <v>16.279979404790975</v>
      </c>
      <c r="D377" s="97">
        <v>168.36093410298267</v>
      </c>
      <c r="E377" s="97">
        <v>222.42931810691101</v>
      </c>
      <c r="F377" s="97">
        <v>359.38976100047171</v>
      </c>
      <c r="G377" s="97">
        <v>1554.2364291803071</v>
      </c>
      <c r="H377" s="97">
        <v>8354.491717497227</v>
      </c>
      <c r="I377" s="97">
        <v>76</v>
      </c>
      <c r="J377" s="97">
        <v>45</v>
      </c>
      <c r="K377" s="97">
        <v>88.671621158094837</v>
      </c>
      <c r="L377" s="97">
        <v>917.00588774757887</v>
      </c>
      <c r="M377" s="97">
        <v>1211.4983526223086</v>
      </c>
      <c r="N377" s="97">
        <v>1828.9943920249004</v>
      </c>
      <c r="O377" s="97">
        <v>25194.172517012779</v>
      </c>
      <c r="P377" s="97">
        <v>93512.730815497358</v>
      </c>
      <c r="Q377" s="97">
        <v>7015.9546126825271</v>
      </c>
      <c r="R377" s="97">
        <v>129769.02819874555</v>
      </c>
      <c r="S377" s="97">
        <v>85102584.585390285</v>
      </c>
      <c r="T377" s="97">
        <v>44408155.727837026</v>
      </c>
      <c r="U377" s="45">
        <v>0</v>
      </c>
      <c r="V377">
        <v>0</v>
      </c>
      <c r="W377">
        <v>4.0049999999999999E-3</v>
      </c>
      <c r="X377" s="97">
        <v>8354.491717497227</v>
      </c>
      <c r="Y377" s="97">
        <v>5.1755573609665104</v>
      </c>
      <c r="Z377" s="97">
        <v>4079.034881078353</v>
      </c>
      <c r="AA377" s="97">
        <v>60.391518783948818</v>
      </c>
      <c r="AB377" s="97">
        <v>3.9179782278215578</v>
      </c>
      <c r="AC377" s="97">
        <v>282.09159433178621</v>
      </c>
      <c r="AD377" s="97">
        <v>88.145670113481088</v>
      </c>
      <c r="AE377" s="97">
        <v>2632.7108229654918</v>
      </c>
      <c r="AF377" s="97">
        <v>4776.9771982638958</v>
      </c>
      <c r="AG377" s="97">
        <v>2471.6975967114236</v>
      </c>
      <c r="AH377" s="97">
        <v>120047.60153845267</v>
      </c>
      <c r="AI377" s="97">
        <v>2298.9801812631949</v>
      </c>
      <c r="AJ377" s="97">
        <v>198511.71481583247</v>
      </c>
      <c r="AK377" s="97">
        <v>202849.85734624989</v>
      </c>
      <c r="AL377" s="97">
        <v>4338.1425304173445</v>
      </c>
      <c r="AM377" s="97">
        <v>122346.58171971588</v>
      </c>
    </row>
    <row r="378" spans="1:39" x14ac:dyDescent="0.25">
      <c r="A378" s="97">
        <v>376</v>
      </c>
      <c r="B378" s="97">
        <v>4.0049999999999999E-3</v>
      </c>
      <c r="C378" s="97">
        <v>16.046840353603095</v>
      </c>
      <c r="D378" s="97">
        <v>166.61287905449987</v>
      </c>
      <c r="E378" s="97">
        <v>220.42328126098241</v>
      </c>
      <c r="F378" s="97">
        <v>356.63354934310513</v>
      </c>
      <c r="G378" s="97">
        <v>1544.7165908735183</v>
      </c>
      <c r="H378" s="97">
        <v>8358.1654878297686</v>
      </c>
      <c r="I378" s="97">
        <v>76</v>
      </c>
      <c r="J378" s="97">
        <v>45</v>
      </c>
      <c r="K378" s="97">
        <v>87.401790459291519</v>
      </c>
      <c r="L378" s="97">
        <v>907.48481458350921</v>
      </c>
      <c r="M378" s="97">
        <v>1200.5721386014841</v>
      </c>
      <c r="N378" s="97">
        <v>1814.9675715319524</v>
      </c>
      <c r="O378" s="97">
        <v>25039.855938059733</v>
      </c>
      <c r="P378" s="97">
        <v>92963.119901410842</v>
      </c>
      <c r="Q378" s="97">
        <v>6974.4833571982181</v>
      </c>
      <c r="R378" s="97">
        <v>128987.88551184503</v>
      </c>
      <c r="S378" s="97">
        <v>85231572.47090213</v>
      </c>
      <c r="T378" s="97">
        <v>44435168.415614001</v>
      </c>
      <c r="U378" s="45">
        <v>0</v>
      </c>
      <c r="V378">
        <v>0</v>
      </c>
      <c r="W378">
        <v>4.0049999999999999E-3</v>
      </c>
      <c r="X378" s="97">
        <v>8358.1654878297686</v>
      </c>
      <c r="Y378" s="97">
        <v>5.1438755753680878</v>
      </c>
      <c r="Z378" s="97">
        <v>4084.1787566537209</v>
      </c>
      <c r="AA378" s="97">
        <v>60.042187971014997</v>
      </c>
      <c r="AB378" s="97">
        <v>3.8953628825559559</v>
      </c>
      <c r="AC378" s="97">
        <v>280.42801786228682</v>
      </c>
      <c r="AD378" s="97">
        <v>87.624641713653091</v>
      </c>
      <c r="AE378" s="97">
        <v>2636.5398285349688</v>
      </c>
      <c r="AF378" s="97">
        <v>4784.7553574097883</v>
      </c>
      <c r="AG378" s="97">
        <v>2482.7166541575475</v>
      </c>
      <c r="AH378" s="97">
        <v>120047.60153845267</v>
      </c>
      <c r="AI378" s="97">
        <v>2298.9801812631949</v>
      </c>
      <c r="AJ378" s="97">
        <v>198511.71481583247</v>
      </c>
      <c r="AK378" s="97">
        <v>202849.85734624989</v>
      </c>
      <c r="AL378" s="97">
        <v>4338.1425304173445</v>
      </c>
      <c r="AM378" s="97">
        <v>122346.58171971588</v>
      </c>
    </row>
    <row r="379" spans="1:39" x14ac:dyDescent="0.25">
      <c r="A379" s="97">
        <v>377</v>
      </c>
      <c r="B379" s="97">
        <v>4.0049999999999999E-3</v>
      </c>
      <c r="C379" s="97">
        <v>15.817039993198375</v>
      </c>
      <c r="D379" s="97">
        <v>164.8823123744663</v>
      </c>
      <c r="E379" s="97">
        <v>218.43364266570376</v>
      </c>
      <c r="F379" s="97">
        <v>353.89529453542735</v>
      </c>
      <c r="G379" s="97">
        <v>1535.2493899376432</v>
      </c>
      <c r="H379" s="97">
        <v>8361.8110834903637</v>
      </c>
      <c r="I379" s="97">
        <v>76</v>
      </c>
      <c r="J379" s="97">
        <v>45</v>
      </c>
      <c r="K379" s="97">
        <v>86.15014449628714</v>
      </c>
      <c r="L379" s="97">
        <v>898.05899473292641</v>
      </c>
      <c r="M379" s="97">
        <v>1189.7352403858663</v>
      </c>
      <c r="N379" s="97">
        <v>1801.032136439879</v>
      </c>
      <c r="O379" s="97">
        <v>24886.392610889197</v>
      </c>
      <c r="P379" s="97">
        <v>92416.381023096706</v>
      </c>
      <c r="Q379" s="97">
        <v>6933.2314973583971</v>
      </c>
      <c r="R379" s="97">
        <v>128210.98164739925</v>
      </c>
      <c r="S379" s="97">
        <v>85359783.452549532</v>
      </c>
      <c r="T379" s="97">
        <v>44461906.993174061</v>
      </c>
      <c r="U379" s="45">
        <v>0</v>
      </c>
      <c r="V379">
        <v>0</v>
      </c>
      <c r="W379">
        <v>4.0049999999999999E-3</v>
      </c>
      <c r="X379" s="97">
        <v>8361.8110834903637</v>
      </c>
      <c r="Y379" s="97">
        <v>5.1123688735379353</v>
      </c>
      <c r="Z379" s="97">
        <v>4089.2911255272588</v>
      </c>
      <c r="AA379" s="97">
        <v>59.693091799573992</v>
      </c>
      <c r="AB379" s="97">
        <v>3.8728641610786165</v>
      </c>
      <c r="AC379" s="97">
        <v>278.77472535922874</v>
      </c>
      <c r="AD379" s="97">
        <v>87.10636971365534</v>
      </c>
      <c r="AE379" s="97">
        <v>2640.3458774858682</v>
      </c>
      <c r="AF379" s="97">
        <v>4792.4877048698818</v>
      </c>
      <c r="AG379" s="97">
        <v>2493.6604287512205</v>
      </c>
      <c r="AH379" s="97">
        <v>120047.60153845267</v>
      </c>
      <c r="AI379" s="97">
        <v>2298.9801812631949</v>
      </c>
      <c r="AJ379" s="97">
        <v>198511.71481583247</v>
      </c>
      <c r="AK379" s="97">
        <v>202849.85734624989</v>
      </c>
      <c r="AL379" s="97">
        <v>4338.1425304173445</v>
      </c>
      <c r="AM379" s="97">
        <v>122346.58171971588</v>
      </c>
    </row>
    <row r="380" spans="1:39" x14ac:dyDescent="0.25">
      <c r="A380" s="97">
        <v>378</v>
      </c>
      <c r="B380" s="97">
        <v>4.0049999999999999E-3</v>
      </c>
      <c r="C380" s="97">
        <v>15.590530511526069</v>
      </c>
      <c r="D380" s="97">
        <v>163.1690694811322</v>
      </c>
      <c r="E380" s="97">
        <v>216.46029186769297</v>
      </c>
      <c r="F380" s="97">
        <v>351.17491486074766</v>
      </c>
      <c r="G380" s="97">
        <v>1525.8345631036736</v>
      </c>
      <c r="H380" s="97">
        <v>8365.428688038337</v>
      </c>
      <c r="I380" s="97">
        <v>76</v>
      </c>
      <c r="J380" s="97">
        <v>45</v>
      </c>
      <c r="K380" s="97">
        <v>84.916422852778652</v>
      </c>
      <c r="L380" s="97">
        <v>888.72753177389995</v>
      </c>
      <c r="M380" s="97">
        <v>1178.9870563727011</v>
      </c>
      <c r="N380" s="97">
        <v>1787.1876708788216</v>
      </c>
      <c r="O380" s="97">
        <v>24733.778267910551</v>
      </c>
      <c r="P380" s="97">
        <v>91872.504717483069</v>
      </c>
      <c r="Q380" s="97">
        <v>6892.1980243931521</v>
      </c>
      <c r="R380" s="97">
        <v>127438.29969166497</v>
      </c>
      <c r="S380" s="97">
        <v>85487221.752241194</v>
      </c>
      <c r="T380" s="97">
        <v>44488374.14703574</v>
      </c>
      <c r="U380" s="45">
        <v>0</v>
      </c>
      <c r="V380">
        <v>0</v>
      </c>
      <c r="W380">
        <v>4.0049999999999999E-3</v>
      </c>
      <c r="X380" s="97">
        <v>8365.428688038337</v>
      </c>
      <c r="Y380" s="97">
        <v>5.0810363794933631</v>
      </c>
      <c r="Z380" s="97">
        <v>4094.3721619067524</v>
      </c>
      <c r="AA380" s="97">
        <v>59.344282189968844</v>
      </c>
      <c r="AB380" s="97">
        <v>3.8504815188809305</v>
      </c>
      <c r="AC380" s="97">
        <v>277.13163024450336</v>
      </c>
      <c r="AD380" s="97">
        <v>86.590841439702899</v>
      </c>
      <c r="AE380" s="97">
        <v>2644.1290931741482</v>
      </c>
      <c r="AF380" s="97">
        <v>4800.1744708249835</v>
      </c>
      <c r="AG380" s="97">
        <v>2504.529405476068</v>
      </c>
      <c r="AH380" s="97">
        <v>120047.60153845267</v>
      </c>
      <c r="AI380" s="97">
        <v>2298.9801812631949</v>
      </c>
      <c r="AJ380" s="97">
        <v>198511.71481583247</v>
      </c>
      <c r="AK380" s="97">
        <v>202849.85734624989</v>
      </c>
      <c r="AL380" s="97">
        <v>4338.1425304173445</v>
      </c>
      <c r="AM380" s="97">
        <v>122346.58171971588</v>
      </c>
    </row>
    <row r="381" spans="1:39" x14ac:dyDescent="0.25">
      <c r="A381" s="97">
        <v>379</v>
      </c>
      <c r="B381" s="97">
        <v>4.0049999999999999E-3</v>
      </c>
      <c r="C381" s="97">
        <v>15.367264781232626</v>
      </c>
      <c r="D381" s="97">
        <v>161.47298717252261</v>
      </c>
      <c r="E381" s="97">
        <v>214.5031188124897</v>
      </c>
      <c r="F381" s="97">
        <v>348.47232859458808</v>
      </c>
      <c r="G381" s="97">
        <v>1516.4718485021126</v>
      </c>
      <c r="H381" s="97">
        <v>8369.0184841976843</v>
      </c>
      <c r="I381" s="97">
        <v>76</v>
      </c>
      <c r="J381" s="97">
        <v>45</v>
      </c>
      <c r="K381" s="97">
        <v>83.70036884178036</v>
      </c>
      <c r="L381" s="97">
        <v>879.48953679967303</v>
      </c>
      <c r="M381" s="97">
        <v>1168.3269871320272</v>
      </c>
      <c r="N381" s="97">
        <v>1773.433758939291</v>
      </c>
      <c r="O381" s="97">
        <v>24582.008664219247</v>
      </c>
      <c r="P381" s="97">
        <v>91331.481374354553</v>
      </c>
      <c r="Q381" s="97">
        <v>6851.3819385687648</v>
      </c>
      <c r="R381" s="97">
        <v>126669.82262885534</v>
      </c>
      <c r="S381" s="97">
        <v>85613891.57487005</v>
      </c>
      <c r="T381" s="97">
        <v>44514572.538984694</v>
      </c>
      <c r="U381" s="45">
        <v>0</v>
      </c>
      <c r="V381">
        <v>0</v>
      </c>
      <c r="W381">
        <v>4.0049999999999999E-3</v>
      </c>
      <c r="X381" s="97">
        <v>8369.0184841976843</v>
      </c>
      <c r="Y381" s="97">
        <v>5.0498772219235484</v>
      </c>
      <c r="Z381" s="97">
        <v>4099.4220391286763</v>
      </c>
      <c r="AA381" s="97">
        <v>58.995809359109579</v>
      </c>
      <c r="AB381" s="97">
        <v>3.8282144143726184</v>
      </c>
      <c r="AC381" s="97">
        <v>275.49864710453312</v>
      </c>
      <c r="AD381" s="97">
        <v>86.078044331537967</v>
      </c>
      <c r="AE381" s="97">
        <v>2647.8895984438368</v>
      </c>
      <c r="AF381" s="97">
        <v>4807.8158848903904</v>
      </c>
      <c r="AG381" s="97">
        <v>2515.3240664514824</v>
      </c>
      <c r="AH381" s="97">
        <v>120047.60153845267</v>
      </c>
      <c r="AI381" s="97">
        <v>2298.9801812631949</v>
      </c>
      <c r="AJ381" s="97">
        <v>198511.71481583247</v>
      </c>
      <c r="AK381" s="97">
        <v>202849.85734624989</v>
      </c>
      <c r="AL381" s="97">
        <v>4338.1425304173445</v>
      </c>
      <c r="AM381" s="97">
        <v>122346.58171971588</v>
      </c>
    </row>
    <row r="382" spans="1:39" x14ac:dyDescent="0.25">
      <c r="A382" s="97">
        <v>380</v>
      </c>
      <c r="B382" s="97">
        <v>4.0049999999999999E-3</v>
      </c>
      <c r="C382" s="97">
        <v>15.147196349856408</v>
      </c>
      <c r="D382" s="97">
        <v>159.79390361779812</v>
      </c>
      <c r="E382" s="97">
        <v>212.56201384890679</v>
      </c>
      <c r="F382" s="97">
        <v>345.78745400902119</v>
      </c>
      <c r="G382" s="97">
        <v>1507.1609856510142</v>
      </c>
      <c r="H382" s="97">
        <v>8372.5806538569941</v>
      </c>
      <c r="I382" s="97">
        <v>76</v>
      </c>
      <c r="J382" s="97">
        <v>45</v>
      </c>
      <c r="K382" s="97">
        <v>82.501729452217901</v>
      </c>
      <c r="L382" s="97">
        <v>870.3441283716071</v>
      </c>
      <c r="M382" s="97">
        <v>1157.7544354303789</v>
      </c>
      <c r="N382" s="97">
        <v>1759.7699846942435</v>
      </c>
      <c r="O382" s="97">
        <v>24431.079577402943</v>
      </c>
      <c r="P382" s="97">
        <v>90793.301243656766</v>
      </c>
      <c r="Q382" s="97">
        <v>6810.7822486215791</v>
      </c>
      <c r="R382" s="97">
        <v>125905.53334762974</v>
      </c>
      <c r="S382" s="97">
        <v>85739797.108217686</v>
      </c>
      <c r="T382" s="97">
        <v>44540504.806257293</v>
      </c>
      <c r="U382" s="45">
        <v>0</v>
      </c>
      <c r="V382">
        <v>0</v>
      </c>
      <c r="W382">
        <v>4.0049999999999999E-3</v>
      </c>
      <c r="X382" s="97">
        <v>8372.5806538569941</v>
      </c>
      <c r="Y382" s="97">
        <v>5.0188905341494676</v>
      </c>
      <c r="Z382" s="97">
        <v>4104.4409296628255</v>
      </c>
      <c r="AA382" s="97">
        <v>58.647721867283764</v>
      </c>
      <c r="AB382" s="97">
        <v>3.8060623088541856</v>
      </c>
      <c r="AC382" s="97">
        <v>273.87569167021366</v>
      </c>
      <c r="AD382" s="97">
        <v>85.567965935317289</v>
      </c>
      <c r="AE382" s="97">
        <v>2651.627515625521</v>
      </c>
      <c r="AF382" s="97">
        <v>4815.4121761042297</v>
      </c>
      <c r="AG382" s="97">
        <v>2526.0448909463585</v>
      </c>
      <c r="AH382" s="97">
        <v>120047.60153845267</v>
      </c>
      <c r="AI382" s="97">
        <v>2298.9801812631949</v>
      </c>
      <c r="AJ382" s="97">
        <v>198511.71481583247</v>
      </c>
      <c r="AK382" s="97">
        <v>202849.85734624989</v>
      </c>
      <c r="AL382" s="97">
        <v>4338.1425304173445</v>
      </c>
      <c r="AM382" s="97">
        <v>122346.58171971588</v>
      </c>
    </row>
    <row r="383" spans="1:39" x14ac:dyDescent="0.25">
      <c r="A383" s="97">
        <v>381</v>
      </c>
      <c r="B383" s="97">
        <v>4.0049999999999999E-3</v>
      </c>
      <c r="C383" s="97">
        <v>14.930279430162837</v>
      </c>
      <c r="D383" s="97">
        <v>158.13165834861292</v>
      </c>
      <c r="E383" s="97">
        <v>210.63686773325441</v>
      </c>
      <c r="F383" s="97">
        <v>343.12020937699248</v>
      </c>
      <c r="G383" s="97">
        <v>1497.9017154441699</v>
      </c>
      <c r="H383" s="97">
        <v>8376.1153780694131</v>
      </c>
      <c r="I383" s="97">
        <v>76</v>
      </c>
      <c r="J383" s="97">
        <v>45</v>
      </c>
      <c r="K383" s="97">
        <v>81.320255296286916</v>
      </c>
      <c r="L383" s="97">
        <v>861.29043247211166</v>
      </c>
      <c r="M383" s="97">
        <v>1147.2688062537923</v>
      </c>
      <c r="N383" s="97">
        <v>1746.1959322210776</v>
      </c>
      <c r="O383" s="97">
        <v>24280.986807349997</v>
      </c>
      <c r="P383" s="97">
        <v>90257.954442560105</v>
      </c>
      <c r="Q383" s="97">
        <v>6770.3979712311611</v>
      </c>
      <c r="R383" s="97">
        <v>125145.41464738453</v>
      </c>
      <c r="S383" s="97">
        <v>85864942.522865072</v>
      </c>
      <c r="T383" s="97">
        <v>44566173.561724447</v>
      </c>
      <c r="U383" s="45">
        <v>0</v>
      </c>
      <c r="V383">
        <v>0</v>
      </c>
      <c r="W383">
        <v>4.0049999999999999E-3</v>
      </c>
      <c r="X383" s="97">
        <v>8376.1153780694131</v>
      </c>
      <c r="Y383" s="97">
        <v>4.9880754540843153</v>
      </c>
      <c r="Z383" s="97">
        <v>4109.42900511691</v>
      </c>
      <c r="AA383" s="97">
        <v>58.300066663716237</v>
      </c>
      <c r="AB383" s="97">
        <v>3.7840246664896999</v>
      </c>
      <c r="AC383" s="97">
        <v>272.26268079722439</v>
      </c>
      <c r="AD383" s="97">
        <v>85.060593896993041</v>
      </c>
      <c r="AE383" s="97">
        <v>2655.3429665349804</v>
      </c>
      <c r="AF383" s="97">
        <v>4822.9635729160527</v>
      </c>
      <c r="AG383" s="97">
        <v>2536.6923553928209</v>
      </c>
      <c r="AH383" s="97">
        <v>120047.60153845267</v>
      </c>
      <c r="AI383" s="97">
        <v>2298.9801812631949</v>
      </c>
      <c r="AJ383" s="97">
        <v>198511.71481583247</v>
      </c>
      <c r="AK383" s="97">
        <v>202849.85734624989</v>
      </c>
      <c r="AL383" s="97">
        <v>4338.1425304173445</v>
      </c>
      <c r="AM383" s="97">
        <v>122346.58171971588</v>
      </c>
    </row>
    <row r="384" spans="1:39" x14ac:dyDescent="0.25">
      <c r="A384" s="97">
        <v>382</v>
      </c>
      <c r="B384" s="97">
        <v>4.0049999999999999E-3</v>
      </c>
      <c r="C384" s="97">
        <v>14.716468890617946</v>
      </c>
      <c r="D384" s="97">
        <v>156.48609225047144</v>
      </c>
      <c r="E384" s="97">
        <v>208.72757163343894</v>
      </c>
      <c r="F384" s="97">
        <v>340.4705129766258</v>
      </c>
      <c r="G384" s="97">
        <v>1488.6937801394388</v>
      </c>
      <c r="H384" s="97">
        <v>8379.6228370526514</v>
      </c>
      <c r="I384" s="97">
        <v>76</v>
      </c>
      <c r="J384" s="97">
        <v>45</v>
      </c>
      <c r="K384" s="97">
        <v>80.155700557565737</v>
      </c>
      <c r="L384" s="97">
        <v>852.3275824575677</v>
      </c>
      <c r="M384" s="97">
        <v>1136.8695068301306</v>
      </c>
      <c r="N384" s="97">
        <v>1732.7111856235447</v>
      </c>
      <c r="O384" s="97">
        <v>24131.726176060303</v>
      </c>
      <c r="P384" s="97">
        <v>89725.430962289509</v>
      </c>
      <c r="Q384" s="97">
        <v>6730.2281305303904</v>
      </c>
      <c r="R384" s="97">
        <v>124389.44924434902</v>
      </c>
      <c r="S384" s="97">
        <v>85989331.972109422</v>
      </c>
      <c r="T384" s="97">
        <v>44591581.394075535</v>
      </c>
      <c r="U384" s="45">
        <v>0</v>
      </c>
      <c r="V384">
        <v>0</v>
      </c>
      <c r="W384">
        <v>4.0049999999999999E-3</v>
      </c>
      <c r="X384" s="97">
        <v>8379.6228370526514</v>
      </c>
      <c r="Y384" s="97">
        <v>4.9574311241944038</v>
      </c>
      <c r="Z384" s="97">
        <v>4114.3864362411041</v>
      </c>
      <c r="AA384" s="97">
        <v>57.95288913091116</v>
      </c>
      <c r="AB384" s="97">
        <v>3.7621009542799002</v>
      </c>
      <c r="AC384" s="97">
        <v>270.65953244669987</v>
      </c>
      <c r="AD384" s="97">
        <v>84.555915956157932</v>
      </c>
      <c r="AE384" s="97">
        <v>2659.0360724719558</v>
      </c>
      <c r="AF384" s="97">
        <v>4830.4703031756944</v>
      </c>
      <c r="AG384" s="97">
        <v>2547.2669333999438</v>
      </c>
      <c r="AH384" s="97">
        <v>120047.60153845267</v>
      </c>
      <c r="AI384" s="97">
        <v>2298.9801812631949</v>
      </c>
      <c r="AJ384" s="97">
        <v>198511.71481583247</v>
      </c>
      <c r="AK384" s="97">
        <v>202849.85734624989</v>
      </c>
      <c r="AL384" s="97">
        <v>4338.1425304173445</v>
      </c>
      <c r="AM384" s="97">
        <v>122346.58171971588</v>
      </c>
    </row>
    <row r="385" spans="1:39" x14ac:dyDescent="0.25">
      <c r="A385" s="97">
        <v>383</v>
      </c>
      <c r="B385" s="97">
        <v>4.0049999999999999E-3</v>
      </c>
      <c r="C385" s="97">
        <v>14.505720245998353</v>
      </c>
      <c r="D385" s="97">
        <v>154.85704755408514</v>
      </c>
      <c r="E385" s="97">
        <v>206.8340171329381</v>
      </c>
      <c r="F385" s="97">
        <v>337.83828309551114</v>
      </c>
      <c r="G385" s="97">
        <v>1479.5369233472215</v>
      </c>
      <c r="H385" s="97">
        <v>8383.1032101890396</v>
      </c>
      <c r="I385" s="97">
        <v>76</v>
      </c>
      <c r="J385" s="97">
        <v>45</v>
      </c>
      <c r="K385" s="97">
        <v>79.007822939871019</v>
      </c>
      <c r="L385" s="97">
        <v>843.4547190112504</v>
      </c>
      <c r="M385" s="97">
        <v>1126.5559466507361</v>
      </c>
      <c r="N385" s="97">
        <v>1719.315329053572</v>
      </c>
      <c r="O385" s="97">
        <v>23983.293527458463</v>
      </c>
      <c r="P385" s="97">
        <v>89195.720674727389</v>
      </c>
      <c r="Q385" s="97">
        <v>6690.271757650301</v>
      </c>
      <c r="R385" s="97">
        <v>123637.61977749158</v>
      </c>
      <c r="S385" s="97">
        <v>86112969.591886908</v>
      </c>
      <c r="T385" s="97">
        <v>44616730.868002422</v>
      </c>
      <c r="U385" s="45">
        <v>0</v>
      </c>
      <c r="V385">
        <v>0</v>
      </c>
      <c r="W385">
        <v>4.0049999999999999E-3</v>
      </c>
      <c r="X385" s="97">
        <v>8383.1032101890396</v>
      </c>
      <c r="Y385" s="97">
        <v>4.92695669146054</v>
      </c>
      <c r="Z385" s="97">
        <v>4119.313392932565</v>
      </c>
      <c r="AA385" s="97">
        <v>57.606233127808842</v>
      </c>
      <c r="AB385" s="97">
        <v>3.7402906420356197</v>
      </c>
      <c r="AC385" s="97">
        <v>269.06616566625576</v>
      </c>
      <c r="AD385" s="97">
        <v>84.053919940326665</v>
      </c>
      <c r="AE385" s="97">
        <v>2662.7069542190534</v>
      </c>
      <c r="AF385" s="97">
        <v>4837.932594122396</v>
      </c>
      <c r="AG385" s="97">
        <v>2557.7690957674586</v>
      </c>
      <c r="AH385" s="97">
        <v>120047.60153845267</v>
      </c>
      <c r="AI385" s="97">
        <v>2298.9801812631949</v>
      </c>
      <c r="AJ385" s="97">
        <v>198511.71481583247</v>
      </c>
      <c r="AK385" s="97">
        <v>202849.85734624989</v>
      </c>
      <c r="AL385" s="97">
        <v>4338.1425304173445</v>
      </c>
      <c r="AM385" s="97">
        <v>122346.58171971588</v>
      </c>
    </row>
    <row r="386" spans="1:39" x14ac:dyDescent="0.25">
      <c r="A386" s="97">
        <v>384</v>
      </c>
      <c r="B386" s="97">
        <v>4.0049999999999999E-3</v>
      </c>
      <c r="C386" s="97">
        <v>14.297989648135703</v>
      </c>
      <c r="D386" s="97">
        <v>153.24436782673081</v>
      </c>
      <c r="E386" s="97">
        <v>204.95609623465441</v>
      </c>
      <c r="F386" s="97">
        <v>335.22343803497336</v>
      </c>
      <c r="G386" s="97">
        <v>1470.4308900190756</v>
      </c>
      <c r="H386" s="97">
        <v>8386.5566760256243</v>
      </c>
      <c r="I386" s="97">
        <v>77</v>
      </c>
      <c r="J386" s="97">
        <v>45</v>
      </c>
      <c r="K386" s="97">
        <v>77.876383616845786</v>
      </c>
      <c r="L386" s="97">
        <v>834.67099009626043</v>
      </c>
      <c r="M386" s="97">
        <v>1116.3275374914176</v>
      </c>
      <c r="N386" s="97">
        <v>1706.0079467329851</v>
      </c>
      <c r="O386" s="97">
        <v>23835.684727209216</v>
      </c>
      <c r="P386" s="97">
        <v>88668.81333879639</v>
      </c>
      <c r="Q386" s="97">
        <v>6650.5278902975606</v>
      </c>
      <c r="R386" s="97">
        <v>122889.90881424067</v>
      </c>
      <c r="S386" s="97">
        <v>86235859.500701144</v>
      </c>
      <c r="T386" s="97">
        <v>44641624.524383433</v>
      </c>
      <c r="U386" s="45">
        <v>0</v>
      </c>
      <c r="V386">
        <v>0</v>
      </c>
      <c r="W386">
        <v>4.0049999999999999E-3</v>
      </c>
      <c r="X386" s="97">
        <v>8386.5566760256243</v>
      </c>
      <c r="Y386" s="97">
        <v>4.8966513073398819</v>
      </c>
      <c r="Z386" s="97">
        <v>4124.2100442399051</v>
      </c>
      <c r="AA386" s="97">
        <v>57.279482080034491</v>
      </c>
      <c r="AB386" s="97">
        <v>3.6992521541058565</v>
      </c>
      <c r="AC386" s="97">
        <v>267.46315952311659</v>
      </c>
      <c r="AD386" s="97">
        <v>83.554593759627622</v>
      </c>
      <c r="AE386" s="97">
        <v>2666.3557320407735</v>
      </c>
      <c r="AF386" s="97">
        <v>4845.3506723742021</v>
      </c>
      <c r="AG386" s="97">
        <v>2568.1993104994499</v>
      </c>
      <c r="AH386" s="97">
        <v>120599.50993574192</v>
      </c>
      <c r="AI386" s="97">
        <v>2317.0205516297447</v>
      </c>
      <c r="AJ386" s="97">
        <v>201016.29691975069</v>
      </c>
      <c r="AK386" s="97">
        <v>205436.30736337623</v>
      </c>
      <c r="AL386" s="97">
        <v>4420.0104436254778</v>
      </c>
      <c r="AM386" s="97">
        <v>122916.53048737168</v>
      </c>
    </row>
    <row r="387" spans="1:39" x14ac:dyDescent="0.25">
      <c r="A387" s="97">
        <v>385</v>
      </c>
      <c r="B387" s="97">
        <v>4.3349999999999994E-3</v>
      </c>
      <c r="C387" s="97">
        <v>14.08851554020978</v>
      </c>
      <c r="D387" s="97">
        <v>151.59732732222881</v>
      </c>
      <c r="E387" s="97">
        <v>203.02606585289112</v>
      </c>
      <c r="F387" s="97">
        <v>332.51527237976961</v>
      </c>
      <c r="G387" s="97">
        <v>1460.8901842427647</v>
      </c>
      <c r="H387" s="97">
        <v>8389.9834122743068</v>
      </c>
      <c r="I387" s="97">
        <v>77</v>
      </c>
      <c r="J387" s="97">
        <v>45</v>
      </c>
      <c r="K387" s="97">
        <v>76.735447975675925</v>
      </c>
      <c r="L387" s="97">
        <v>825.70010948173956</v>
      </c>
      <c r="M387" s="97">
        <v>1105.8153053454137</v>
      </c>
      <c r="N387" s="97">
        <v>1692.2256403527108</v>
      </c>
      <c r="O387" s="97">
        <v>23681.029886575216</v>
      </c>
      <c r="P387" s="97">
        <v>88115.402241673641</v>
      </c>
      <c r="Q387" s="97">
        <v>6608.8008981588309</v>
      </c>
      <c r="R387" s="97">
        <v>122105.70952956323</v>
      </c>
      <c r="S387" s="97">
        <v>86357965.210230708</v>
      </c>
      <c r="T387" s="97">
        <v>44666256.692454539</v>
      </c>
      <c r="U387" s="45">
        <v>0</v>
      </c>
      <c r="V387">
        <v>0</v>
      </c>
      <c r="W387">
        <v>4.3349999999999994E-3</v>
      </c>
      <c r="X387" s="97">
        <v>8389.9834122743068</v>
      </c>
      <c r="Y387" s="97">
        <v>4.8665141277282569</v>
      </c>
      <c r="Z387" s="97">
        <v>4129.076558367633</v>
      </c>
      <c r="AA387" s="97">
        <v>56.933809652188231</v>
      </c>
      <c r="AB387" s="97">
        <v>3.6777793301408326</v>
      </c>
      <c r="AC387" s="97">
        <v>265.78200679333435</v>
      </c>
      <c r="AD387" s="97">
        <v>83.03035238593921</v>
      </c>
      <c r="AE387" s="97">
        <v>2669.9825256826671</v>
      </c>
      <c r="AF387" s="97">
        <v>4852.7248945069823</v>
      </c>
      <c r="AG387" s="97">
        <v>2579.4115713236924</v>
      </c>
      <c r="AH387" s="97">
        <v>120599.50993574192</v>
      </c>
      <c r="AI387" s="97">
        <v>2317.0205516297447</v>
      </c>
      <c r="AJ387" s="97">
        <v>201016.29691975069</v>
      </c>
      <c r="AK387" s="97">
        <v>205436.30736337623</v>
      </c>
      <c r="AL387" s="97">
        <v>4420.0104436254778</v>
      </c>
      <c r="AM387" s="97">
        <v>122916.53048737168</v>
      </c>
    </row>
    <row r="388" spans="1:39" x14ac:dyDescent="0.25">
      <c r="A388" s="97">
        <v>386</v>
      </c>
      <c r="B388" s="97">
        <v>4.3349999999999994E-3</v>
      </c>
      <c r="C388" s="97">
        <v>13.882110353367954</v>
      </c>
      <c r="D388" s="97">
        <v>149.96741325487821</v>
      </c>
      <c r="E388" s="97">
        <v>201.11270585257282</v>
      </c>
      <c r="F388" s="97">
        <v>329.82607908947205</v>
      </c>
      <c r="G388" s="97">
        <v>1451.4059325481601</v>
      </c>
      <c r="H388" s="97">
        <v>8393.3824649890685</v>
      </c>
      <c r="I388" s="97">
        <v>77</v>
      </c>
      <c r="J388" s="97">
        <v>45</v>
      </c>
      <c r="K388" s="97">
        <v>75.611227724677448</v>
      </c>
      <c r="L388" s="97">
        <v>816.82251086156998</v>
      </c>
      <c r="M388" s="97">
        <v>1095.3938712103466</v>
      </c>
      <c r="N388" s="97">
        <v>1678.5398874995046</v>
      </c>
      <c r="O388" s="97">
        <v>23527.290166605675</v>
      </c>
      <c r="P388" s="97">
        <v>87565.095091385985</v>
      </c>
      <c r="Q388" s="97">
        <v>6567.3112599009773</v>
      </c>
      <c r="R388" s="97">
        <v>121326.06401518873</v>
      </c>
      <c r="S388" s="97">
        <v>86479291.274245903</v>
      </c>
      <c r="T388" s="97">
        <v>44690630.028453074</v>
      </c>
      <c r="U388" s="45">
        <v>0</v>
      </c>
      <c r="V388">
        <v>0</v>
      </c>
      <c r="W388">
        <v>4.3349999999999994E-3</v>
      </c>
      <c r="X388" s="97">
        <v>8393.3824649890685</v>
      </c>
      <c r="Y388" s="97">
        <v>4.8349383632607994</v>
      </c>
      <c r="Z388" s="97">
        <v>4133.9114967308942</v>
      </c>
      <c r="AA388" s="97">
        <v>56.588307726889468</v>
      </c>
      <c r="AB388" s="97">
        <v>3.6552929630352198</v>
      </c>
      <c r="AC388" s="97">
        <v>264.11205152519256</v>
      </c>
      <c r="AD388" s="97">
        <v>82.509093032237928</v>
      </c>
      <c r="AE388" s="97">
        <v>2673.5862567645809</v>
      </c>
      <c r="AF388" s="97">
        <v>4860.053046872913</v>
      </c>
      <c r="AG388" s="97">
        <v>2590.5432597443164</v>
      </c>
      <c r="AH388" s="97">
        <v>120599.50993574192</v>
      </c>
      <c r="AI388" s="97">
        <v>2317.0205516297447</v>
      </c>
      <c r="AJ388" s="97">
        <v>201016.29691975069</v>
      </c>
      <c r="AK388" s="97">
        <v>205436.30736337623</v>
      </c>
      <c r="AL388" s="97">
        <v>4420.0104436254778</v>
      </c>
      <c r="AM388" s="97">
        <v>122916.53048737168</v>
      </c>
    </row>
    <row r="389" spans="1:39" x14ac:dyDescent="0.25">
      <c r="A389" s="97">
        <v>387</v>
      </c>
      <c r="B389" s="97">
        <v>4.3349999999999994E-3</v>
      </c>
      <c r="C389" s="97">
        <v>13.678729126079114</v>
      </c>
      <c r="D389" s="97">
        <v>148.35445672724478</v>
      </c>
      <c r="E389" s="97">
        <v>199.21589363630338</v>
      </c>
      <c r="F389" s="97">
        <v>327.15575862208874</v>
      </c>
      <c r="G389" s="97">
        <v>1441.9778310179422</v>
      </c>
      <c r="H389" s="97">
        <v>8396.7540281100773</v>
      </c>
      <c r="I389" s="97">
        <v>77</v>
      </c>
      <c r="J389" s="97">
        <v>45</v>
      </c>
      <c r="K389" s="97">
        <v>74.503477973377571</v>
      </c>
      <c r="L389" s="97">
        <v>808.03727430772653</v>
      </c>
      <c r="M389" s="97">
        <v>1085.0625673390657</v>
      </c>
      <c r="N389" s="97">
        <v>1664.9501815875799</v>
      </c>
      <c r="O389" s="97">
        <v>23374.460640800844</v>
      </c>
      <c r="P389" s="97">
        <v>87017.880397737434</v>
      </c>
      <c r="Q389" s="97">
        <v>6526.0577544746739</v>
      </c>
      <c r="R389" s="97">
        <v>120550.9522942207</v>
      </c>
      <c r="S389" s="97">
        <v>86599842.226540118</v>
      </c>
      <c r="T389" s="97">
        <v>44714747.163282625</v>
      </c>
      <c r="U389" s="45">
        <v>0</v>
      </c>
      <c r="V389">
        <v>0</v>
      </c>
      <c r="W389">
        <v>4.3349999999999994E-3</v>
      </c>
      <c r="X389" s="97">
        <v>8396.7540281100773</v>
      </c>
      <c r="Y389" s="97">
        <v>4.8035494383028059</v>
      </c>
      <c r="Z389" s="97">
        <v>4138.7150461691972</v>
      </c>
      <c r="AA389" s="97">
        <v>56.243034438184935</v>
      </c>
      <c r="AB389" s="97">
        <v>3.6329307339568322</v>
      </c>
      <c r="AC389" s="97">
        <v>262.45319350269415</v>
      </c>
      <c r="AD389" s="97">
        <v>81.990800357744504</v>
      </c>
      <c r="AE389" s="97">
        <v>2677.1670580940154</v>
      </c>
      <c r="AF389" s="97">
        <v>4867.3353778165874</v>
      </c>
      <c r="AG389" s="97">
        <v>2601.5949247551307</v>
      </c>
      <c r="AH389" s="97">
        <v>120599.50993574192</v>
      </c>
      <c r="AI389" s="97">
        <v>2317.0205516297447</v>
      </c>
      <c r="AJ389" s="97">
        <v>201016.29691975069</v>
      </c>
      <c r="AK389" s="97">
        <v>205436.30736337623</v>
      </c>
      <c r="AL389" s="97">
        <v>4420.0104436254778</v>
      </c>
      <c r="AM389" s="97">
        <v>122916.53048737168</v>
      </c>
    </row>
    <row r="390" spans="1:39" x14ac:dyDescent="0.25">
      <c r="A390" s="97">
        <v>388</v>
      </c>
      <c r="B390" s="97">
        <v>4.3349999999999994E-3</v>
      </c>
      <c r="C390" s="97">
        <v>13.478327555525496</v>
      </c>
      <c r="D390" s="97">
        <v>146.75829035592361</v>
      </c>
      <c r="E390" s="97">
        <v>197.33550719155389</v>
      </c>
      <c r="F390" s="97">
        <v>324.50421158561346</v>
      </c>
      <c r="G390" s="97">
        <v>1432.605577397436</v>
      </c>
      <c r="H390" s="97">
        <v>8400.0982945599626</v>
      </c>
      <c r="I390" s="97">
        <v>77</v>
      </c>
      <c r="J390" s="97">
        <v>45</v>
      </c>
      <c r="K390" s="97">
        <v>73.411957419095529</v>
      </c>
      <c r="L390" s="97">
        <v>799.34348813859719</v>
      </c>
      <c r="M390" s="97">
        <v>1074.8207291699969</v>
      </c>
      <c r="N390" s="97">
        <v>1651.456016794451</v>
      </c>
      <c r="O390" s="97">
        <v>23222.536409612439</v>
      </c>
      <c r="P390" s="97">
        <v>86473.746518939341</v>
      </c>
      <c r="Q390" s="97">
        <v>6485.0391734890291</v>
      </c>
      <c r="R390" s="97">
        <v>119780.35429356295</v>
      </c>
      <c r="S390" s="97">
        <v>86719622.580833688</v>
      </c>
      <c r="T390" s="97">
        <v>44738610.702707268</v>
      </c>
      <c r="U390" s="45">
        <v>0</v>
      </c>
      <c r="V390">
        <v>0</v>
      </c>
      <c r="W390">
        <v>4.3349999999999994E-3</v>
      </c>
      <c r="X390" s="97">
        <v>8400.0982945599626</v>
      </c>
      <c r="Y390" s="97">
        <v>4.7723463470144649</v>
      </c>
      <c r="Z390" s="97">
        <v>4143.4873925162119</v>
      </c>
      <c r="AA390" s="97">
        <v>55.898045978513963</v>
      </c>
      <c r="AB390" s="97">
        <v>3.6106920213738753</v>
      </c>
      <c r="AC390" s="97">
        <v>260.80533389625316</v>
      </c>
      <c r="AD390" s="97">
        <v>81.475459180715234</v>
      </c>
      <c r="AE390" s="97">
        <v>2680.7250618753701</v>
      </c>
      <c r="AF390" s="97">
        <v>4874.572134964983</v>
      </c>
      <c r="AG390" s="97">
        <v>2612.5671118934824</v>
      </c>
      <c r="AH390" s="97">
        <v>120599.50993574192</v>
      </c>
      <c r="AI390" s="97">
        <v>2317.0205516297447</v>
      </c>
      <c r="AJ390" s="97">
        <v>201016.29691975069</v>
      </c>
      <c r="AK390" s="97">
        <v>205436.30736337623</v>
      </c>
      <c r="AL390" s="97">
        <v>4420.0104436254778</v>
      </c>
      <c r="AM390" s="97">
        <v>122916.53048737168</v>
      </c>
    </row>
    <row r="391" spans="1:39" x14ac:dyDescent="0.25">
      <c r="A391" s="97">
        <v>389</v>
      </c>
      <c r="B391" s="97">
        <v>4.3349999999999994E-3</v>
      </c>
      <c r="C391" s="97">
        <v>13.280861987952139</v>
      </c>
      <c r="D391" s="97">
        <v>145.17874826060446</v>
      </c>
      <c r="E391" s="97">
        <v>195.47142509309626</v>
      </c>
      <c r="F391" s="97">
        <v>321.87133874203965</v>
      </c>
      <c r="G391" s="97">
        <v>1423.2888710814818</v>
      </c>
      <c r="H391" s="97">
        <v>8403.4154562453423</v>
      </c>
      <c r="I391" s="97">
        <v>77</v>
      </c>
      <c r="J391" s="97">
        <v>45</v>
      </c>
      <c r="K391" s="97">
        <v>72.336428294379317</v>
      </c>
      <c r="L391" s="97">
        <v>790.74024885942561</v>
      </c>
      <c r="M391" s="97">
        <v>1064.6676953403976</v>
      </c>
      <c r="N391" s="97">
        <v>1638.0568880813635</v>
      </c>
      <c r="O391" s="97">
        <v>23071.512600230821</v>
      </c>
      <c r="P391" s="97">
        <v>85932.681669729645</v>
      </c>
      <c r="Q391" s="97">
        <v>6444.254320479522</v>
      </c>
      <c r="R391" s="97">
        <v>119014.24985101556</v>
      </c>
      <c r="S391" s="97">
        <v>86838636.830684707</v>
      </c>
      <c r="T391" s="97">
        <v>44762223.227546021</v>
      </c>
      <c r="U391" s="45">
        <v>0</v>
      </c>
      <c r="V391">
        <v>0</v>
      </c>
      <c r="W391">
        <v>4.3349999999999994E-3</v>
      </c>
      <c r="X391" s="97">
        <v>8403.4154562453423</v>
      </c>
      <c r="Y391" s="97">
        <v>4.7413280890586265</v>
      </c>
      <c r="Z391" s="97">
        <v>4148.2287206052706</v>
      </c>
      <c r="AA391" s="97">
        <v>55.553396652886434</v>
      </c>
      <c r="AB391" s="97">
        <v>3.5885762070912182</v>
      </c>
      <c r="AC391" s="97">
        <v>259.16837523825285</v>
      </c>
      <c r="AD391" s="97">
        <v>80.963054469244582</v>
      </c>
      <c r="AE391" s="97">
        <v>2684.2603997086449</v>
      </c>
      <c r="AF391" s="97">
        <v>4881.7635652160907</v>
      </c>
      <c r="AG391" s="97">
        <v>2623.4603632583512</v>
      </c>
      <c r="AH391" s="97">
        <v>120599.50993574192</v>
      </c>
      <c r="AI391" s="97">
        <v>2317.0205516297447</v>
      </c>
      <c r="AJ391" s="97">
        <v>201016.29691975069</v>
      </c>
      <c r="AK391" s="97">
        <v>205436.30736337623</v>
      </c>
      <c r="AL391" s="97">
        <v>4420.0104436254778</v>
      </c>
      <c r="AM391" s="97">
        <v>122916.53048737168</v>
      </c>
    </row>
    <row r="392" spans="1:39" x14ac:dyDescent="0.25">
      <c r="A392" s="97">
        <v>390</v>
      </c>
      <c r="B392" s="97">
        <v>4.3349999999999994E-3</v>
      </c>
      <c r="C392" s="97">
        <v>13.086289409157727</v>
      </c>
      <c r="D392" s="97">
        <v>143.6156660531656</v>
      </c>
      <c r="E392" s="97">
        <v>193.62352650531972</v>
      </c>
      <c r="F392" s="97">
        <v>319.2570410113417</v>
      </c>
      <c r="G392" s="97">
        <v>1414.0274131014626</v>
      </c>
      <c r="H392" s="97">
        <v>8406.7057040583968</v>
      </c>
      <c r="I392" s="97">
        <v>77</v>
      </c>
      <c r="J392" s="97">
        <v>45</v>
      </c>
      <c r="K392" s="97">
        <v>71.276656315212421</v>
      </c>
      <c r="L392" s="97">
        <v>782.22666110290857</v>
      </c>
      <c r="M392" s="97">
        <v>1054.6028076989746</v>
      </c>
      <c r="N392" s="97">
        <v>1624.752291213553</v>
      </c>
      <c r="O392" s="97">
        <v>22921.38436637471</v>
      </c>
      <c r="P392" s="97">
        <v>85394.673929217795</v>
      </c>
      <c r="Q392" s="97">
        <v>6403.7020102249408</v>
      </c>
      <c r="R392" s="97">
        <v>118252.61872214809</v>
      </c>
      <c r="S392" s="97">
        <v>86956889.449406847</v>
      </c>
      <c r="T392" s="97">
        <v>44785587.293867439</v>
      </c>
      <c r="U392" s="45">
        <v>0</v>
      </c>
      <c r="V392">
        <v>0</v>
      </c>
      <c r="W392">
        <v>4.3349999999999994E-3</v>
      </c>
      <c r="X392" s="97">
        <v>8406.7057040583968</v>
      </c>
      <c r="Y392" s="97">
        <v>4.7104936695573478</v>
      </c>
      <c r="Z392" s="97">
        <v>4152.9392142748284</v>
      </c>
      <c r="AA392" s="97">
        <v>55.20913893159473</v>
      </c>
      <c r="AB392" s="97">
        <v>3.5665826762215711</v>
      </c>
      <c r="AC392" s="97">
        <v>257.54222139906506</v>
      </c>
      <c r="AD392" s="97">
        <v>80.453571332683467</v>
      </c>
      <c r="AE392" s="97">
        <v>2687.7732025883038</v>
      </c>
      <c r="AF392" s="97">
        <v>4888.9099147277948</v>
      </c>
      <c r="AG392" s="97">
        <v>2634.2752175284145</v>
      </c>
      <c r="AH392" s="97">
        <v>120599.50993574192</v>
      </c>
      <c r="AI392" s="97">
        <v>2317.0205516297447</v>
      </c>
      <c r="AJ392" s="97">
        <v>201016.29691975069</v>
      </c>
      <c r="AK392" s="97">
        <v>205436.30736337623</v>
      </c>
      <c r="AL392" s="97">
        <v>4420.0104436254778</v>
      </c>
      <c r="AM392" s="97">
        <v>122916.53048737168</v>
      </c>
    </row>
    <row r="393" spans="1:39" x14ac:dyDescent="0.25">
      <c r="A393" s="97">
        <v>391</v>
      </c>
      <c r="B393" s="97">
        <v>4.3349999999999994E-3</v>
      </c>
      <c r="C393" s="97">
        <v>12.894567435124742</v>
      </c>
      <c r="D393" s="97">
        <v>142.06888082679723</v>
      </c>
      <c r="E393" s="97">
        <v>191.79169118443249</v>
      </c>
      <c r="F393" s="97">
        <v>316.66121947542308</v>
      </c>
      <c r="G393" s="97">
        <v>1404.8209061124867</v>
      </c>
      <c r="H393" s="97">
        <v>8409.9692278784896</v>
      </c>
      <c r="I393" s="97">
        <v>77</v>
      </c>
      <c r="J393" s="97">
        <v>45</v>
      </c>
      <c r="K393" s="97">
        <v>70.232410629979427</v>
      </c>
      <c r="L393" s="97">
        <v>773.80183756995552</v>
      </c>
      <c r="M393" s="97">
        <v>1044.6254113178757</v>
      </c>
      <c r="N393" s="97">
        <v>1611.5417227803405</v>
      </c>
      <c r="O393" s="97">
        <v>22772.146888083411</v>
      </c>
      <c r="P393" s="97">
        <v>84859.711248463413</v>
      </c>
      <c r="Q393" s="97">
        <v>6363.3810681104096</v>
      </c>
      <c r="R393" s="97">
        <v>117495.44058695539</v>
      </c>
      <c r="S393" s="97">
        <v>87074384.889993802</v>
      </c>
      <c r="T393" s="97">
        <v>44808705.433184244</v>
      </c>
      <c r="U393" s="45">
        <v>0</v>
      </c>
      <c r="V393">
        <v>0</v>
      </c>
      <c r="W393">
        <v>4.3349999999999994E-3</v>
      </c>
      <c r="X393" s="97">
        <v>8409.9692278784896</v>
      </c>
      <c r="Y393" s="97">
        <v>4.6798420990489644</v>
      </c>
      <c r="Z393" s="97">
        <v>4157.6190563738774</v>
      </c>
      <c r="AA393" s="97">
        <v>54.865323501499219</v>
      </c>
      <c r="AB393" s="97">
        <v>3.5447108171570156</v>
      </c>
      <c r="AC393" s="97">
        <v>255.92677756352128</v>
      </c>
      <c r="AD393" s="97">
        <v>79.946995013636652</v>
      </c>
      <c r="AE393" s="97">
        <v>2691.2636009022899</v>
      </c>
      <c r="AF393" s="97">
        <v>4896.0114289069943</v>
      </c>
      <c r="AG393" s="97">
        <v>2645.0122099800838</v>
      </c>
      <c r="AH393" s="97">
        <v>120599.50993574192</v>
      </c>
      <c r="AI393" s="97">
        <v>2317.0205516297447</v>
      </c>
      <c r="AJ393" s="97">
        <v>201016.29691975069</v>
      </c>
      <c r="AK393" s="97">
        <v>205436.30736337623</v>
      </c>
      <c r="AL393" s="97">
        <v>4420.0104436254778</v>
      </c>
      <c r="AM393" s="97">
        <v>122916.53048737168</v>
      </c>
    </row>
    <row r="394" spans="1:39" x14ac:dyDescent="0.25">
      <c r="A394" s="97">
        <v>392</v>
      </c>
      <c r="B394" s="97">
        <v>4.3349999999999994E-3</v>
      </c>
      <c r="C394" s="97">
        <v>12.705654302786897</v>
      </c>
      <c r="D394" s="97">
        <v>140.53823114515569</v>
      </c>
      <c r="E394" s="97">
        <v>189.97579948055022</v>
      </c>
      <c r="F394" s="97">
        <v>314.08377538203007</v>
      </c>
      <c r="G394" s="97">
        <v>1395.669054380724</v>
      </c>
      <c r="H394" s="97">
        <v>8413.2062165738189</v>
      </c>
      <c r="I394" s="97">
        <v>77</v>
      </c>
      <c r="J394" s="97">
        <v>45</v>
      </c>
      <c r="K394" s="97">
        <v>69.203463769179294</v>
      </c>
      <c r="L394" s="97">
        <v>765.46489897061463</v>
      </c>
      <c r="M394" s="97">
        <v>1034.7348545040634</v>
      </c>
      <c r="N394" s="97">
        <v>1598.4246802150478</v>
      </c>
      <c r="O394" s="97">
        <v>22623.795371511536</v>
      </c>
      <c r="P394" s="97">
        <v>84327.78145779726</v>
      </c>
      <c r="Q394" s="97">
        <v>6323.2903295338056</v>
      </c>
      <c r="R394" s="97">
        <v>116742.69505630151</v>
      </c>
      <c r="S394" s="97">
        <v>87191127.585050106</v>
      </c>
      <c r="T394" s="97">
        <v>44831580.152647942</v>
      </c>
      <c r="U394" s="45">
        <v>0</v>
      </c>
      <c r="V394">
        <v>0</v>
      </c>
      <c r="W394">
        <v>4.3349999999999994E-3</v>
      </c>
      <c r="X394" s="97">
        <v>8413.2062165738189</v>
      </c>
      <c r="Y394" s="97">
        <v>4.6493723934456641</v>
      </c>
      <c r="Z394" s="97">
        <v>4162.2684287673228</v>
      </c>
      <c r="AA394" s="97">
        <v>54.521999315925584</v>
      </c>
      <c r="AB394" s="97">
        <v>3.5229600215408774</v>
      </c>
      <c r="AC394" s="97">
        <v>254.3219502078274</v>
      </c>
      <c r="AD394" s="97">
        <v>79.443310880505123</v>
      </c>
      <c r="AE394" s="97">
        <v>2694.7317244311871</v>
      </c>
      <c r="AF394" s="97">
        <v>4903.0683523989865</v>
      </c>
      <c r="AG394" s="97">
        <v>2655.6718725055084</v>
      </c>
      <c r="AH394" s="97">
        <v>120599.50993574192</v>
      </c>
      <c r="AI394" s="97">
        <v>2317.0205516297447</v>
      </c>
      <c r="AJ394" s="97">
        <v>201016.29691975069</v>
      </c>
      <c r="AK394" s="97">
        <v>205436.30736337623</v>
      </c>
      <c r="AL394" s="97">
        <v>4420.0104436254778</v>
      </c>
      <c r="AM394" s="97">
        <v>122916.53048737168</v>
      </c>
    </row>
    <row r="395" spans="1:39" x14ac:dyDescent="0.25">
      <c r="A395" s="97">
        <v>393</v>
      </c>
      <c r="B395" s="97">
        <v>4.3349999999999994E-3</v>
      </c>
      <c r="C395" s="97">
        <v>12.519508860931825</v>
      </c>
      <c r="D395" s="97">
        <v>139.02355703154936</v>
      </c>
      <c r="E395" s="97">
        <v>188.17573233967329</v>
      </c>
      <c r="F395" s="97">
        <v>311.52461014863064</v>
      </c>
      <c r="G395" s="97">
        <v>1386.5715637708929</v>
      </c>
      <c r="H395" s="97">
        <v>8416.416858003111</v>
      </c>
      <c r="I395" s="97">
        <v>77</v>
      </c>
      <c r="J395" s="97">
        <v>45</v>
      </c>
      <c r="K395" s="97">
        <v>68.189591595875342</v>
      </c>
      <c r="L395" s="97">
        <v>757.21497396517213</v>
      </c>
      <c r="M395" s="97">
        <v>1024.9304888100871</v>
      </c>
      <c r="N395" s="97">
        <v>1585.4006618147394</v>
      </c>
      <c r="O395" s="97">
        <v>22476.325048726176</v>
      </c>
      <c r="P395" s="97">
        <v>83798.872273891771</v>
      </c>
      <c r="Q395" s="97">
        <v>6283.4286393529592</v>
      </c>
      <c r="R395" s="97">
        <v>115994.36167815678</v>
      </c>
      <c r="S395" s="97">
        <v>87307121.946728259</v>
      </c>
      <c r="T395" s="97">
        <v>44854213.935243391</v>
      </c>
      <c r="U395" s="45">
        <v>0</v>
      </c>
      <c r="V395">
        <v>0</v>
      </c>
      <c r="W395">
        <v>4.3349999999999994E-3</v>
      </c>
      <c r="X395" s="97">
        <v>8416.416858003111</v>
      </c>
      <c r="Y395" s="97">
        <v>4.6190835739915785</v>
      </c>
      <c r="Z395" s="97">
        <v>4166.8875123413145</v>
      </c>
      <c r="AA395" s="97">
        <v>54.17921364321132</v>
      </c>
      <c r="AB395" s="97">
        <v>3.5013296842399444</v>
      </c>
      <c r="AC395" s="97">
        <v>252.72764707691286</v>
      </c>
      <c r="AD395" s="97">
        <v>78.942504420540985</v>
      </c>
      <c r="AE395" s="97">
        <v>2698.1777023475247</v>
      </c>
      <c r="AF395" s="97">
        <v>4910.0809290771094</v>
      </c>
      <c r="AG395" s="97">
        <v>2666.2547336305474</v>
      </c>
      <c r="AH395" s="97">
        <v>120599.50993574192</v>
      </c>
      <c r="AI395" s="97">
        <v>2317.0205516297447</v>
      </c>
      <c r="AJ395" s="97">
        <v>201016.29691975069</v>
      </c>
      <c r="AK395" s="97">
        <v>205436.30736337623</v>
      </c>
      <c r="AL395" s="97">
        <v>4420.0104436254778</v>
      </c>
      <c r="AM395" s="97">
        <v>122916.53048737168</v>
      </c>
    </row>
    <row r="396" spans="1:39" x14ac:dyDescent="0.25">
      <c r="A396" s="97">
        <v>394</v>
      </c>
      <c r="B396" s="97">
        <v>4.3349999999999994E-3</v>
      </c>
      <c r="C396" s="97">
        <v>12.336090561237063</v>
      </c>
      <c r="D396" s="97">
        <v>137.52469995815736</v>
      </c>
      <c r="E396" s="97">
        <v>186.39137130555483</v>
      </c>
      <c r="F396" s="97">
        <v>308.98362536625808</v>
      </c>
      <c r="G396" s="97">
        <v>1377.5281417338988</v>
      </c>
      <c r="H396" s="97">
        <v>8419.6013390173575</v>
      </c>
      <c r="I396" s="97">
        <v>77</v>
      </c>
      <c r="J396" s="97">
        <v>45</v>
      </c>
      <c r="K396" s="97">
        <v>67.19057325687119</v>
      </c>
      <c r="L396" s="97">
        <v>749.05119910543033</v>
      </c>
      <c r="M396" s="97">
        <v>1015.2116690442552</v>
      </c>
      <c r="N396" s="97">
        <v>1572.4691667597817</v>
      </c>
      <c r="O396" s="97">
        <v>22329.731177506499</v>
      </c>
      <c r="P396" s="97">
        <v>83272.971306589345</v>
      </c>
      <c r="Q396" s="97">
        <v>6243.7948513712145</v>
      </c>
      <c r="R396" s="97">
        <v>115250.4199436334</v>
      </c>
      <c r="S396" s="97">
        <v>87422372.36667189</v>
      </c>
      <c r="T396" s="97">
        <v>44876609.239983186</v>
      </c>
      <c r="U396" s="45">
        <v>0</v>
      </c>
      <c r="V396">
        <v>0</v>
      </c>
      <c r="W396">
        <v>4.3349999999999994E-3</v>
      </c>
      <c r="X396" s="97">
        <v>8419.6013390173575</v>
      </c>
      <c r="Y396" s="97">
        <v>4.5889746672213709</v>
      </c>
      <c r="Z396" s="97">
        <v>4171.4764870085355</v>
      </c>
      <c r="AA396" s="97">
        <v>53.837012113937895</v>
      </c>
      <c r="AB396" s="97">
        <v>3.4798192033170197</v>
      </c>
      <c r="AC396" s="97">
        <v>251.14377716220633</v>
      </c>
      <c r="AD396" s="97">
        <v>78.444561233384192</v>
      </c>
      <c r="AE396" s="97">
        <v>2701.60166321522</v>
      </c>
      <c r="AF396" s="97">
        <v>4917.049402032656</v>
      </c>
      <c r="AG396" s="97">
        <v>2676.7613185327095</v>
      </c>
      <c r="AH396" s="97">
        <v>120599.50993574192</v>
      </c>
      <c r="AI396" s="97">
        <v>2317.0205516297447</v>
      </c>
      <c r="AJ396" s="97">
        <v>201016.29691975069</v>
      </c>
      <c r="AK396" s="97">
        <v>205436.30736337623</v>
      </c>
      <c r="AL396" s="97">
        <v>4420.0104436254778</v>
      </c>
      <c r="AM396" s="97">
        <v>122916.53048737168</v>
      </c>
    </row>
    <row r="397" spans="1:39" x14ac:dyDescent="0.25">
      <c r="A397" s="97">
        <v>395</v>
      </c>
      <c r="B397" s="97">
        <v>4.3349999999999994E-3</v>
      </c>
      <c r="C397" s="97">
        <v>12.155359449437338</v>
      </c>
      <c r="D397" s="97">
        <v>136.04150283528207</v>
      </c>
      <c r="E397" s="97">
        <v>184.62259852146138</v>
      </c>
      <c r="F397" s="97">
        <v>306.46072280331816</v>
      </c>
      <c r="G397" s="97">
        <v>1368.5384972946194</v>
      </c>
      <c r="H397" s="97">
        <v>8422.7598454615927</v>
      </c>
      <c r="I397" s="97">
        <v>77</v>
      </c>
      <c r="J397" s="97">
        <v>45</v>
      </c>
      <c r="K397" s="97">
        <v>66.206191134602022</v>
      </c>
      <c r="L397" s="97">
        <v>740.9727187761697</v>
      </c>
      <c r="M397" s="97">
        <v>1005.5777532802263</v>
      </c>
      <c r="N397" s="97">
        <v>1559.6296951332199</v>
      </c>
      <c r="O397" s="97">
        <v>22184.009041145782</v>
      </c>
      <c r="P397" s="97">
        <v>82750.06606549547</v>
      </c>
      <c r="Q397" s="97">
        <v>6204.3878278590319</v>
      </c>
      <c r="R397" s="97">
        <v>114510.8492928245</v>
      </c>
      <c r="S397" s="97">
        <v>87536883.21596472</v>
      </c>
      <c r="T397" s="97">
        <v>44898768.502101891</v>
      </c>
      <c r="U397" s="45">
        <v>0</v>
      </c>
      <c r="V397">
        <v>0</v>
      </c>
      <c r="W397">
        <v>4.3349999999999994E-3</v>
      </c>
      <c r="X397" s="97">
        <v>8422.7598454615927</v>
      </c>
      <c r="Y397" s="97">
        <v>4.5590447049193203</v>
      </c>
      <c r="Z397" s="97">
        <v>4176.0355317134545</v>
      </c>
      <c r="AA397" s="97">
        <v>53.495438766883787</v>
      </c>
      <c r="AB397" s="97">
        <v>3.4584279800038114</v>
      </c>
      <c r="AC397" s="97">
        <v>249.57025067982966</v>
      </c>
      <c r="AD397" s="97">
        <v>77.949467025052229</v>
      </c>
      <c r="AE397" s="97">
        <v>2705.00373498915</v>
      </c>
      <c r="AF397" s="97">
        <v>4923.9740135650572</v>
      </c>
      <c r="AG397" s="97">
        <v>2687.1921490590589</v>
      </c>
      <c r="AH397" s="97">
        <v>120599.50993574192</v>
      </c>
      <c r="AI397" s="97">
        <v>2317.0205516297447</v>
      </c>
      <c r="AJ397" s="97">
        <v>201016.29691975069</v>
      </c>
      <c r="AK397" s="97">
        <v>205436.30736337623</v>
      </c>
      <c r="AL397" s="97">
        <v>4420.0104436254778</v>
      </c>
      <c r="AM397" s="97">
        <v>122916.53048737168</v>
      </c>
    </row>
    <row r="398" spans="1:39" x14ac:dyDescent="0.25">
      <c r="A398" s="97">
        <v>396</v>
      </c>
      <c r="B398" s="97">
        <v>4.3349999999999994E-3</v>
      </c>
      <c r="C398" s="97">
        <v>11.977276156621286</v>
      </c>
      <c r="D398" s="97">
        <v>134.57381000063643</v>
      </c>
      <c r="E398" s="97">
        <v>182.86929673182797</v>
      </c>
      <c r="F398" s="97">
        <v>303.95580440935976</v>
      </c>
      <c r="G398" s="97">
        <v>1359.6023410398377</v>
      </c>
      <c r="H398" s="97">
        <v>8425.8925621766994</v>
      </c>
      <c r="I398" s="97">
        <v>78</v>
      </c>
      <c r="J398" s="97">
        <v>45</v>
      </c>
      <c r="K398" s="97">
        <v>65.236230799730606</v>
      </c>
      <c r="L398" s="97">
        <v>732.97868513679964</v>
      </c>
      <c r="M398" s="97">
        <v>996.028102866023</v>
      </c>
      <c r="N398" s="97">
        <v>1546.8817479399665</v>
      </c>
      <c r="O398" s="97">
        <v>22039.153948255771</v>
      </c>
      <c r="P398" s="97">
        <v>82230.143966344011</v>
      </c>
      <c r="Q398" s="97">
        <v>6165.2064391094718</v>
      </c>
      <c r="R398" s="97">
        <v>113775.62912045178</v>
      </c>
      <c r="S398" s="97">
        <v>87650658.845085174</v>
      </c>
      <c r="T398" s="97">
        <v>44920694.133249998</v>
      </c>
      <c r="U398" s="45">
        <v>0</v>
      </c>
      <c r="V398">
        <v>0</v>
      </c>
      <c r="W398">
        <v>4.3349999999999994E-3</v>
      </c>
      <c r="X398" s="97">
        <v>8425.8925621766994</v>
      </c>
      <c r="Y398" s="97">
        <v>4.5292927240789025</v>
      </c>
      <c r="Z398" s="97">
        <v>4180.5648244375334</v>
      </c>
      <c r="AA398" s="97">
        <v>53.173926832909942</v>
      </c>
      <c r="AB398" s="97">
        <v>3.4177646794970906</v>
      </c>
      <c r="AC398" s="97">
        <v>247.98758831002468</v>
      </c>
      <c r="AD398" s="97">
        <v>77.457207602355325</v>
      </c>
      <c r="AE398" s="97">
        <v>2708.3840450148523</v>
      </c>
      <c r="AF398" s="97">
        <v>4930.8550051723441</v>
      </c>
      <c r="AG398" s="97">
        <v>2697.5477437440836</v>
      </c>
      <c r="AH398" s="97">
        <v>121081.29609003679</v>
      </c>
      <c r="AI398" s="97">
        <v>2332.9524210944851</v>
      </c>
      <c r="AJ398" s="97">
        <v>203311.97974534935</v>
      </c>
      <c r="AK398" s="97">
        <v>207807.90461445981</v>
      </c>
      <c r="AL398" s="97">
        <v>4495.9248691103985</v>
      </c>
      <c r="AM398" s="97">
        <v>123414.24851113129</v>
      </c>
    </row>
    <row r="399" spans="1:39" x14ac:dyDescent="0.25">
      <c r="A399" s="97">
        <v>397</v>
      </c>
      <c r="B399" s="97">
        <v>4.6933333333333332E-3</v>
      </c>
      <c r="C399" s="97">
        <v>11.797510033366208</v>
      </c>
      <c r="D399" s="97">
        <v>133.07324492674982</v>
      </c>
      <c r="E399" s="97">
        <v>181.06582111914716</v>
      </c>
      <c r="F399" s="97">
        <v>301.35985482222793</v>
      </c>
      <c r="G399" s="97">
        <v>1350.2321942674469</v>
      </c>
      <c r="H399" s="97">
        <v>8428.9996730012663</v>
      </c>
      <c r="I399" s="97">
        <v>78</v>
      </c>
      <c r="J399" s="97">
        <v>45</v>
      </c>
      <c r="K399" s="97">
        <v>64.257104648401281</v>
      </c>
      <c r="L399" s="97">
        <v>724.80560736769735</v>
      </c>
      <c r="M399" s="97">
        <v>986.20517236228818</v>
      </c>
      <c r="N399" s="97">
        <v>1533.6705278327881</v>
      </c>
      <c r="O399" s="97">
        <v>21887.263869075316</v>
      </c>
      <c r="P399" s="97">
        <v>81683.69078739181</v>
      </c>
      <c r="Q399" s="97">
        <v>6124.0403640514705</v>
      </c>
      <c r="R399" s="97">
        <v>113003.93343272977</v>
      </c>
      <c r="S399" s="97">
        <v>87763662.778517902</v>
      </c>
      <c r="T399" s="97">
        <v>44942380.690742984</v>
      </c>
      <c r="U399" s="45">
        <v>0</v>
      </c>
      <c r="V399">
        <v>0</v>
      </c>
      <c r="W399">
        <v>4.6933333333333332E-3</v>
      </c>
      <c r="X399" s="97">
        <v>8428.9996730012663</v>
      </c>
      <c r="Y399" s="97">
        <v>4.4997177668628456</v>
      </c>
      <c r="Z399" s="97">
        <v>4185.0645422043963</v>
      </c>
      <c r="AA399" s="97">
        <v>52.833433786615387</v>
      </c>
      <c r="AB399" s="97">
        <v>3.3967295308717689</v>
      </c>
      <c r="AC399" s="97">
        <v>246.32673903354188</v>
      </c>
      <c r="AD399" s="97">
        <v>76.940013368320507</v>
      </c>
      <c r="AE399" s="97">
        <v>2711.7427200283473</v>
      </c>
      <c r="AF399" s="97">
        <v>4937.6927484667494</v>
      </c>
      <c r="AG399" s="97">
        <v>2708.6784401758359</v>
      </c>
      <c r="AH399" s="97">
        <v>121081.29609003679</v>
      </c>
      <c r="AI399" s="97">
        <v>2332.9524210944851</v>
      </c>
      <c r="AJ399" s="97">
        <v>203311.97974534935</v>
      </c>
      <c r="AK399" s="97">
        <v>207807.90461445981</v>
      </c>
      <c r="AL399" s="97">
        <v>4495.9248691103985</v>
      </c>
      <c r="AM399" s="97">
        <v>123414.24851113129</v>
      </c>
    </row>
    <row r="400" spans="1:39" x14ac:dyDescent="0.25">
      <c r="A400" s="97">
        <v>398</v>
      </c>
      <c r="B400" s="97">
        <v>4.6933333333333332E-3</v>
      </c>
      <c r="C400" s="97">
        <v>11.620442007629096</v>
      </c>
      <c r="D400" s="97">
        <v>131.58893518139701</v>
      </c>
      <c r="E400" s="97">
        <v>179.27885280933532</v>
      </c>
      <c r="F400" s="97">
        <v>298.78351526326719</v>
      </c>
      <c r="G400" s="97">
        <v>1340.9215021864247</v>
      </c>
      <c r="H400" s="97">
        <v>8432.0802473920976</v>
      </c>
      <c r="I400" s="97">
        <v>78</v>
      </c>
      <c r="J400" s="97">
        <v>45</v>
      </c>
      <c r="K400" s="97">
        <v>63.292674134886475</v>
      </c>
      <c r="L400" s="97">
        <v>716.72106695467562</v>
      </c>
      <c r="M400" s="97">
        <v>976.47215163484634</v>
      </c>
      <c r="N400" s="97">
        <v>1520.5591064273106</v>
      </c>
      <c r="O400" s="97">
        <v>21736.337550441945</v>
      </c>
      <c r="P400" s="97">
        <v>81140.542536533583</v>
      </c>
      <c r="Q400" s="97">
        <v>6083.1263365364666</v>
      </c>
      <c r="R400" s="97">
        <v>112237.05142266372</v>
      </c>
      <c r="S400" s="97">
        <v>87875899.829940572</v>
      </c>
      <c r="T400" s="97">
        <v>44963830.701052226</v>
      </c>
      <c r="U400" s="45">
        <v>0</v>
      </c>
      <c r="V400">
        <v>0</v>
      </c>
      <c r="W400">
        <v>4.6933333333333332E-3</v>
      </c>
      <c r="X400" s="97">
        <v>8432.0802473920976</v>
      </c>
      <c r="Y400" s="97">
        <v>4.4687064816972191</v>
      </c>
      <c r="Z400" s="97">
        <v>4189.5332486860934</v>
      </c>
      <c r="AA400" s="97">
        <v>52.493211871479559</v>
      </c>
      <c r="AB400" s="97">
        <v>3.3746902787887727</v>
      </c>
      <c r="AC400" s="97">
        <v>244.67772266833796</v>
      </c>
      <c r="AD400" s="97">
        <v>76.42598575961388</v>
      </c>
      <c r="AE400" s="97">
        <v>2715.0786818647771</v>
      </c>
      <c r="AF400" s="97">
        <v>4944.4850275220433</v>
      </c>
      <c r="AG400" s="97">
        <v>2719.7248047304734</v>
      </c>
      <c r="AH400" s="97">
        <v>121081.29609003679</v>
      </c>
      <c r="AI400" s="97">
        <v>2332.9524210944851</v>
      </c>
      <c r="AJ400" s="97">
        <v>203311.97974534935</v>
      </c>
      <c r="AK400" s="97">
        <v>207807.90461445981</v>
      </c>
      <c r="AL400" s="97">
        <v>4495.9248691103985</v>
      </c>
      <c r="AM400" s="97">
        <v>123414.24851113129</v>
      </c>
    </row>
    <row r="401" spans="1:39" x14ac:dyDescent="0.25">
      <c r="A401" s="97">
        <v>399</v>
      </c>
      <c r="B401" s="97">
        <v>4.6933333333333332E-3</v>
      </c>
      <c r="C401" s="97">
        <v>11.4460315838478</v>
      </c>
      <c r="D401" s="97">
        <v>130.12071241796716</v>
      </c>
      <c r="E401" s="97">
        <v>177.50825930018428</v>
      </c>
      <c r="F401" s="97">
        <v>296.22666815291831</v>
      </c>
      <c r="G401" s="97">
        <v>1331.6699196314155</v>
      </c>
      <c r="H401" s="97">
        <v>8435.1344858077136</v>
      </c>
      <c r="I401" s="97">
        <v>78</v>
      </c>
      <c r="J401" s="97">
        <v>45</v>
      </c>
      <c r="K401" s="97">
        <v>62.342718693357682</v>
      </c>
      <c r="L401" s="97">
        <v>708.72414696986107</v>
      </c>
      <c r="M401" s="97">
        <v>966.82831898833695</v>
      </c>
      <c r="N401" s="97">
        <v>1507.54688534156</v>
      </c>
      <c r="O401" s="97">
        <v>21586.369397225248</v>
      </c>
      <c r="P401" s="97">
        <v>80600.685038431198</v>
      </c>
      <c r="Q401" s="97">
        <v>6042.4629384725495</v>
      </c>
      <c r="R401" s="97">
        <v>111474.95944412211</v>
      </c>
      <c r="S401" s="97">
        <v>87987374.789384693</v>
      </c>
      <c r="T401" s="97">
        <v>44985046.665481128</v>
      </c>
      <c r="U401" s="45">
        <v>0</v>
      </c>
      <c r="V401">
        <v>0</v>
      </c>
      <c r="W401">
        <v>4.6933333333333332E-3</v>
      </c>
      <c r="X401" s="97">
        <v>8435.1344858077136</v>
      </c>
      <c r="Y401" s="97">
        <v>4.4378919668099304</v>
      </c>
      <c r="Z401" s="97">
        <v>4193.9711406529032</v>
      </c>
      <c r="AA401" s="97">
        <v>52.153320087302063</v>
      </c>
      <c r="AB401" s="97">
        <v>3.3527814369465925</v>
      </c>
      <c r="AC401" s="97">
        <v>243.04042829853847</v>
      </c>
      <c r="AD401" s="97">
        <v>75.915106959891318</v>
      </c>
      <c r="AE401" s="97">
        <v>2718.3920711620731</v>
      </c>
      <c r="AF401" s="97">
        <v>4951.2321069835016</v>
      </c>
      <c r="AG401" s="97">
        <v>2730.6874465844348</v>
      </c>
      <c r="AH401" s="97">
        <v>121081.29609003679</v>
      </c>
      <c r="AI401" s="97">
        <v>2332.9524210944851</v>
      </c>
      <c r="AJ401" s="97">
        <v>203311.97974534935</v>
      </c>
      <c r="AK401" s="97">
        <v>207807.90461445981</v>
      </c>
      <c r="AL401" s="97">
        <v>4495.9248691103985</v>
      </c>
      <c r="AM401" s="97">
        <v>123414.24851113129</v>
      </c>
    </row>
    <row r="402" spans="1:39" x14ac:dyDescent="0.25">
      <c r="A402" s="97">
        <v>400</v>
      </c>
      <c r="B402" s="97">
        <v>4.6933333333333332E-3</v>
      </c>
      <c r="C402" s="97">
        <v>11.27423887425531</v>
      </c>
      <c r="D402" s="97">
        <v>128.66840990382187</v>
      </c>
      <c r="E402" s="97">
        <v>175.75390887378668</v>
      </c>
      <c r="F402" s="97">
        <v>293.68919626136403</v>
      </c>
      <c r="G402" s="97">
        <v>1322.477103402766</v>
      </c>
      <c r="H402" s="97">
        <v>8438.1625875047084</v>
      </c>
      <c r="I402" s="97">
        <v>78</v>
      </c>
      <c r="J402" s="97">
        <v>45</v>
      </c>
      <c r="K402" s="97">
        <v>61.407021068443917</v>
      </c>
      <c r="L402" s="97">
        <v>700.81393927614977</v>
      </c>
      <c r="M402" s="97">
        <v>957.27295699922479</v>
      </c>
      <c r="N402" s="97">
        <v>1494.6332679734583</v>
      </c>
      <c r="O402" s="97">
        <v>21437.35384615884</v>
      </c>
      <c r="P402" s="97">
        <v>80064.103986162998</v>
      </c>
      <c r="Q402" s="97">
        <v>6002.0487662883106</v>
      </c>
      <c r="R402" s="97">
        <v>110717.63378392742</v>
      </c>
      <c r="S402" s="97">
        <v>88098092.423168615</v>
      </c>
      <c r="T402" s="97">
        <v>45006031.060370982</v>
      </c>
      <c r="U402" s="45">
        <v>0</v>
      </c>
      <c r="V402">
        <v>0</v>
      </c>
      <c r="W402">
        <v>4.6933333333333332E-3</v>
      </c>
      <c r="X402" s="97">
        <v>8438.1625875047084</v>
      </c>
      <c r="Y402" s="97">
        <v>4.4072730798473394</v>
      </c>
      <c r="Z402" s="97">
        <v>4198.3784137327502</v>
      </c>
      <c r="AA402" s="97">
        <v>51.813815391952112</v>
      </c>
      <c r="AB402" s="97">
        <v>3.3310023032891563</v>
      </c>
      <c r="AC402" s="97">
        <v>241.41474656828493</v>
      </c>
      <c r="AD402" s="97">
        <v>75.407359335238525</v>
      </c>
      <c r="AE402" s="97">
        <v>2721.6830278490875</v>
      </c>
      <c r="AF402" s="97">
        <v>4957.9342505755094</v>
      </c>
      <c r="AG402" s="97">
        <v>2741.5669708130226</v>
      </c>
      <c r="AH402" s="97">
        <v>121081.29609003679</v>
      </c>
      <c r="AI402" s="97">
        <v>2332.9524210944851</v>
      </c>
      <c r="AJ402" s="97">
        <v>203311.97974534935</v>
      </c>
      <c r="AK402" s="97">
        <v>207807.90461445981</v>
      </c>
      <c r="AL402" s="97">
        <v>4495.9248691103985</v>
      </c>
      <c r="AM402" s="97">
        <v>123414.24851113129</v>
      </c>
    </row>
    <row r="403" spans="1:39" x14ac:dyDescent="0.25">
      <c r="A403" s="97">
        <v>401</v>
      </c>
      <c r="B403" s="97">
        <v>4.6933333333333332E-3</v>
      </c>
      <c r="C403" s="97">
        <v>11.105024589757399</v>
      </c>
      <c r="D403" s="97">
        <v>127.23186250708646</v>
      </c>
      <c r="E403" s="97">
        <v>174.01567059644779</v>
      </c>
      <c r="F403" s="97">
        <v>291.1709827116228</v>
      </c>
      <c r="G403" s="97">
        <v>1313.3427122520616</v>
      </c>
      <c r="H403" s="97">
        <v>8441.1647505413221</v>
      </c>
      <c r="I403" s="97">
        <v>78</v>
      </c>
      <c r="J403" s="97">
        <v>45</v>
      </c>
      <c r="K403" s="97">
        <v>60.485367265545293</v>
      </c>
      <c r="L403" s="97">
        <v>692.98954445526419</v>
      </c>
      <c r="M403" s="97">
        <v>947.80535251531887</v>
      </c>
      <c r="N403" s="97">
        <v>1481.8176595165669</v>
      </c>
      <c r="O403" s="97">
        <v>21289.28536560592</v>
      </c>
      <c r="P403" s="97">
        <v>79530.784949448134</v>
      </c>
      <c r="Q403" s="97">
        <v>5961.8824301655268</v>
      </c>
      <c r="R403" s="97">
        <v>109965.05066897228</v>
      </c>
      <c r="S403" s="97">
        <v>88208057.473837584</v>
      </c>
      <c r="T403" s="97">
        <v>45026786.337306753</v>
      </c>
      <c r="U403" s="45">
        <v>0</v>
      </c>
      <c r="V403">
        <v>0</v>
      </c>
      <c r="W403">
        <v>4.6933333333333332E-3</v>
      </c>
      <c r="X403" s="97">
        <v>8441.1647505413221</v>
      </c>
      <c r="Y403" s="97">
        <v>4.3768486849614616</v>
      </c>
      <c r="Z403" s="97">
        <v>4202.7552624177115</v>
      </c>
      <c r="AA403" s="97">
        <v>51.474752759464515</v>
      </c>
      <c r="AB403" s="97">
        <v>3.3093521796011403</v>
      </c>
      <c r="AC403" s="97">
        <v>239.80056965375974</v>
      </c>
      <c r="AD403" s="97">
        <v>74.902725424530772</v>
      </c>
      <c r="AE403" s="97">
        <v>2724.9516911450814</v>
      </c>
      <c r="AF403" s="97">
        <v>4964.5917210912976</v>
      </c>
      <c r="AG403" s="97">
        <v>2752.3639784139723</v>
      </c>
      <c r="AH403" s="97">
        <v>121081.29609003679</v>
      </c>
      <c r="AI403" s="97">
        <v>2332.9524210944851</v>
      </c>
      <c r="AJ403" s="97">
        <v>203311.97974534935</v>
      </c>
      <c r="AK403" s="97">
        <v>207807.90461445981</v>
      </c>
      <c r="AL403" s="97">
        <v>4495.9248691103985</v>
      </c>
      <c r="AM403" s="97">
        <v>123414.24851113129</v>
      </c>
    </row>
    <row r="404" spans="1:39" x14ac:dyDescent="0.25">
      <c r="A404" s="97">
        <v>402</v>
      </c>
      <c r="B404" s="97">
        <v>4.6933333333333332E-3</v>
      </c>
      <c r="C404" s="97">
        <v>10.938350030947181</v>
      </c>
      <c r="D404" s="97">
        <v>125.81090668350676</v>
      </c>
      <c r="E404" s="97">
        <v>172.29341431850122</v>
      </c>
      <c r="F404" s="97">
        <v>288.67191098259605</v>
      </c>
      <c r="G404" s="97">
        <v>1304.2664068678257</v>
      </c>
      <c r="H404" s="97">
        <v>8444.1411717810515</v>
      </c>
      <c r="I404" s="97">
        <v>78</v>
      </c>
      <c r="J404" s="97">
        <v>45</v>
      </c>
      <c r="K404" s="97">
        <v>59.577546501892307</v>
      </c>
      <c r="L404" s="97">
        <v>685.25007173616677</v>
      </c>
      <c r="M404" s="97">
        <v>938.42479665476992</v>
      </c>
      <c r="N404" s="97">
        <v>1469.0994669755951</v>
      </c>
      <c r="O404" s="97">
        <v>21142.158455327455</v>
      </c>
      <c r="P404" s="97">
        <v>79000.71338258301</v>
      </c>
      <c r="Q404" s="97">
        <v>5921.9625533229164</v>
      </c>
      <c r="R404" s="97">
        <v>109217.1862731018</v>
      </c>
      <c r="S404" s="97">
        <v>88317274.660110682</v>
      </c>
      <c r="T404" s="97">
        <v>45047314.923322693</v>
      </c>
      <c r="U404" s="45">
        <v>0</v>
      </c>
      <c r="V404">
        <v>0</v>
      </c>
      <c r="W404">
        <v>4.6933333333333332E-3</v>
      </c>
      <c r="X404" s="97">
        <v>8444.1411717810515</v>
      </c>
      <c r="Y404" s="97">
        <v>4.3466176527621023</v>
      </c>
      <c r="Z404" s="97">
        <v>4207.1018800704733</v>
      </c>
      <c r="AA404" s="97">
        <v>51.136185236541046</v>
      </c>
      <c r="AB404" s="97">
        <v>3.2878303714776376</v>
      </c>
      <c r="AC404" s="97">
        <v>238.19779123575154</v>
      </c>
      <c r="AD404" s="97">
        <v>74.401187930434276</v>
      </c>
      <c r="AE404" s="97">
        <v>2728.1981995593719</v>
      </c>
      <c r="AF404" s="97">
        <v>4971.2047803829364</v>
      </c>
      <c r="AG404" s="97">
        <v>2763.0790663309608</v>
      </c>
      <c r="AH404" s="97">
        <v>121081.29609003679</v>
      </c>
      <c r="AI404" s="97">
        <v>2332.9524210944851</v>
      </c>
      <c r="AJ404" s="97">
        <v>203311.97974534935</v>
      </c>
      <c r="AK404" s="97">
        <v>207807.90461445981</v>
      </c>
      <c r="AL404" s="97">
        <v>4495.9248691103985</v>
      </c>
      <c r="AM404" s="97">
        <v>123414.24851113129</v>
      </c>
    </row>
    <row r="405" spans="1:39" x14ac:dyDescent="0.25">
      <c r="A405" s="97">
        <v>403</v>
      </c>
      <c r="B405" s="97">
        <v>4.6933333333333332E-3</v>
      </c>
      <c r="C405" s="97">
        <v>10.774177079254537</v>
      </c>
      <c r="D405" s="97">
        <v>124.40538046337166</v>
      </c>
      <c r="E405" s="97">
        <v>170.58701067403072</v>
      </c>
      <c r="F405" s="97">
        <v>286.1918649120675</v>
      </c>
      <c r="G405" s="97">
        <v>1295.2478498613832</v>
      </c>
      <c r="H405" s="97">
        <v>8447.092046896285</v>
      </c>
      <c r="I405" s="97">
        <v>78</v>
      </c>
      <c r="J405" s="97">
        <v>45</v>
      </c>
      <c r="K405" s="97">
        <v>58.683351158339711</v>
      </c>
      <c r="L405" s="97">
        <v>677.59463892383087</v>
      </c>
      <c r="M405" s="97">
        <v>929.13058480455391</v>
      </c>
      <c r="N405" s="97">
        <v>1456.4780991816635</v>
      </c>
      <c r="O405" s="97">
        <v>20995.967646253022</v>
      </c>
      <c r="P405" s="97">
        <v>78473.87463209877</v>
      </c>
      <c r="Q405" s="97">
        <v>5882.2877713479347</v>
      </c>
      <c r="R405" s="97">
        <v>108474.01672376812</v>
      </c>
      <c r="S405" s="97">
        <v>88425748.676834449</v>
      </c>
      <c r="T405" s="97">
        <v>45067619.221107759</v>
      </c>
      <c r="U405" s="45">
        <v>0</v>
      </c>
      <c r="V405">
        <v>0</v>
      </c>
      <c r="W405">
        <v>4.6933333333333332E-3</v>
      </c>
      <c r="X405" s="97">
        <v>8447.092046896285</v>
      </c>
      <c r="Y405" s="97">
        <v>4.3165788602695248</v>
      </c>
      <c r="Z405" s="97">
        <v>4211.4184589307424</v>
      </c>
      <c r="AA405" s="97">
        <v>50.798163997500623</v>
      </c>
      <c r="AB405" s="97">
        <v>3.2664361882941964</v>
      </c>
      <c r="AC405" s="97">
        <v>236.60630647274988</v>
      </c>
      <c r="AD405" s="97">
        <v>73.902729711011176</v>
      </c>
      <c r="AE405" s="97">
        <v>2731.4226908911342</v>
      </c>
      <c r="AF405" s="97">
        <v>4977.7736893515812</v>
      </c>
      <c r="AG405" s="97">
        <v>2773.7128274770498</v>
      </c>
      <c r="AH405" s="97">
        <v>121081.29609003679</v>
      </c>
      <c r="AI405" s="97">
        <v>2332.9524210944851</v>
      </c>
      <c r="AJ405" s="97">
        <v>203311.97974534935</v>
      </c>
      <c r="AK405" s="97">
        <v>207807.90461445981</v>
      </c>
      <c r="AL405" s="97">
        <v>4495.9248691103985</v>
      </c>
      <c r="AM405" s="97">
        <v>123414.24851113129</v>
      </c>
    </row>
    <row r="406" spans="1:39" x14ac:dyDescent="0.25">
      <c r="A406" s="97">
        <v>404</v>
      </c>
      <c r="B406" s="97">
        <v>4.6933333333333332E-3</v>
      </c>
      <c r="C406" s="97">
        <v>10.612468188228377</v>
      </c>
      <c r="D406" s="97">
        <v>123.01512343850227</v>
      </c>
      <c r="E406" s="97">
        <v>168.89633108049952</v>
      </c>
      <c r="F406" s="97">
        <v>283.73072869965517</v>
      </c>
      <c r="G406" s="97">
        <v>1286.286705752882</v>
      </c>
      <c r="H406" s="97">
        <v>8450.0175703719724</v>
      </c>
      <c r="I406" s="97">
        <v>78</v>
      </c>
      <c r="J406" s="97">
        <v>45</v>
      </c>
      <c r="K406" s="97">
        <v>57.802576731883889</v>
      </c>
      <c r="L406" s="97">
        <v>670.0223723283757</v>
      </c>
      <c r="M406" s="97">
        <v>919.92201661845399</v>
      </c>
      <c r="N406" s="97">
        <v>1443.9529668073283</v>
      </c>
      <c r="O406" s="97">
        <v>20850.707500254219</v>
      </c>
      <c r="P406" s="97">
        <v>77950.253944148513</v>
      </c>
      <c r="Q406" s="97">
        <v>5842.8567315737491</v>
      </c>
      <c r="R406" s="97">
        <v>107735.51810846252</v>
      </c>
      <c r="S406" s="97">
        <v>88533484.194942906</v>
      </c>
      <c r="T406" s="97">
        <v>45087701.609210774</v>
      </c>
      <c r="U406" s="45">
        <v>0</v>
      </c>
      <c r="V406">
        <v>0</v>
      </c>
      <c r="W406">
        <v>4.6933333333333332E-3</v>
      </c>
      <c r="X406" s="97">
        <v>8450.0175703719724</v>
      </c>
      <c r="Y406" s="97">
        <v>4.2867311908676626</v>
      </c>
      <c r="Z406" s="97">
        <v>4215.70519012161</v>
      </c>
      <c r="AA406" s="97">
        <v>50.46073839772059</v>
      </c>
      <c r="AB406" s="97">
        <v>3.2451689431772048</v>
      </c>
      <c r="AC406" s="97">
        <v>235.0260119745592</v>
      </c>
      <c r="AD406" s="97">
        <v>73.40733377189207</v>
      </c>
      <c r="AE406" s="97">
        <v>2734.6253022293481</v>
      </c>
      <c r="AF406" s="97">
        <v>4984.2987079379936</v>
      </c>
      <c r="AG406" s="97">
        <v>2784.2658507580672</v>
      </c>
      <c r="AH406" s="97">
        <v>121081.29609003679</v>
      </c>
      <c r="AI406" s="97">
        <v>2332.9524210944851</v>
      </c>
      <c r="AJ406" s="97">
        <v>203311.97974534935</v>
      </c>
      <c r="AK406" s="97">
        <v>207807.90461445981</v>
      </c>
      <c r="AL406" s="97">
        <v>4495.9248691103985</v>
      </c>
      <c r="AM406" s="97">
        <v>123414.24851113129</v>
      </c>
    </row>
    <row r="407" spans="1:39" x14ac:dyDescent="0.25">
      <c r="A407" s="97">
        <v>405</v>
      </c>
      <c r="B407" s="97">
        <v>4.6933333333333332E-3</v>
      </c>
      <c r="C407" s="97">
        <v>10.453186374949738</v>
      </c>
      <c r="D407" s="97">
        <v>121.63997674930818</v>
      </c>
      <c r="E407" s="97">
        <v>167.22124773828963</v>
      </c>
      <c r="F407" s="97">
        <v>281.2883869097152</v>
      </c>
      <c r="G407" s="97">
        <v>1277.3826409574749</v>
      </c>
      <c r="H407" s="97">
        <v>8452.9179355093256</v>
      </c>
      <c r="I407" s="97">
        <v>78</v>
      </c>
      <c r="J407" s="97">
        <v>45</v>
      </c>
      <c r="K407" s="97">
        <v>56.935021788892904</v>
      </c>
      <c r="L407" s="97">
        <v>662.53240669456511</v>
      </c>
      <c r="M407" s="97">
        <v>910.7983960145508</v>
      </c>
      <c r="N407" s="97">
        <v>1431.5234823813589</v>
      </c>
      <c r="O407" s="97">
        <v>20706.372609920669</v>
      </c>
      <c r="P407" s="97">
        <v>77429.836471632778</v>
      </c>
      <c r="Q407" s="97">
        <v>5803.6680924986804</v>
      </c>
      <c r="R407" s="97">
        <v>107001.6664809315</v>
      </c>
      <c r="S407" s="97">
        <v>88640485.861423835</v>
      </c>
      <c r="T407" s="97">
        <v>45107564.442245267</v>
      </c>
      <c r="U407" s="45">
        <v>0</v>
      </c>
      <c r="V407">
        <v>0</v>
      </c>
      <c r="W407">
        <v>4.6933333333333332E-3</v>
      </c>
      <c r="X407" s="97">
        <v>8452.9179355093256</v>
      </c>
      <c r="Y407" s="97">
        <v>4.2570735342578612</v>
      </c>
      <c r="Z407" s="97">
        <v>4219.9622636558679</v>
      </c>
      <c r="AA407" s="97">
        <v>50.123956025610291</v>
      </c>
      <c r="AB407" s="97">
        <v>3.2240279529746418</v>
      </c>
      <c r="AC407" s="97">
        <v>233.45680577642153</v>
      </c>
      <c r="AD407" s="97">
        <v>72.914983258982105</v>
      </c>
      <c r="AE407" s="97">
        <v>2737.8061699528903</v>
      </c>
      <c r="AF407" s="97">
        <v>4990.7800951133277</v>
      </c>
      <c r="AG407" s="97">
        <v>2794.7387210959205</v>
      </c>
      <c r="AH407" s="97">
        <v>121081.29609003679</v>
      </c>
      <c r="AI407" s="97">
        <v>2332.9524210944851</v>
      </c>
      <c r="AJ407" s="97">
        <v>203311.97974534935</v>
      </c>
      <c r="AK407" s="97">
        <v>207807.90461445981</v>
      </c>
      <c r="AL407" s="97">
        <v>4495.9248691103985</v>
      </c>
      <c r="AM407" s="97">
        <v>123414.24851113129</v>
      </c>
    </row>
    <row r="408" spans="1:39" x14ac:dyDescent="0.25">
      <c r="A408" s="97">
        <v>406</v>
      </c>
      <c r="B408" s="97">
        <v>4.6933333333333332E-3</v>
      </c>
      <c r="C408" s="97">
        <v>10.296295211573772</v>
      </c>
      <c r="D408" s="97">
        <v>120.27978307191128</v>
      </c>
      <c r="E408" s="97">
        <v>165.56163363015256</v>
      </c>
      <c r="F408" s="97">
        <v>278.86472447419766</v>
      </c>
      <c r="G408" s="97">
        <v>1268.5353237716574</v>
      </c>
      <c r="H408" s="97">
        <v>8455.7933344295416</v>
      </c>
      <c r="I408" s="97">
        <v>78</v>
      </c>
      <c r="J408" s="97">
        <v>45</v>
      </c>
      <c r="K408" s="97">
        <v>56.080487919038475</v>
      </c>
      <c r="L408" s="97">
        <v>655.12388513167673</v>
      </c>
      <c r="M408" s="97">
        <v>901.75903117223083</v>
      </c>
      <c r="N408" s="97">
        <v>1419.1890603032709</v>
      </c>
      <c r="O408" s="97">
        <v>20562.957598338569</v>
      </c>
      <c r="P408" s="97">
        <v>76912.607281071309</v>
      </c>
      <c r="Q408" s="97">
        <v>5764.7205232455599</v>
      </c>
      <c r="R408" s="97">
        <v>106272.43786718165</v>
      </c>
      <c r="S408" s="97">
        <v>88746758.299291015</v>
      </c>
      <c r="T408" s="97">
        <v>45127210.051093869</v>
      </c>
      <c r="U408" s="45">
        <v>0</v>
      </c>
      <c r="V408">
        <v>0</v>
      </c>
      <c r="W408">
        <v>4.6933333333333332E-3</v>
      </c>
      <c r="X408" s="97">
        <v>8455.7933344295416</v>
      </c>
      <c r="Y408" s="97">
        <v>4.2276047864131439</v>
      </c>
      <c r="Z408" s="97">
        <v>4224.1898684422813</v>
      </c>
      <c r="AA408" s="97">
        <v>49.787862753156922</v>
      </c>
      <c r="AB408" s="97">
        <v>3.2030125382271724</v>
      </c>
      <c r="AC408" s="97">
        <v>231.89858731363822</v>
      </c>
      <c r="AD408" s="97">
        <v>72.425661451668574</v>
      </c>
      <c r="AE408" s="97">
        <v>2740.9654297307598</v>
      </c>
      <c r="AF408" s="97">
        <v>4997.2181088701982</v>
      </c>
      <c r="AG408" s="97">
        <v>2805.1320194518453</v>
      </c>
      <c r="AH408" s="97">
        <v>121081.29609003679</v>
      </c>
      <c r="AI408" s="97">
        <v>2332.9524210944851</v>
      </c>
      <c r="AJ408" s="97">
        <v>203311.97974534935</v>
      </c>
      <c r="AK408" s="97">
        <v>207807.90461445981</v>
      </c>
      <c r="AL408" s="97">
        <v>4495.9248691103985</v>
      </c>
      <c r="AM408" s="97">
        <v>123414.24851113129</v>
      </c>
    </row>
    <row r="409" spans="1:39" x14ac:dyDescent="0.25">
      <c r="A409" s="97">
        <v>407</v>
      </c>
      <c r="B409" s="97">
        <v>4.6933333333333332E-3</v>
      </c>
      <c r="C409" s="97">
        <v>10.141758816998683</v>
      </c>
      <c r="D409" s="97">
        <v>118.93438660533786</v>
      </c>
      <c r="E409" s="97">
        <v>163.91736252057348</v>
      </c>
      <c r="F409" s="97">
        <v>276.45962669545378</v>
      </c>
      <c r="G409" s="97">
        <v>1259.7444243597599</v>
      </c>
      <c r="H409" s="97">
        <v>8458.6439580775659</v>
      </c>
      <c r="I409" s="97">
        <v>78</v>
      </c>
      <c r="J409" s="97">
        <v>45</v>
      </c>
      <c r="K409" s="97">
        <v>55.23877968991949</v>
      </c>
      <c r="L409" s="97">
        <v>647.79595904374014</v>
      </c>
      <c r="M409" s="97">
        <v>892.80323452872346</v>
      </c>
      <c r="N409" s="97">
        <v>1406.9491168576135</v>
      </c>
      <c r="O409" s="97">
        <v>20420.457118871709</v>
      </c>
      <c r="P409" s="97">
        <v>76398.551359229154</v>
      </c>
      <c r="Q409" s="97">
        <v>5726.0127030585827</v>
      </c>
      <c r="R409" s="97">
        <v>105547.80827127944</v>
      </c>
      <c r="S409" s="97">
        <v>88852306.107562289</v>
      </c>
      <c r="T409" s="97">
        <v>45146640.743112341</v>
      </c>
      <c r="U409" s="45">
        <v>0</v>
      </c>
      <c r="V409">
        <v>0</v>
      </c>
      <c r="W409">
        <v>4.6933333333333332E-3</v>
      </c>
      <c r="X409" s="97">
        <v>8458.6439580775659</v>
      </c>
      <c r="Y409" s="97">
        <v>4.1983238495329918</v>
      </c>
      <c r="Z409" s="97">
        <v>4228.3881922918144</v>
      </c>
      <c r="AA409" s="97">
        <v>49.452502785082515</v>
      </c>
      <c r="AB409" s="97">
        <v>3.1821220231395873</v>
      </c>
      <c r="AC409" s="97">
        <v>230.35125739668041</v>
      </c>
      <c r="AD409" s="97">
        <v>71.939351756499562</v>
      </c>
      <c r="AE409" s="97">
        <v>2744.103216522436</v>
      </c>
      <c r="AF409" s="97">
        <v>5003.6130062140264</v>
      </c>
      <c r="AG409" s="97">
        <v>2815.4463228495874</v>
      </c>
      <c r="AH409" s="97">
        <v>121081.29609003679</v>
      </c>
      <c r="AI409" s="97">
        <v>2332.9524210944851</v>
      </c>
      <c r="AJ409" s="97">
        <v>203311.97974534935</v>
      </c>
      <c r="AK409" s="97">
        <v>207807.90461445981</v>
      </c>
      <c r="AL409" s="97">
        <v>4495.9248691103985</v>
      </c>
      <c r="AM409" s="97">
        <v>123414.24851113129</v>
      </c>
    </row>
    <row r="410" spans="1:39" x14ac:dyDescent="0.25">
      <c r="A410" s="97">
        <v>408</v>
      </c>
      <c r="B410" s="97">
        <v>4.6933333333333332E-3</v>
      </c>
      <c r="C410" s="97">
        <v>9.9895418486596856</v>
      </c>
      <c r="D410" s="97">
        <v>117.60363305877918</v>
      </c>
      <c r="E410" s="97">
        <v>162.28830895505067</v>
      </c>
      <c r="F410" s="97">
        <v>274.07297924899461</v>
      </c>
      <c r="G410" s="97">
        <v>1251.0096147405923</v>
      </c>
      <c r="H410" s="97">
        <v>8461.4699962258765</v>
      </c>
      <c r="I410" s="97">
        <v>79</v>
      </c>
      <c r="J410" s="97">
        <v>45</v>
      </c>
      <c r="K410" s="97">
        <v>54.409704602366418</v>
      </c>
      <c r="L410" s="97">
        <v>640.54778806015054</v>
      </c>
      <c r="M410" s="97">
        <v>883.93032277517591</v>
      </c>
      <c r="N410" s="97">
        <v>1394.8030702280084</v>
      </c>
      <c r="O410" s="97">
        <v>20278.865854945001</v>
      </c>
      <c r="P410" s="97">
        <v>75887.653619504941</v>
      </c>
      <c r="Q410" s="97">
        <v>5687.5433208353752</v>
      </c>
      <c r="R410" s="97">
        <v>104827.75368095102</v>
      </c>
      <c r="S410" s="97">
        <v>88957133.861243233</v>
      </c>
      <c r="T410" s="97">
        <v>45165858.802333027</v>
      </c>
      <c r="U410" s="45">
        <v>0</v>
      </c>
      <c r="V410">
        <v>0</v>
      </c>
      <c r="W410">
        <v>4.6933333333333332E-3</v>
      </c>
      <c r="X410" s="97">
        <v>8461.4699962258765</v>
      </c>
      <c r="Y410" s="97">
        <v>4.1692296319986459</v>
      </c>
      <c r="Z410" s="97">
        <v>4232.5574219238133</v>
      </c>
      <c r="AA410" s="97">
        <v>49.13739466536363</v>
      </c>
      <c r="AB410" s="97">
        <v>3.141879776839053</v>
      </c>
      <c r="AC410" s="97">
        <v>228.79524222806575</v>
      </c>
      <c r="AD410" s="97">
        <v>71.45603770130505</v>
      </c>
      <c r="AE410" s="97">
        <v>2747.2196645783633</v>
      </c>
      <c r="AF410" s="97">
        <v>5009.9650431546734</v>
      </c>
      <c r="AG410" s="97">
        <v>2825.6822043985153</v>
      </c>
      <c r="AH410" s="97">
        <v>121499.889430389</v>
      </c>
      <c r="AI410" s="97">
        <v>2346.9537619667062</v>
      </c>
      <c r="AJ410" s="97">
        <v>205406.28114957115</v>
      </c>
      <c r="AK410" s="97">
        <v>209972.25736690662</v>
      </c>
      <c r="AL410" s="97">
        <v>4565.9762173354047</v>
      </c>
      <c r="AM410" s="97">
        <v>123846.84319235571</v>
      </c>
    </row>
    <row r="411" spans="1:39" x14ac:dyDescent="0.25">
      <c r="A411" s="97">
        <v>409</v>
      </c>
      <c r="B411" s="97">
        <v>5.0808333333333339E-3</v>
      </c>
      <c r="C411" s="97">
        <v>9.8357385469797922</v>
      </c>
      <c r="D411" s="97">
        <v>116.24179823111099</v>
      </c>
      <c r="E411" s="97">
        <v>160.61146153957205</v>
      </c>
      <c r="F411" s="97">
        <v>271.59846490674204</v>
      </c>
      <c r="G411" s="97">
        <v>1241.8458025485279</v>
      </c>
      <c r="H411" s="97">
        <v>8464.2716374782976</v>
      </c>
      <c r="I411" s="97">
        <v>79</v>
      </c>
      <c r="J411" s="97">
        <v>45</v>
      </c>
      <c r="K411" s="97">
        <v>53.571989285883262</v>
      </c>
      <c r="L411" s="97">
        <v>633.13032769878453</v>
      </c>
      <c r="M411" s="97">
        <v>874.79709385220235</v>
      </c>
      <c r="N411" s="97">
        <v>1382.209854321228</v>
      </c>
      <c r="O411" s="97">
        <v>20130.320459311639</v>
      </c>
      <c r="P411" s="97">
        <v>75350.456537040809</v>
      </c>
      <c r="Q411" s="97">
        <v>5647.1071516553111</v>
      </c>
      <c r="R411" s="97">
        <v>104071.59341316586</v>
      </c>
      <c r="S411" s="97">
        <v>89061205.454656392</v>
      </c>
      <c r="T411" s="97">
        <v>45184859.067015089</v>
      </c>
      <c r="U411" s="45">
        <v>0</v>
      </c>
      <c r="V411">
        <v>0</v>
      </c>
      <c r="W411">
        <v>5.0808333333333339E-3</v>
      </c>
      <c r="X411" s="97">
        <v>8464.2716374782976</v>
      </c>
      <c r="Y411" s="97">
        <v>4.1403210483288992</v>
      </c>
      <c r="Z411" s="97">
        <v>4236.6977429721419</v>
      </c>
      <c r="AA411" s="97">
        <v>48.803406832450364</v>
      </c>
      <c r="AB411" s="97">
        <v>3.1213642205174188</v>
      </c>
      <c r="AC411" s="97">
        <v>227.16178747263234</v>
      </c>
      <c r="AD411" s="97">
        <v>70.948013715124205</v>
      </c>
      <c r="AE411" s="97">
        <v>2750.314907440556</v>
      </c>
      <c r="AF411" s="97">
        <v>5016.2746061986209</v>
      </c>
      <c r="AG411" s="97">
        <v>2836.6789200082389</v>
      </c>
      <c r="AH411" s="97">
        <v>121499.889430389</v>
      </c>
      <c r="AI411" s="97">
        <v>2346.9537619667062</v>
      </c>
      <c r="AJ411" s="97">
        <v>205406.28114957115</v>
      </c>
      <c r="AK411" s="97">
        <v>209972.25736690662</v>
      </c>
      <c r="AL411" s="97">
        <v>4565.9762173354047</v>
      </c>
      <c r="AM411" s="97">
        <v>123846.84319235571</v>
      </c>
    </row>
    <row r="412" spans="1:39" x14ac:dyDescent="0.25">
      <c r="A412" s="97">
        <v>410</v>
      </c>
      <c r="B412" s="97">
        <v>5.0808333333333339E-3</v>
      </c>
      <c r="C412" s="97">
        <v>9.6843032673739842</v>
      </c>
      <c r="D412" s="97">
        <v>114.89533998479456</v>
      </c>
      <c r="E412" s="97">
        <v>158.95085828703378</v>
      </c>
      <c r="F412" s="97">
        <v>269.14404997291115</v>
      </c>
      <c r="G412" s="97">
        <v>1232.7443438051209</v>
      </c>
      <c r="H412" s="97">
        <v>8467.0479836378563</v>
      </c>
      <c r="I412" s="97">
        <v>79</v>
      </c>
      <c r="J412" s="97">
        <v>45</v>
      </c>
      <c r="K412" s="97">
        <v>52.747171796296961</v>
      </c>
      <c r="L412" s="97">
        <v>625.7966184505143</v>
      </c>
      <c r="M412" s="97">
        <v>865.75234147004392</v>
      </c>
      <c r="N412" s="97">
        <v>1369.718927653807</v>
      </c>
      <c r="O412" s="97">
        <v>19982.785813081013</v>
      </c>
      <c r="P412" s="97">
        <v>74816.758236682697</v>
      </c>
      <c r="Q412" s="97">
        <v>5606.9372482523531</v>
      </c>
      <c r="R412" s="97">
        <v>103320.49635738673</v>
      </c>
      <c r="S412" s="97">
        <v>89164525.951013774</v>
      </c>
      <c r="T412" s="97">
        <v>45203643.934249125</v>
      </c>
      <c r="U412" s="45">
        <v>0</v>
      </c>
      <c r="V412">
        <v>0</v>
      </c>
      <c r="W412">
        <v>5.0808333333333339E-3</v>
      </c>
      <c r="X412" s="97">
        <v>8467.0479836378563</v>
      </c>
      <c r="Y412" s="97">
        <v>4.1099926447301751</v>
      </c>
      <c r="Z412" s="97">
        <v>4240.8077356168724</v>
      </c>
      <c r="AA412" s="97">
        <v>48.469798495561363</v>
      </c>
      <c r="AB412" s="97">
        <v>3.0998523122237267</v>
      </c>
      <c r="AC412" s="97">
        <v>225.54076723887405</v>
      </c>
      <c r="AD412" s="97">
        <v>70.443334986523695</v>
      </c>
      <c r="AE412" s="97">
        <v>2753.3878777672571</v>
      </c>
      <c r="AF412" s="97">
        <v>5022.5394986613028</v>
      </c>
      <c r="AG412" s="97">
        <v>2847.5877053005029</v>
      </c>
      <c r="AH412" s="97">
        <v>121499.889430389</v>
      </c>
      <c r="AI412" s="97">
        <v>2346.9537619667062</v>
      </c>
      <c r="AJ412" s="97">
        <v>205406.28114957115</v>
      </c>
      <c r="AK412" s="97">
        <v>209972.25736690662</v>
      </c>
      <c r="AL412" s="97">
        <v>4565.9762173354047</v>
      </c>
      <c r="AM412" s="97">
        <v>123846.84319235571</v>
      </c>
    </row>
    <row r="413" spans="1:39" x14ac:dyDescent="0.25">
      <c r="A413" s="97">
        <v>411</v>
      </c>
      <c r="B413" s="97">
        <v>5.0808333333333339E-3</v>
      </c>
      <c r="C413" s="97">
        <v>9.5351995507514484</v>
      </c>
      <c r="D413" s="97">
        <v>113.56409121511861</v>
      </c>
      <c r="E413" s="97">
        <v>157.30635794291493</v>
      </c>
      <c r="F413" s="97">
        <v>266.70959899173823</v>
      </c>
      <c r="G413" s="97">
        <v>1223.7048475833249</v>
      </c>
      <c r="H413" s="97">
        <v>8469.7992401656393</v>
      </c>
      <c r="I413" s="97">
        <v>79</v>
      </c>
      <c r="J413" s="97">
        <v>45</v>
      </c>
      <c r="K413" s="97">
        <v>51.935053553092885</v>
      </c>
      <c r="L413" s="97">
        <v>618.54575015167927</v>
      </c>
      <c r="M413" s="97">
        <v>856.79529626240992</v>
      </c>
      <c r="N413" s="97">
        <v>1357.3296008687878</v>
      </c>
      <c r="O413" s="97">
        <v>19836.255579325698</v>
      </c>
      <c r="P413" s="97">
        <v>74286.541653474225</v>
      </c>
      <c r="Q413" s="97">
        <v>5567.0319794791958</v>
      </c>
      <c r="R413" s="97">
        <v>102574.4349131151</v>
      </c>
      <c r="S413" s="97">
        <v>89267100.385926887</v>
      </c>
      <c r="T413" s="97">
        <v>45222215.776165731</v>
      </c>
      <c r="U413" s="45">
        <v>0</v>
      </c>
      <c r="V413">
        <v>0</v>
      </c>
      <c r="W413">
        <v>5.0808333333333339E-3</v>
      </c>
      <c r="X413" s="97">
        <v>8469.7992401656393</v>
      </c>
      <c r="Y413" s="97">
        <v>4.0798706050897051</v>
      </c>
      <c r="Z413" s="97">
        <v>4244.8876062219624</v>
      </c>
      <c r="AA413" s="97">
        <v>48.136629074038382</v>
      </c>
      <c r="AB413" s="97">
        <v>3.0784768995367124</v>
      </c>
      <c r="AC413" s="97">
        <v>223.93205960837182</v>
      </c>
      <c r="AD413" s="97">
        <v>69.941981022415931</v>
      </c>
      <c r="AE413" s="97">
        <v>2756.4387237544934</v>
      </c>
      <c r="AF413" s="97">
        <v>5028.7600010129518</v>
      </c>
      <c r="AG413" s="97">
        <v>2858.4092339983736</v>
      </c>
      <c r="AH413" s="97">
        <v>121499.889430389</v>
      </c>
      <c r="AI413" s="97">
        <v>2346.9537619667062</v>
      </c>
      <c r="AJ413" s="97">
        <v>205406.28114957115</v>
      </c>
      <c r="AK413" s="97">
        <v>209972.25736690662</v>
      </c>
      <c r="AL413" s="97">
        <v>4565.9762173354047</v>
      </c>
      <c r="AM413" s="97">
        <v>123846.84319235571</v>
      </c>
    </row>
    <row r="414" spans="1:39" x14ac:dyDescent="0.25">
      <c r="A414" s="97">
        <v>412</v>
      </c>
      <c r="B414" s="97">
        <v>5.0808333333333339E-3</v>
      </c>
      <c r="C414" s="97">
        <v>9.3883914993612851</v>
      </c>
      <c r="D414" s="97">
        <v>112.24788652274795</v>
      </c>
      <c r="E414" s="97">
        <v>155.67782023470991</v>
      </c>
      <c r="F414" s="97">
        <v>264.29497708358281</v>
      </c>
      <c r="G414" s="97">
        <v>1214.7269253105064</v>
      </c>
      <c r="H414" s="97">
        <v>8472.5256111380695</v>
      </c>
      <c r="I414" s="97">
        <v>79</v>
      </c>
      <c r="J414" s="97">
        <v>45</v>
      </c>
      <c r="K414" s="97">
        <v>51.135439033187794</v>
      </c>
      <c r="L414" s="97">
        <v>611.37682192723378</v>
      </c>
      <c r="M414" s="97">
        <v>847.92519421171994</v>
      </c>
      <c r="N414" s="97">
        <v>1345.0411875412001</v>
      </c>
      <c r="O414" s="97">
        <v>19690.723459283312</v>
      </c>
      <c r="P414" s="97">
        <v>73759.789614293943</v>
      </c>
      <c r="Q414" s="97">
        <v>5527.3897307962552</v>
      </c>
      <c r="R414" s="97">
        <v>101833.38144708685</v>
      </c>
      <c r="S414" s="97">
        <v>89368933.767373979</v>
      </c>
      <c r="T414" s="97">
        <v>45240576.940152764</v>
      </c>
      <c r="U414" s="45">
        <v>0</v>
      </c>
      <c r="V414">
        <v>0</v>
      </c>
      <c r="W414">
        <v>5.0808333333333339E-3</v>
      </c>
      <c r="X414" s="97">
        <v>8472.5256111380695</v>
      </c>
      <c r="Y414" s="97">
        <v>4.0499536356017032</v>
      </c>
      <c r="Z414" s="97">
        <v>4248.9375598575643</v>
      </c>
      <c r="AA414" s="97">
        <v>47.803955849798371</v>
      </c>
      <c r="AB414" s="97">
        <v>3.0572371900285025</v>
      </c>
      <c r="AC414" s="97">
        <v>222.33554440398527</v>
      </c>
      <c r="AD414" s="97">
        <v>69.443931538366172</v>
      </c>
      <c r="AE414" s="97">
        <v>2759.4675927735534</v>
      </c>
      <c r="AF414" s="97">
        <v>5034.9363925801208</v>
      </c>
      <c r="AG414" s="97">
        <v>2869.1441749768205</v>
      </c>
      <c r="AH414" s="97">
        <v>121499.889430389</v>
      </c>
      <c r="AI414" s="97">
        <v>2346.9537619667062</v>
      </c>
      <c r="AJ414" s="97">
        <v>205406.28114957115</v>
      </c>
      <c r="AK414" s="97">
        <v>209972.25736690662</v>
      </c>
      <c r="AL414" s="97">
        <v>4565.9762173354047</v>
      </c>
      <c r="AM414" s="97">
        <v>123846.84319235571</v>
      </c>
    </row>
    <row r="415" spans="1:39" x14ac:dyDescent="0.25">
      <c r="A415" s="97">
        <v>413</v>
      </c>
      <c r="B415" s="97">
        <v>5.0808333333333339E-3</v>
      </c>
      <c r="C415" s="97">
        <v>9.2438437681498726</v>
      </c>
      <c r="D415" s="97">
        <v>110.94656219827172</v>
      </c>
      <c r="E415" s="97">
        <v>154.06510586911099</v>
      </c>
      <c r="F415" s="97">
        <v>261.9000499465169</v>
      </c>
      <c r="G415" s="97">
        <v>1205.8101907518164</v>
      </c>
      <c r="H415" s="97">
        <v>8475.227299252796</v>
      </c>
      <c r="I415" s="97">
        <v>79</v>
      </c>
      <c r="J415" s="97">
        <v>45</v>
      </c>
      <c r="K415" s="97">
        <v>50.348135723856302</v>
      </c>
      <c r="L415" s="97">
        <v>604.28894210658655</v>
      </c>
      <c r="M415" s="97">
        <v>839.1412766337578</v>
      </c>
      <c r="N415" s="97">
        <v>1332.8530041861488</v>
      </c>
      <c r="O415" s="97">
        <v>19546.183192086944</v>
      </c>
      <c r="P415" s="97">
        <v>73236.484846171283</v>
      </c>
      <c r="Q415" s="97">
        <v>5488.0089034697548</v>
      </c>
      <c r="R415" s="97">
        <v>101097.30830037832</v>
      </c>
      <c r="S415" s="97">
        <v>89470031.075674355</v>
      </c>
      <c r="T415" s="97">
        <v>45258729.749072291</v>
      </c>
      <c r="U415" s="45">
        <v>0</v>
      </c>
      <c r="V415">
        <v>0</v>
      </c>
      <c r="W415">
        <v>5.0808333333333339E-3</v>
      </c>
      <c r="X415" s="97">
        <v>8475.227299252796</v>
      </c>
      <c r="Y415" s="97">
        <v>4.0202404502525093</v>
      </c>
      <c r="Z415" s="97">
        <v>4252.9578003078168</v>
      </c>
      <c r="AA415" s="97">
        <v>47.471834029464446</v>
      </c>
      <c r="AB415" s="97">
        <v>3.0361323957840667</v>
      </c>
      <c r="AC415" s="97">
        <v>220.75110315817835</v>
      </c>
      <c r="AD415" s="97">
        <v>68.949166448517559</v>
      </c>
      <c r="AE415" s="97">
        <v>2762.4746313714336</v>
      </c>
      <c r="AF415" s="97">
        <v>5041.0689515368149</v>
      </c>
      <c r="AG415" s="97">
        <v>2879.7931922931584</v>
      </c>
      <c r="AH415" s="97">
        <v>121499.889430389</v>
      </c>
      <c r="AI415" s="97">
        <v>2346.9537619667062</v>
      </c>
      <c r="AJ415" s="97">
        <v>205406.28114957115</v>
      </c>
      <c r="AK415" s="97">
        <v>209972.25736690662</v>
      </c>
      <c r="AL415" s="97">
        <v>4565.9762173354047</v>
      </c>
      <c r="AM415" s="97">
        <v>123846.84319235571</v>
      </c>
    </row>
    <row r="416" spans="1:39" x14ac:dyDescent="0.25">
      <c r="A416" s="97">
        <v>414</v>
      </c>
      <c r="B416" s="97">
        <v>5.0808333333333339E-3</v>
      </c>
      <c r="C416" s="97">
        <v>9.1015215562513045</v>
      </c>
      <c r="D416" s="97">
        <v>109.6599562068549</v>
      </c>
      <c r="E416" s="97">
        <v>152.46807652912096</v>
      </c>
      <c r="F416" s="97">
        <v>259.52468385786011</v>
      </c>
      <c r="G416" s="97">
        <v>1196.9542599937345</v>
      </c>
      <c r="H416" s="97">
        <v>8477.9045058346037</v>
      </c>
      <c r="I416" s="97">
        <v>79</v>
      </c>
      <c r="J416" s="97">
        <v>45</v>
      </c>
      <c r="K416" s="97">
        <v>49.572954076382103</v>
      </c>
      <c r="L416" s="97">
        <v>597.28122814000301</v>
      </c>
      <c r="M416" s="97">
        <v>830.44279016194548</v>
      </c>
      <c r="N416" s="97">
        <v>1320.7643702666264</v>
      </c>
      <c r="O416" s="97">
        <v>19402.628554498438</v>
      </c>
      <c r="P416" s="97">
        <v>72716.60998430023</v>
      </c>
      <c r="Q416" s="97">
        <v>5448.8879138228722</v>
      </c>
      <c r="R416" s="97">
        <v>100366.18779526649</v>
      </c>
      <c r="S416" s="97">
        <v>89570397.263469622</v>
      </c>
      <c r="T416" s="97">
        <v>45276676.501477093</v>
      </c>
      <c r="U416" s="45">
        <v>0</v>
      </c>
      <c r="V416">
        <v>0</v>
      </c>
      <c r="W416">
        <v>5.0808333333333339E-3</v>
      </c>
      <c r="X416" s="97">
        <v>8477.9045058346037</v>
      </c>
      <c r="Y416" s="97">
        <v>3.9907297707655562</v>
      </c>
      <c r="Z416" s="97">
        <v>4256.9485300785827</v>
      </c>
      <c r="AA416" s="97">
        <v>47.140316804764275</v>
      </c>
      <c r="AB416" s="97">
        <v>3.0151617333680152</v>
      </c>
      <c r="AC416" s="97">
        <v>219.17861908197006</v>
      </c>
      <c r="AD416" s="97">
        <v>68.457665856182828</v>
      </c>
      <c r="AE416" s="97">
        <v>2765.4599852714437</v>
      </c>
      <c r="AF416" s="97">
        <v>5047.157954895878</v>
      </c>
      <c r="AG416" s="97">
        <v>2890.356945217382</v>
      </c>
      <c r="AH416" s="97">
        <v>121499.889430389</v>
      </c>
      <c r="AI416" s="97">
        <v>2346.9537619667062</v>
      </c>
      <c r="AJ416" s="97">
        <v>205406.28114957115</v>
      </c>
      <c r="AK416" s="97">
        <v>209972.25736690662</v>
      </c>
      <c r="AL416" s="97">
        <v>4565.9762173354047</v>
      </c>
      <c r="AM416" s="97">
        <v>123846.84319235571</v>
      </c>
    </row>
    <row r="417" spans="1:39" x14ac:dyDescent="0.25">
      <c r="A417" s="97">
        <v>415</v>
      </c>
      <c r="B417" s="97">
        <v>5.0808333333333339E-3</v>
      </c>
      <c r="C417" s="97">
        <v>8.9613905986088369</v>
      </c>
      <c r="D417" s="97">
        <v>108.38790817299326</v>
      </c>
      <c r="E417" s="97">
        <v>150.88659487109794</v>
      </c>
      <c r="F417" s="97">
        <v>257.16874567566043</v>
      </c>
      <c r="G417" s="97">
        <v>1188.1587514277876</v>
      </c>
      <c r="H417" s="97">
        <v>8480.5574308413288</v>
      </c>
      <c r="I417" s="97">
        <v>79</v>
      </c>
      <c r="J417" s="97">
        <v>45</v>
      </c>
      <c r="K417" s="97">
        <v>48.809707460422793</v>
      </c>
      <c r="L417" s="97">
        <v>590.35280651556991</v>
      </c>
      <c r="M417" s="97">
        <v>821.82898673124669</v>
      </c>
      <c r="N417" s="97">
        <v>1308.7746082010485</v>
      </c>
      <c r="O417" s="97">
        <v>19260.053360644437</v>
      </c>
      <c r="P417" s="97">
        <v>72200.147579760043</v>
      </c>
      <c r="Q417" s="97">
        <v>5410.0251925367811</v>
      </c>
      <c r="R417" s="97">
        <v>99639.992241849555</v>
      </c>
      <c r="S417" s="97">
        <v>89670037.255711466</v>
      </c>
      <c r="T417" s="97">
        <v>45294419.47182671</v>
      </c>
      <c r="U417" s="45">
        <v>0</v>
      </c>
      <c r="V417">
        <v>0</v>
      </c>
      <c r="W417">
        <v>5.0808333333333339E-3</v>
      </c>
      <c r="X417" s="97">
        <v>8480.5574308413288</v>
      </c>
      <c r="Y417" s="97">
        <v>3.9614203265469095</v>
      </c>
      <c r="Z417" s="97">
        <v>4260.9099504051301</v>
      </c>
      <c r="AA417" s="97">
        <v>46.809455411243889</v>
      </c>
      <c r="AB417" s="97">
        <v>2.9943244237917641</v>
      </c>
      <c r="AC417" s="97">
        <v>217.61797703449747</v>
      </c>
      <c r="AD417" s="97">
        <v>67.969410045062901</v>
      </c>
      <c r="AE417" s="97">
        <v>2768.4237993739639</v>
      </c>
      <c r="AF417" s="97">
        <v>5053.2036785006567</v>
      </c>
      <c r="AG417" s="97">
        <v>2900.8360882623897</v>
      </c>
      <c r="AH417" s="97">
        <v>121499.889430389</v>
      </c>
      <c r="AI417" s="97">
        <v>2346.9537619667062</v>
      </c>
      <c r="AJ417" s="97">
        <v>205406.28114957115</v>
      </c>
      <c r="AK417" s="97">
        <v>209972.25736690662</v>
      </c>
      <c r="AL417" s="97">
        <v>4565.9762173354047</v>
      </c>
      <c r="AM417" s="97">
        <v>123846.84319235571</v>
      </c>
    </row>
    <row r="418" spans="1:39" x14ac:dyDescent="0.25">
      <c r="A418" s="97">
        <v>416</v>
      </c>
      <c r="B418" s="97">
        <v>5.0808333333333339E-3</v>
      </c>
      <c r="C418" s="97">
        <v>8.8234171577253466</v>
      </c>
      <c r="D418" s="97">
        <v>107.13025936537174</v>
      </c>
      <c r="E418" s="97">
        <v>149.32052452173397</v>
      </c>
      <c r="F418" s="97">
        <v>254.83210284012131</v>
      </c>
      <c r="G418" s="97">
        <v>1179.42328573444</v>
      </c>
      <c r="H418" s="97">
        <v>8483.1862728697997</v>
      </c>
      <c r="I418" s="97">
        <v>79</v>
      </c>
      <c r="J418" s="97">
        <v>45</v>
      </c>
      <c r="K418" s="97">
        <v>48.058212119077382</v>
      </c>
      <c r="L418" s="97">
        <v>583.50281267672472</v>
      </c>
      <c r="M418" s="97">
        <v>813.29912356171099</v>
      </c>
      <c r="N418" s="97">
        <v>1296.8830433705173</v>
      </c>
      <c r="O418" s="97">
        <v>19118.451461755274</v>
      </c>
      <c r="P418" s="97">
        <v>71687.080106952679</v>
      </c>
      <c r="Q418" s="97">
        <v>5371.4191839985942</v>
      </c>
      <c r="R418" s="97">
        <v>98918.693944434577</v>
      </c>
      <c r="S418" s="97">
        <v>89768955.949655905</v>
      </c>
      <c r="T418" s="97">
        <v>45311960.910702944</v>
      </c>
      <c r="U418" s="45">
        <v>0</v>
      </c>
      <c r="V418">
        <v>0</v>
      </c>
      <c r="W418">
        <v>5.0808333333333339E-3</v>
      </c>
      <c r="X418" s="97">
        <v>8483.1862728697997</v>
      </c>
      <c r="Y418" s="97">
        <v>3.9323108546313814</v>
      </c>
      <c r="Z418" s="97">
        <v>4264.8422612597615</v>
      </c>
      <c r="AA418" s="97">
        <v>46.479299185343386</v>
      </c>
      <c r="AB418" s="97">
        <v>2.9736196924810803</v>
      </c>
      <c r="AC418" s="97">
        <v>216.06906349317896</v>
      </c>
      <c r="AD418" s="97">
        <v>67.484379471054638</v>
      </c>
      <c r="AE418" s="97">
        <v>2771.3662177573501</v>
      </c>
      <c r="AF418" s="97">
        <v>5059.2063970169347</v>
      </c>
      <c r="AG418" s="97">
        <v>2911.2312712140942</v>
      </c>
      <c r="AH418" s="97">
        <v>121499.889430389</v>
      </c>
      <c r="AI418" s="97">
        <v>2346.9537619667062</v>
      </c>
      <c r="AJ418" s="97">
        <v>205406.28114957115</v>
      </c>
      <c r="AK418" s="97">
        <v>209972.25736690662</v>
      </c>
      <c r="AL418" s="97">
        <v>4565.9762173354047</v>
      </c>
      <c r="AM418" s="97">
        <v>123846.84319235571</v>
      </c>
    </row>
    <row r="419" spans="1:39" x14ac:dyDescent="0.25">
      <c r="A419" s="97">
        <v>417</v>
      </c>
      <c r="B419" s="97">
        <v>5.0808333333333339E-3</v>
      </c>
      <c r="C419" s="97">
        <v>8.6875680155407853</v>
      </c>
      <c r="D419" s="97">
        <v>105.88685268182637</v>
      </c>
      <c r="E419" s="97">
        <v>147.7697300749694</v>
      </c>
      <c r="F419" s="97">
        <v>252.51462337497475</v>
      </c>
      <c r="G419" s="97">
        <v>1170.747485867151</v>
      </c>
      <c r="H419" s="97">
        <v>8485.7912291617849</v>
      </c>
      <c r="I419" s="97">
        <v>79</v>
      </c>
      <c r="J419" s="97">
        <v>45</v>
      </c>
      <c r="K419" s="97">
        <v>47.318287124645472</v>
      </c>
      <c r="L419" s="97">
        <v>576.73039094034755</v>
      </c>
      <c r="M419" s="97">
        <v>804.85246314166659</v>
      </c>
      <c r="N419" s="97">
        <v>1285.089004125809</v>
      </c>
      <c r="O419" s="97">
        <v>18977.816745906519</v>
      </c>
      <c r="P419" s="97">
        <v>71177.389970765842</v>
      </c>
      <c r="Q419" s="97">
        <v>5333.0683456933484</v>
      </c>
      <c r="R419" s="97">
        <v>98202.265207698176</v>
      </c>
      <c r="S419" s="97">
        <v>89867158.214863598</v>
      </c>
      <c r="T419" s="97">
        <v>45329303.045024797</v>
      </c>
      <c r="U419" s="45">
        <v>0</v>
      </c>
      <c r="V419">
        <v>0</v>
      </c>
      <c r="W419">
        <v>5.0808333333333339E-3</v>
      </c>
      <c r="X419" s="97">
        <v>8485.7912291617849</v>
      </c>
      <c r="Y419" s="97">
        <v>3.9034000996292133</v>
      </c>
      <c r="Z419" s="97">
        <v>4268.7456613593904</v>
      </c>
      <c r="AA419" s="97">
        <v>46.149895619879906</v>
      </c>
      <c r="AB419" s="97">
        <v>2.953046769243993</v>
      </c>
      <c r="AC419" s="97">
        <v>214.53176652446535</v>
      </c>
      <c r="AD419" s="97">
        <v>67.002554754612078</v>
      </c>
      <c r="AE419" s="97">
        <v>2774.2873836789772</v>
      </c>
      <c r="AF419" s="97">
        <v>5065.1663839251551</v>
      </c>
      <c r="AG419" s="97">
        <v>2921.5431391614238</v>
      </c>
      <c r="AH419" s="97">
        <v>121499.889430389</v>
      </c>
      <c r="AI419" s="97">
        <v>2346.9537619667062</v>
      </c>
      <c r="AJ419" s="97">
        <v>205406.28114957115</v>
      </c>
      <c r="AK419" s="97">
        <v>209972.25736690662</v>
      </c>
      <c r="AL419" s="97">
        <v>4565.9762173354047</v>
      </c>
      <c r="AM419" s="97">
        <v>123846.84319235571</v>
      </c>
    </row>
    <row r="420" spans="1:39" x14ac:dyDescent="0.25">
      <c r="A420" s="97">
        <v>418</v>
      </c>
      <c r="B420" s="97">
        <v>5.0808333333333339E-3</v>
      </c>
      <c r="C420" s="97">
        <v>8.5538104654347116</v>
      </c>
      <c r="D420" s="97">
        <v>104.65753263440969</v>
      </c>
      <c r="E420" s="97">
        <v>146.23407708884466</v>
      </c>
      <c r="F420" s="97">
        <v>250.21617588880076</v>
      </c>
      <c r="G420" s="97">
        <v>1162.1309770365997</v>
      </c>
      <c r="H420" s="97">
        <v>8488.3724956099595</v>
      </c>
      <c r="I420" s="97">
        <v>79</v>
      </c>
      <c r="J420" s="97">
        <v>45</v>
      </c>
      <c r="K420" s="97">
        <v>46.589754335067724</v>
      </c>
      <c r="L420" s="97">
        <v>570.03469441541813</v>
      </c>
      <c r="M420" s="97">
        <v>796.48827321057388</v>
      </c>
      <c r="N420" s="97">
        <v>1273.3918217940884</v>
      </c>
      <c r="O420" s="97">
        <v>18838.143137763283</v>
      </c>
      <c r="P420" s="97">
        <v>70671.059513470565</v>
      </c>
      <c r="Q420" s="97">
        <v>5294.9711476374032</v>
      </c>
      <c r="R420" s="97">
        <v>97490.678342626401</v>
      </c>
      <c r="S420" s="97">
        <v>89964648.893206224</v>
      </c>
      <c r="T420" s="97">
        <v>45346448.078262717</v>
      </c>
      <c r="U420" s="45">
        <v>0</v>
      </c>
      <c r="V420">
        <v>0</v>
      </c>
      <c r="W420">
        <v>5.0808333333333339E-3</v>
      </c>
      <c r="X420" s="97">
        <v>8488.3724956099595</v>
      </c>
      <c r="Y420" s="97">
        <v>3.8746868136733141</v>
      </c>
      <c r="Z420" s="97">
        <v>4272.6203481730636</v>
      </c>
      <c r="AA420" s="97">
        <v>45.82129041798192</v>
      </c>
      <c r="AB420" s="97">
        <v>2.9326048882390698</v>
      </c>
      <c r="AC420" s="97">
        <v>213.00597575516724</v>
      </c>
      <c r="AD420" s="97">
        <v>66.523916673627781</v>
      </c>
      <c r="AE420" s="97">
        <v>2777.1874395764194</v>
      </c>
      <c r="AF420" s="97">
        <v>5071.0839115129238</v>
      </c>
      <c r="AG420" s="97">
        <v>2931.7723325262082</v>
      </c>
      <c r="AH420" s="97">
        <v>121499.889430389</v>
      </c>
      <c r="AI420" s="97">
        <v>2346.9537619667062</v>
      </c>
      <c r="AJ420" s="97">
        <v>205406.28114957115</v>
      </c>
      <c r="AK420" s="97">
        <v>209972.25736690662</v>
      </c>
      <c r="AL420" s="97">
        <v>4565.9762173354047</v>
      </c>
      <c r="AM420" s="97">
        <v>123846.84319235571</v>
      </c>
    </row>
    <row r="421" spans="1:39" x14ac:dyDescent="0.25">
      <c r="A421" s="97">
        <v>419</v>
      </c>
      <c r="B421" s="97">
        <v>5.0808333333333339E-3</v>
      </c>
      <c r="C421" s="97">
        <v>8.4221123043519377</v>
      </c>
      <c r="D421" s="97">
        <v>103.44214533455971</v>
      </c>
      <c r="E421" s="97">
        <v>144.71343208229123</v>
      </c>
      <c r="F421" s="97">
        <v>247.93662957629317</v>
      </c>
      <c r="G421" s="97">
        <v>1153.5733866950734</v>
      </c>
      <c r="H421" s="97">
        <v>8490.9302667638822</v>
      </c>
      <c r="I421" s="97">
        <v>79</v>
      </c>
      <c r="J421" s="97">
        <v>45</v>
      </c>
      <c r="K421" s="97">
        <v>45.872438351036884</v>
      </c>
      <c r="L421" s="97">
        <v>563.41488492223516</v>
      </c>
      <c r="M421" s="97">
        <v>788.20582674154616</v>
      </c>
      <c r="N421" s="97">
        <v>1261.7908306853519</v>
      </c>
      <c r="O421" s="97">
        <v>18699.424598327139</v>
      </c>
      <c r="P421" s="97">
        <v>70168.071021361553</v>
      </c>
      <c r="Q421" s="97">
        <v>5257.126071850681</v>
      </c>
      <c r="R421" s="97">
        <v>96783.905672239547</v>
      </c>
      <c r="S421" s="97">
        <v>90061432.798878461</v>
      </c>
      <c r="T421" s="97">
        <v>45363398.190652199</v>
      </c>
      <c r="U421" s="45">
        <v>0</v>
      </c>
      <c r="V421">
        <v>0</v>
      </c>
      <c r="W421">
        <v>5.0808333333333339E-3</v>
      </c>
      <c r="X421" s="97">
        <v>8490.9302667638822</v>
      </c>
      <c r="Y421" s="97">
        <v>3.8461697563670514</v>
      </c>
      <c r="Z421" s="97">
        <v>4276.4665179294307</v>
      </c>
      <c r="AA421" s="97">
        <v>45.493527545517665</v>
      </c>
      <c r="AB421" s="97">
        <v>2.9122932879440455</v>
      </c>
      <c r="AC421" s="97">
        <v>211.49158234434674</v>
      </c>
      <c r="AD421" s="97">
        <v>66.048446156802328</v>
      </c>
      <c r="AE421" s="97">
        <v>2780.0665270687582</v>
      </c>
      <c r="AF421" s="97">
        <v>5076.9592508678097</v>
      </c>
      <c r="AG421" s="97">
        <v>2941.9194870929527</v>
      </c>
      <c r="AH421" s="97">
        <v>121499.889430389</v>
      </c>
      <c r="AI421" s="97">
        <v>2346.9537619667062</v>
      </c>
      <c r="AJ421" s="97">
        <v>205406.28114957115</v>
      </c>
      <c r="AK421" s="97">
        <v>209972.25736690662</v>
      </c>
      <c r="AL421" s="97">
        <v>4565.9762173354047</v>
      </c>
      <c r="AM421" s="97">
        <v>123846.84319235571</v>
      </c>
    </row>
    <row r="422" spans="1:39" x14ac:dyDescent="0.25">
      <c r="A422" s="97">
        <v>420</v>
      </c>
      <c r="B422" s="97">
        <v>5.0808333333333339E-3</v>
      </c>
      <c r="C422" s="97">
        <v>8.2924418250494263</v>
      </c>
      <c r="D422" s="97">
        <v>102.24053847837239</v>
      </c>
      <c r="E422" s="97">
        <v>143.20766253186372</v>
      </c>
      <c r="F422" s="97">
        <v>245.67585421947211</v>
      </c>
      <c r="G422" s="97">
        <v>1145.0743445210196</v>
      </c>
      <c r="H422" s="97">
        <v>8493.4647358359907</v>
      </c>
      <c r="I422" s="97">
        <v>80</v>
      </c>
      <c r="J422" s="97">
        <v>45</v>
      </c>
      <c r="K422" s="97">
        <v>45.166166473769202</v>
      </c>
      <c r="L422" s="97">
        <v>556.8701329122016</v>
      </c>
      <c r="M422" s="97">
        <v>780.00440192355097</v>
      </c>
      <c r="N422" s="97">
        <v>1250.2853680985968</v>
      </c>
      <c r="O422" s="97">
        <v>18561.655124685727</v>
      </c>
      <c r="P422" s="97">
        <v>69668.406731149007</v>
      </c>
      <c r="Q422" s="97">
        <v>5219.5316118654</v>
      </c>
      <c r="R422" s="97">
        <v>96081.919537108246</v>
      </c>
      <c r="S422" s="97">
        <v>90157514.718415573</v>
      </c>
      <c r="T422" s="97">
        <v>45380155.539406605</v>
      </c>
      <c r="U422" s="45">
        <v>0</v>
      </c>
      <c r="V422">
        <v>0</v>
      </c>
      <c r="W422">
        <v>5.0808333333333339E-3</v>
      </c>
      <c r="X422" s="97">
        <v>8493.4647358359907</v>
      </c>
      <c r="Y422" s="97">
        <v>3.8178476947325812</v>
      </c>
      <c r="Z422" s="97">
        <v>4280.284365624163</v>
      </c>
      <c r="AA422" s="97">
        <v>45.186036199848104</v>
      </c>
      <c r="AB422" s="97">
        <v>2.8727242933360269</v>
      </c>
      <c r="AC422" s="97">
        <v>209.96909203797372</v>
      </c>
      <c r="AD422" s="97">
        <v>65.576124277472204</v>
      </c>
      <c r="AE422" s="97">
        <v>2782.9247869580145</v>
      </c>
      <c r="AF422" s="97">
        <v>5082.7926718704302</v>
      </c>
      <c r="AG422" s="97">
        <v>2951.9852340384973</v>
      </c>
      <c r="AH422" s="97">
        <v>121861.73840149106</v>
      </c>
      <c r="AI422" s="97">
        <v>2359.1942487945425</v>
      </c>
      <c r="AJ422" s="97">
        <v>207307.19970704397</v>
      </c>
      <c r="AK422" s="97">
        <v>211937.47946099768</v>
      </c>
      <c r="AL422" s="97">
        <v>4630.2797539536487</v>
      </c>
      <c r="AM422" s="97">
        <v>124220.93265028561</v>
      </c>
    </row>
    <row r="423" spans="1:39" x14ac:dyDescent="0.25">
      <c r="A423" s="97">
        <v>421</v>
      </c>
      <c r="B423" s="97">
        <v>5.5008333333333333E-3</v>
      </c>
      <c r="C423" s="97">
        <v>8.1612849828960314</v>
      </c>
      <c r="D423" s="97">
        <v>101.00962030581663</v>
      </c>
      <c r="E423" s="97">
        <v>141.65648965015086</v>
      </c>
      <c r="F423" s="97">
        <v>243.3305363300712</v>
      </c>
      <c r="G423" s="97">
        <v>1136.1525511790585</v>
      </c>
      <c r="H423" s="97">
        <v>8495.9760947075974</v>
      </c>
      <c r="I423" s="97">
        <v>80</v>
      </c>
      <c r="J423" s="97">
        <v>45</v>
      </c>
      <c r="K423" s="97">
        <v>44.451798873507052</v>
      </c>
      <c r="L423" s="97">
        <v>550.16573193234785</v>
      </c>
      <c r="M423" s="97">
        <v>771.5556802944883</v>
      </c>
      <c r="N423" s="97">
        <v>1238.3496544731206</v>
      </c>
      <c r="O423" s="97">
        <v>18417.032854612538</v>
      </c>
      <c r="P423" s="97">
        <v>69142.75236416547</v>
      </c>
      <c r="Q423" s="97">
        <v>5179.9940689920504</v>
      </c>
      <c r="R423" s="97">
        <v>95344.302153343524</v>
      </c>
      <c r="S423" s="97">
        <v>90252859.020568922</v>
      </c>
      <c r="T423" s="97">
        <v>45396715.243838765</v>
      </c>
      <c r="U423" s="45">
        <v>0</v>
      </c>
      <c r="V423">
        <v>0</v>
      </c>
      <c r="W423">
        <v>5.5008333333333333E-3</v>
      </c>
      <c r="X423" s="97">
        <v>8495.9760947075974</v>
      </c>
      <c r="Y423" s="97">
        <v>3.7897194031597254</v>
      </c>
      <c r="Z423" s="97">
        <v>4284.0740850273223</v>
      </c>
      <c r="AA423" s="97">
        <v>44.859823748210452</v>
      </c>
      <c r="AB423" s="97">
        <v>2.8528054119300617</v>
      </c>
      <c r="AC423" s="97">
        <v>208.370136200145</v>
      </c>
      <c r="AD423" s="97">
        <v>65.079390275671216</v>
      </c>
      <c r="AE423" s="97">
        <v>2785.7623592307009</v>
      </c>
      <c r="AF423" s="97">
        <v>5088.5845740869026</v>
      </c>
      <c r="AG423" s="97">
        <v>2962.7955932410769</v>
      </c>
      <c r="AH423" s="97">
        <v>121861.73840149106</v>
      </c>
      <c r="AI423" s="97">
        <v>2359.1942487945425</v>
      </c>
      <c r="AJ423" s="97">
        <v>207307.19970704397</v>
      </c>
      <c r="AK423" s="97">
        <v>211937.47946099768</v>
      </c>
      <c r="AL423" s="97">
        <v>4630.2797539536487</v>
      </c>
      <c r="AM423" s="97">
        <v>124220.93265028561</v>
      </c>
    </row>
    <row r="424" spans="1:39" x14ac:dyDescent="0.25">
      <c r="A424" s="97">
        <v>422</v>
      </c>
      <c r="B424" s="97">
        <v>5.5008333333333333E-3</v>
      </c>
      <c r="C424" s="97">
        <v>8.032202574016523</v>
      </c>
      <c r="D424" s="97">
        <v>99.793198600730378</v>
      </c>
      <c r="E424" s="97">
        <v>140.12120776057358</v>
      </c>
      <c r="F424" s="97">
        <v>241.00565745676673</v>
      </c>
      <c r="G424" s="97">
        <v>1127.2958642942408</v>
      </c>
      <c r="H424" s="97">
        <v>8498.4634791641893</v>
      </c>
      <c r="I424" s="97">
        <v>80</v>
      </c>
      <c r="J424" s="97">
        <v>45</v>
      </c>
      <c r="K424" s="97">
        <v>43.74873001980999</v>
      </c>
      <c r="L424" s="97">
        <v>543.54028837864473</v>
      </c>
      <c r="M424" s="97">
        <v>763.19351160259077</v>
      </c>
      <c r="N424" s="97">
        <v>1226.517958407062</v>
      </c>
      <c r="O424" s="97">
        <v>18273.465960209644</v>
      </c>
      <c r="P424" s="97">
        <v>68620.782041845974</v>
      </c>
      <c r="Q424" s="97">
        <v>5140.7363915713295</v>
      </c>
      <c r="R424" s="97">
        <v>94611.98488203506</v>
      </c>
      <c r="S424" s="97">
        <v>90347471.005450964</v>
      </c>
      <c r="T424" s="97">
        <v>45413079.572354518</v>
      </c>
      <c r="U424" s="45">
        <v>0</v>
      </c>
      <c r="V424">
        <v>0</v>
      </c>
      <c r="W424">
        <v>5.5008333333333333E-3</v>
      </c>
      <c r="X424" s="97">
        <v>8498.4634791641893</v>
      </c>
      <c r="Y424" s="97">
        <v>3.7601919812060403</v>
      </c>
      <c r="Z424" s="97">
        <v>4287.8342770085283</v>
      </c>
      <c r="AA424" s="97">
        <v>44.534099968452239</v>
      </c>
      <c r="AB424" s="97">
        <v>2.8319082319984323</v>
      </c>
      <c r="AC424" s="97">
        <v>206.78418421786483</v>
      </c>
      <c r="AD424" s="97">
        <v>64.586172392378032</v>
      </c>
      <c r="AE424" s="97">
        <v>2788.5781905131958</v>
      </c>
      <c r="AF424" s="97">
        <v>5094.3327865643423</v>
      </c>
      <c r="AG424" s="97">
        <v>2973.5146261706336</v>
      </c>
      <c r="AH424" s="97">
        <v>121861.73840149106</v>
      </c>
      <c r="AI424" s="97">
        <v>2359.1942487945425</v>
      </c>
      <c r="AJ424" s="97">
        <v>207307.19970704397</v>
      </c>
      <c r="AK424" s="97">
        <v>211937.47946099768</v>
      </c>
      <c r="AL424" s="97">
        <v>4630.2797539536487</v>
      </c>
      <c r="AM424" s="97">
        <v>124220.93265028561</v>
      </c>
    </row>
    <row r="425" spans="1:39" x14ac:dyDescent="0.25">
      <c r="A425" s="97">
        <v>423</v>
      </c>
      <c r="B425" s="97">
        <v>5.5008333333333333E-3</v>
      </c>
      <c r="C425" s="97">
        <v>7.9051617882781082</v>
      </c>
      <c r="D425" s="97">
        <v>98.591108104130697</v>
      </c>
      <c r="E425" s="97">
        <v>138.60166798000225</v>
      </c>
      <c r="F425" s="97">
        <v>238.70106462008229</v>
      </c>
      <c r="G425" s="97">
        <v>1118.5038427348331</v>
      </c>
      <c r="H425" s="97">
        <v>8500.9270981384052</v>
      </c>
      <c r="I425" s="97">
        <v>80</v>
      </c>
      <c r="J425" s="97">
        <v>45</v>
      </c>
      <c r="K425" s="97">
        <v>43.056781206821427</v>
      </c>
      <c r="L425" s="97">
        <v>536.99290214049847</v>
      </c>
      <c r="M425" s="97">
        <v>754.91708493107888</v>
      </c>
      <c r="N425" s="97">
        <v>1214.7895013623688</v>
      </c>
      <c r="O425" s="97">
        <v>18130.947290731645</v>
      </c>
      <c r="P425" s="97">
        <v>68102.4755883217</v>
      </c>
      <c r="Q425" s="97">
        <v>5101.7567184404243</v>
      </c>
      <c r="R425" s="97">
        <v>93884.93586713454</v>
      </c>
      <c r="S425" s="97">
        <v>90441355.941318095</v>
      </c>
      <c r="T425" s="97">
        <v>45429250.768646806</v>
      </c>
      <c r="U425" s="45">
        <v>0</v>
      </c>
      <c r="V425">
        <v>0</v>
      </c>
      <c r="W425">
        <v>5.5008333333333333E-3</v>
      </c>
      <c r="X425" s="97">
        <v>8500.9270981384052</v>
      </c>
      <c r="Y425" s="97">
        <v>3.7308800345226625</v>
      </c>
      <c r="Z425" s="97">
        <v>4291.5651570430509</v>
      </c>
      <c r="AA425" s="97">
        <v>44.208924484595293</v>
      </c>
      <c r="AB425" s="97">
        <v>2.8111532430249593</v>
      </c>
      <c r="AC425" s="97">
        <v>205.21110257455905</v>
      </c>
      <c r="AD425" s="97">
        <v>64.096447244681499</v>
      </c>
      <c r="AE425" s="97">
        <v>2791.3724362043649</v>
      </c>
      <c r="AF425" s="97">
        <v>5100.0376049410897</v>
      </c>
      <c r="AG425" s="97">
        <v>2984.1430755277474</v>
      </c>
      <c r="AH425" s="97">
        <v>121861.73840149106</v>
      </c>
      <c r="AI425" s="97">
        <v>2359.1942487945425</v>
      </c>
      <c r="AJ425" s="97">
        <v>207307.19970704397</v>
      </c>
      <c r="AK425" s="97">
        <v>211937.47946099768</v>
      </c>
      <c r="AL425" s="97">
        <v>4630.2797539536487</v>
      </c>
      <c r="AM425" s="97">
        <v>124220.93265028561</v>
      </c>
    </row>
    <row r="426" spans="1:39" x14ac:dyDescent="0.25">
      <c r="A426" s="97">
        <v>424</v>
      </c>
      <c r="B426" s="97">
        <v>5.5008333333333333E-3</v>
      </c>
      <c r="C426" s="97">
        <v>7.780130334487227</v>
      </c>
      <c r="D426" s="97">
        <v>97.403185346470124</v>
      </c>
      <c r="E426" s="97">
        <v>137.09772260306053</v>
      </c>
      <c r="F426" s="97">
        <v>236.41660566824828</v>
      </c>
      <c r="G426" s="97">
        <v>1109.7760482098486</v>
      </c>
      <c r="H426" s="97">
        <v>8503.3671589990881</v>
      </c>
      <c r="I426" s="97">
        <v>80</v>
      </c>
      <c r="J426" s="97">
        <v>45</v>
      </c>
      <c r="K426" s="97">
        <v>42.375776555173758</v>
      </c>
      <c r="L426" s="97">
        <v>530.52268285377386</v>
      </c>
      <c r="M426" s="97">
        <v>746.72559577800303</v>
      </c>
      <c r="N426" s="97">
        <v>1203.1635090133268</v>
      </c>
      <c r="O426" s="97">
        <v>17989.469741481647</v>
      </c>
      <c r="P426" s="97">
        <v>67587.812746938318</v>
      </c>
      <c r="Q426" s="97">
        <v>5063.0532074261591</v>
      </c>
      <c r="R426" s="97">
        <v>93163.123260046399</v>
      </c>
      <c r="S426" s="97">
        <v>90534519.064578146</v>
      </c>
      <c r="T426" s="97">
        <v>45445231.051924303</v>
      </c>
      <c r="U426" s="45">
        <v>0</v>
      </c>
      <c r="V426">
        <v>0</v>
      </c>
      <c r="W426">
        <v>5.5008333333333333E-3</v>
      </c>
      <c r="X426" s="97">
        <v>8503.3671589990881</v>
      </c>
      <c r="Y426" s="97">
        <v>3.7017821031471909</v>
      </c>
      <c r="Z426" s="97">
        <v>4295.2669391461977</v>
      </c>
      <c r="AA426" s="97">
        <v>43.884354685445437</v>
      </c>
      <c r="AB426" s="97">
        <v>2.7905395535386415</v>
      </c>
      <c r="AC426" s="97">
        <v>203.65075969299872</v>
      </c>
      <c r="AD426" s="97">
        <v>63.610191688248754</v>
      </c>
      <c r="AE426" s="97">
        <v>2794.145250752716</v>
      </c>
      <c r="AF426" s="97">
        <v>5105.6993234699239</v>
      </c>
      <c r="AG426" s="97">
        <v>2994.6816783012682</v>
      </c>
      <c r="AH426" s="97">
        <v>121861.73840149106</v>
      </c>
      <c r="AI426" s="97">
        <v>2359.1942487945425</v>
      </c>
      <c r="AJ426" s="97">
        <v>207307.19970704397</v>
      </c>
      <c r="AK426" s="97">
        <v>211937.47946099768</v>
      </c>
      <c r="AL426" s="97">
        <v>4630.2797539536487</v>
      </c>
      <c r="AM426" s="97">
        <v>124220.93265028561</v>
      </c>
    </row>
    <row r="427" spans="1:39" x14ac:dyDescent="0.25">
      <c r="A427" s="97">
        <v>425</v>
      </c>
      <c r="B427" s="97">
        <v>5.5008333333333333E-3</v>
      </c>
      <c r="C427" s="97">
        <v>7.6570764321817864</v>
      </c>
      <c r="D427" s="97">
        <v>96.229268629948891</v>
      </c>
      <c r="E427" s="97">
        <v>135.60922509636455</v>
      </c>
      <c r="F427" s="97">
        <v>234.15212927666755</v>
      </c>
      <c r="G427" s="97">
        <v>1101.1120452491441</v>
      </c>
      <c r="H427" s="97">
        <v>8505.7838675597504</v>
      </c>
      <c r="I427" s="97">
        <v>80</v>
      </c>
      <c r="J427" s="97">
        <v>45</v>
      </c>
      <c r="K427" s="97">
        <v>41.705542967283463</v>
      </c>
      <c r="L427" s="97">
        <v>524.12874980445497</v>
      </c>
      <c r="M427" s="97">
        <v>738.61824602486558</v>
      </c>
      <c r="N427" s="97">
        <v>1191.6392112438405</v>
      </c>
      <c r="O427" s="97">
        <v>17849.026253488628</v>
      </c>
      <c r="P427" s="97">
        <v>67076.773188656603</v>
      </c>
      <c r="Q427" s="97">
        <v>5024.6240345071537</v>
      </c>
      <c r="R427" s="97">
        <v>92446.515226692834</v>
      </c>
      <c r="S427" s="97">
        <v>90626965.579804838</v>
      </c>
      <c r="T427" s="97">
        <v>45461022.617139414</v>
      </c>
      <c r="U427" s="45">
        <v>0</v>
      </c>
      <c r="V427">
        <v>0</v>
      </c>
      <c r="W427">
        <v>5.5008333333333333E-3</v>
      </c>
      <c r="X427" s="97">
        <v>8505.7838675597504</v>
      </c>
      <c r="Y427" s="97">
        <v>3.6728967365189127</v>
      </c>
      <c r="Z427" s="97">
        <v>4298.9398358827166</v>
      </c>
      <c r="AA427" s="97">
        <v>43.560445791108194</v>
      </c>
      <c r="AB427" s="97">
        <v>2.7700662774374867</v>
      </c>
      <c r="AC427" s="97">
        <v>202.10302589955117</v>
      </c>
      <c r="AD427" s="97">
        <v>63.127382806798842</v>
      </c>
      <c r="AE427" s="97">
        <v>2796.8967876580045</v>
      </c>
      <c r="AF427" s="97">
        <v>5111.3182350108764</v>
      </c>
      <c r="AG427" s="97">
        <v>3005.1311658073587</v>
      </c>
      <c r="AH427" s="97">
        <v>121861.73840149106</v>
      </c>
      <c r="AI427" s="97">
        <v>2359.1942487945425</v>
      </c>
      <c r="AJ427" s="97">
        <v>207307.19970704397</v>
      </c>
      <c r="AK427" s="97">
        <v>211937.47946099768</v>
      </c>
      <c r="AL427" s="97">
        <v>4630.2797539536487</v>
      </c>
      <c r="AM427" s="97">
        <v>124220.93265028561</v>
      </c>
    </row>
    <row r="428" spans="1:39" x14ac:dyDescent="0.25">
      <c r="A428" s="97">
        <v>426</v>
      </c>
      <c r="B428" s="97">
        <v>5.5008333333333333E-3</v>
      </c>
      <c r="C428" s="97">
        <v>7.535968803553212</v>
      </c>
      <c r="D428" s="97">
        <v>95.069198010970197</v>
      </c>
      <c r="E428" s="97">
        <v>134.13603009272438</v>
      </c>
      <c r="F428" s="97">
        <v>231.9074849473285</v>
      </c>
      <c r="G428" s="97">
        <v>1092.5114011837109</v>
      </c>
      <c r="H428" s="97">
        <v>8508.1774280870268</v>
      </c>
      <c r="I428" s="97">
        <v>80</v>
      </c>
      <c r="J428" s="97">
        <v>45</v>
      </c>
      <c r="K428" s="97">
        <v>41.045910083353156</v>
      </c>
      <c r="L428" s="97">
        <v>517.81023183308434</v>
      </c>
      <c r="M428" s="97">
        <v>730.59424390503875</v>
      </c>
      <c r="N428" s="97">
        <v>1180.2158421444458</v>
      </c>
      <c r="O428" s="97">
        <v>17709.609813187955</v>
      </c>
      <c r="P428" s="97">
        <v>66569.336520134355</v>
      </c>
      <c r="Q428" s="97">
        <v>4986.4673930310373</v>
      </c>
      <c r="R428" s="97">
        <v>91735.07995431927</v>
      </c>
      <c r="S428" s="97">
        <v>90718700.659759164</v>
      </c>
      <c r="T428" s="97">
        <v>45476627.635215573</v>
      </c>
      <c r="U428" s="45">
        <v>0</v>
      </c>
      <c r="V428">
        <v>0</v>
      </c>
      <c r="W428">
        <v>5.5008333333333333E-3</v>
      </c>
      <c r="X428" s="97">
        <v>8508.1774280870268</v>
      </c>
      <c r="Y428" s="97">
        <v>3.6442224934129337</v>
      </c>
      <c r="Z428" s="97">
        <v>4302.5840583761292</v>
      </c>
      <c r="AA428" s="97">
        <v>43.237250917617168</v>
      </c>
      <c r="AB428" s="97">
        <v>2.7497325339505911</v>
      </c>
      <c r="AC428" s="97">
        <v>200.56777338915103</v>
      </c>
      <c r="AD428" s="97">
        <v>62.647997902268195</v>
      </c>
      <c r="AE428" s="97">
        <v>2799.6271994729941</v>
      </c>
      <c r="AF428" s="97">
        <v>5116.8946310243191</v>
      </c>
      <c r="AG428" s="97">
        <v>3015.4922637283576</v>
      </c>
      <c r="AH428" s="97">
        <v>121861.73840149106</v>
      </c>
      <c r="AI428" s="97">
        <v>2359.1942487945425</v>
      </c>
      <c r="AJ428" s="97">
        <v>207307.19970704397</v>
      </c>
      <c r="AK428" s="97">
        <v>211937.47946099768</v>
      </c>
      <c r="AL428" s="97">
        <v>4630.2797539536487</v>
      </c>
      <c r="AM428" s="97">
        <v>124220.93265028561</v>
      </c>
    </row>
    <row r="429" spans="1:39" x14ac:dyDescent="0.25">
      <c r="A429" s="97">
        <v>427</v>
      </c>
      <c r="B429" s="97">
        <v>5.5008333333333333E-3</v>
      </c>
      <c r="C429" s="97">
        <v>7.4167766654962595</v>
      </c>
      <c r="D429" s="97">
        <v>93.922815282738128</v>
      </c>
      <c r="E429" s="97">
        <v>132.67799338530949</v>
      </c>
      <c r="F429" s="97">
        <v>229.68252300816579</v>
      </c>
      <c r="G429" s="97">
        <v>1083.9736861261558</v>
      </c>
      <c r="H429" s="97">
        <v>8510.5480433091252</v>
      </c>
      <c r="I429" s="97">
        <v>80</v>
      </c>
      <c r="J429" s="97">
        <v>45</v>
      </c>
      <c r="K429" s="97">
        <v>40.396710238069623</v>
      </c>
      <c r="L429" s="97">
        <v>511.56626723998028</v>
      </c>
      <c r="M429" s="97">
        <v>722.65280397198569</v>
      </c>
      <c r="N429" s="97">
        <v>1168.892640009057</v>
      </c>
      <c r="O429" s="97">
        <v>17571.213452104988</v>
      </c>
      <c r="P429" s="97">
        <v>66065.482291500026</v>
      </c>
      <c r="Q429" s="97">
        <v>4948.581492983416</v>
      </c>
      <c r="R429" s="97">
        <v>91028.78565804752</v>
      </c>
      <c r="S429" s="97">
        <v>90809729.44541721</v>
      </c>
      <c r="T429" s="97">
        <v>45492048.253273807</v>
      </c>
      <c r="U429" s="45">
        <v>0</v>
      </c>
      <c r="V429">
        <v>0</v>
      </c>
      <c r="W429">
        <v>5.5008333333333333E-3</v>
      </c>
      <c r="X429" s="97">
        <v>8510.5480433091252</v>
      </c>
      <c r="Y429" s="97">
        <v>3.6157579418749486</v>
      </c>
      <c r="Z429" s="97">
        <v>4306.1998163180042</v>
      </c>
      <c r="AA429" s="97">
        <v>42.914821139728105</v>
      </c>
      <c r="AB429" s="97">
        <v>2.7295374476006171</v>
      </c>
      <c r="AC429" s="97">
        <v>199.04487619097651</v>
      </c>
      <c r="AD429" s="97">
        <v>62.172014485626178</v>
      </c>
      <c r="AE429" s="97">
        <v>2802.3366378053679</v>
      </c>
      <c r="AF429" s="97">
        <v>5122.4288015643315</v>
      </c>
      <c r="AG429" s="97">
        <v>3025.7656921514722</v>
      </c>
      <c r="AH429" s="97">
        <v>121861.73840149106</v>
      </c>
      <c r="AI429" s="97">
        <v>2359.1942487945425</v>
      </c>
      <c r="AJ429" s="97">
        <v>207307.19970704397</v>
      </c>
      <c r="AK429" s="97">
        <v>211937.47946099768</v>
      </c>
      <c r="AL429" s="97">
        <v>4630.2797539536487</v>
      </c>
      <c r="AM429" s="97">
        <v>124220.93265028561</v>
      </c>
    </row>
    <row r="430" spans="1:39" x14ac:dyDescent="0.25">
      <c r="A430" s="97">
        <v>428</v>
      </c>
      <c r="B430" s="97">
        <v>5.5008333333333333E-3</v>
      </c>
      <c r="C430" s="97">
        <v>7.2994697217845772</v>
      </c>
      <c r="D430" s="97">
        <v>92.789963957997543</v>
      </c>
      <c r="E430" s="97">
        <v>131.23497192177965</v>
      </c>
      <c r="F430" s="97">
        <v>227.47709461236946</v>
      </c>
      <c r="G430" s="97">
        <v>1075.4984729513712</v>
      </c>
      <c r="H430" s="97">
        <v>8512.8959144242672</v>
      </c>
      <c r="I430" s="97">
        <v>80</v>
      </c>
      <c r="J430" s="97">
        <v>45</v>
      </c>
      <c r="K430" s="97">
        <v>39.757778417986664</v>
      </c>
      <c r="L430" s="97">
        <v>505.39600369122661</v>
      </c>
      <c r="M430" s="97">
        <v>714.79314706729315</v>
      </c>
      <c r="N430" s="97">
        <v>1157.6688473314503</v>
      </c>
      <c r="O430" s="97">
        <v>17433.830246541729</v>
      </c>
      <c r="P430" s="97">
        <v>65565.190003828204</v>
      </c>
      <c r="Q430" s="97">
        <v>4910.964560305445</v>
      </c>
      <c r="R430" s="97">
        <v>90327.600587183333</v>
      </c>
      <c r="S430" s="97">
        <v>90900057.0460044</v>
      </c>
      <c r="T430" s="97">
        <v>45507286.594858505</v>
      </c>
      <c r="U430" s="45">
        <v>0</v>
      </c>
      <c r="V430">
        <v>0</v>
      </c>
      <c r="W430">
        <v>5.5008333333333333E-3</v>
      </c>
      <c r="X430" s="97">
        <v>8512.8959144242672</v>
      </c>
      <c r="Y430" s="97">
        <v>3.5875016591566422</v>
      </c>
      <c r="Z430" s="97">
        <v>4309.7873179771605</v>
      </c>
      <c r="AA430" s="97">
        <v>42.593205551930161</v>
      </c>
      <c r="AB430" s="97">
        <v>2.7094801481666608</v>
      </c>
      <c r="AC430" s="97">
        <v>197.53421013481625</v>
      </c>
      <c r="AD430" s="97">
        <v>61.699410268301342</v>
      </c>
      <c r="AE430" s="97">
        <v>2805.0252533197827</v>
      </c>
      <c r="AF430" s="97">
        <v>5127.9210352723594</v>
      </c>
      <c r="AG430" s="97">
        <v>3035.9521656072907</v>
      </c>
      <c r="AH430" s="97">
        <v>121861.73840149106</v>
      </c>
      <c r="AI430" s="97">
        <v>2359.1942487945425</v>
      </c>
      <c r="AJ430" s="97">
        <v>207307.19970704397</v>
      </c>
      <c r="AK430" s="97">
        <v>211937.47946099768</v>
      </c>
      <c r="AL430" s="97">
        <v>4630.2797539536487</v>
      </c>
      <c r="AM430" s="97">
        <v>124220.93265028561</v>
      </c>
    </row>
    <row r="431" spans="1:39" x14ac:dyDescent="0.25">
      <c r="A431" s="97">
        <v>429</v>
      </c>
      <c r="B431" s="97">
        <v>5.5008333333333333E-3</v>
      </c>
      <c r="C431" s="97">
        <v>7.1840181553700155</v>
      </c>
      <c r="D431" s="97">
        <v>91.670489251915555</v>
      </c>
      <c r="E431" s="97">
        <v>129.80682379838311</v>
      </c>
      <c r="F431" s="97">
        <v>225.29105173764253</v>
      </c>
      <c r="G431" s="97">
        <v>1067.08533727739</v>
      </c>
      <c r="H431" s="97">
        <v>8515.2212411091277</v>
      </c>
      <c r="I431" s="97">
        <v>80</v>
      </c>
      <c r="J431" s="97">
        <v>45</v>
      </c>
      <c r="K431" s="97">
        <v>39.128952219582018</v>
      </c>
      <c r="L431" s="97">
        <v>499.29859812543333</v>
      </c>
      <c r="M431" s="97">
        <v>707.01450028852662</v>
      </c>
      <c r="N431" s="97">
        <v>1146.5437108014858</v>
      </c>
      <c r="O431" s="97">
        <v>17297.453317266492</v>
      </c>
      <c r="P431" s="97">
        <v>65068.439116326444</v>
      </c>
      <c r="Q431" s="97">
        <v>4873.6148362570457</v>
      </c>
      <c r="R431" s="97">
        <v>89631.493031285005</v>
      </c>
      <c r="S431" s="97">
        <v>90989688.539035678</v>
      </c>
      <c r="T431" s="97">
        <v>45522344.760162286</v>
      </c>
      <c r="U431" s="45">
        <v>0</v>
      </c>
      <c r="V431">
        <v>0</v>
      </c>
      <c r="W431">
        <v>5.5008333333333333E-3</v>
      </c>
      <c r="X431" s="97">
        <v>8515.2212411091277</v>
      </c>
      <c r="Y431" s="97">
        <v>3.5594522316517136</v>
      </c>
      <c r="Z431" s="97">
        <v>4313.3467702088119</v>
      </c>
      <c r="AA431" s="97">
        <v>42.272451327724404</v>
      </c>
      <c r="AB431" s="97">
        <v>2.6895597706475169</v>
      </c>
      <c r="AC431" s="97">
        <v>196.03565281811242</v>
      </c>
      <c r="AD431" s="97">
        <v>61.230163154181113</v>
      </c>
      <c r="AE431" s="97">
        <v>2807.693195740062</v>
      </c>
      <c r="AF431" s="97">
        <v>5133.3716193711625</v>
      </c>
      <c r="AG431" s="97">
        <v>3046.0523931081184</v>
      </c>
      <c r="AH431" s="97">
        <v>121861.73840149106</v>
      </c>
      <c r="AI431" s="97">
        <v>2359.1942487945425</v>
      </c>
      <c r="AJ431" s="97">
        <v>207307.19970704397</v>
      </c>
      <c r="AK431" s="97">
        <v>211937.47946099768</v>
      </c>
      <c r="AL431" s="97">
        <v>4630.2797539536487</v>
      </c>
      <c r="AM431" s="97">
        <v>124220.93265028561</v>
      </c>
    </row>
    <row r="432" spans="1:39" x14ac:dyDescent="0.25">
      <c r="A432" s="97">
        <v>430</v>
      </c>
      <c r="B432" s="97">
        <v>5.5008333333333333E-3</v>
      </c>
      <c r="C432" s="97">
        <v>7.0703926208037391</v>
      </c>
      <c r="D432" s="97">
        <v>90.564238065104007</v>
      </c>
      <c r="E432" s="97">
        <v>128.39340825402357</v>
      </c>
      <c r="F432" s="97">
        <v>223.12424718540794</v>
      </c>
      <c r="G432" s="97">
        <v>1058.7338574464245</v>
      </c>
      <c r="H432" s="97">
        <v>8517.5242215272592</v>
      </c>
      <c r="I432" s="97">
        <v>80</v>
      </c>
      <c r="J432" s="97">
        <v>45</v>
      </c>
      <c r="K432" s="97">
        <v>38.510071807977695</v>
      </c>
      <c r="L432" s="97">
        <v>493.27321666126647</v>
      </c>
      <c r="M432" s="97">
        <v>699.31609695691498</v>
      </c>
      <c r="N432" s="97">
        <v>1135.5164813010717</v>
      </c>
      <c r="O432" s="97">
        <v>17162.075829206544</v>
      </c>
      <c r="P432" s="97">
        <v>64575.209053243387</v>
      </c>
      <c r="Q432" s="97">
        <v>4836.5305768229618</v>
      </c>
      <c r="R432" s="97">
        <v>88940.431326000122</v>
      </c>
      <c r="S432" s="97">
        <v>91078628.97036168</v>
      </c>
      <c r="T432" s="97">
        <v>45537224.826250009</v>
      </c>
      <c r="U432" s="45">
        <v>0</v>
      </c>
      <c r="V432">
        <v>0</v>
      </c>
      <c r="W432">
        <v>5.5008333333333333E-3</v>
      </c>
      <c r="X432" s="97">
        <v>8517.5242215272592</v>
      </c>
      <c r="Y432" s="97">
        <v>3.5316082548325154</v>
      </c>
      <c r="Z432" s="97">
        <v>4316.8783784636444</v>
      </c>
      <c r="AA432" s="97">
        <v>41.952603777218272</v>
      </c>
      <c r="AB432" s="97">
        <v>2.6697754552253237</v>
      </c>
      <c r="AC432" s="97">
        <v>194.54908357366639</v>
      </c>
      <c r="AD432" s="97">
        <v>60.764251232149782</v>
      </c>
      <c r="AE432" s="97">
        <v>2810.3406138515202</v>
      </c>
      <c r="AF432" s="97">
        <v>5138.7808396590635</v>
      </c>
      <c r="AG432" s="97">
        <v>3056.0670781861386</v>
      </c>
      <c r="AH432" s="97">
        <v>121861.73840149106</v>
      </c>
      <c r="AI432" s="97">
        <v>2359.1942487945425</v>
      </c>
      <c r="AJ432" s="97">
        <v>207307.19970704397</v>
      </c>
      <c r="AK432" s="97">
        <v>211937.47946099768</v>
      </c>
      <c r="AL432" s="97">
        <v>4630.2797539536487</v>
      </c>
      <c r="AM432" s="97">
        <v>124220.93265028561</v>
      </c>
    </row>
    <row r="433" spans="1:39" x14ac:dyDescent="0.25">
      <c r="A433" s="97">
        <v>431</v>
      </c>
      <c r="B433" s="97">
        <v>5.5008333333333333E-3</v>
      </c>
      <c r="C433" s="97">
        <v>6.9585642367772094</v>
      </c>
      <c r="D433" s="97">
        <v>89.471058966782294</v>
      </c>
      <c r="E433" s="97">
        <v>126.99458566429732</v>
      </c>
      <c r="F433" s="97">
        <v>220.97653457996489</v>
      </c>
      <c r="G433" s="97">
        <v>1050.4436145060877</v>
      </c>
      <c r="H433" s="97">
        <v>8519.805052337515</v>
      </c>
      <c r="I433" s="97">
        <v>80</v>
      </c>
      <c r="J433" s="97">
        <v>45</v>
      </c>
      <c r="K433" s="97">
        <v>37.900979876313201</v>
      </c>
      <c r="L433" s="97">
        <v>487.31903450574089</v>
      </c>
      <c r="M433" s="97">
        <v>691.69717658487264</v>
      </c>
      <c r="N433" s="97">
        <v>1124.5864138998713</v>
      </c>
      <c r="O433" s="97">
        <v>17027.690991143681</v>
      </c>
      <c r="P433" s="97">
        <v>64085.479210506906</v>
      </c>
      <c r="Q433" s="97">
        <v>4799.7100521590382</v>
      </c>
      <c r="R433" s="97">
        <v>88254.383858676418</v>
      </c>
      <c r="S433" s="97">
        <v>91166883.354220361</v>
      </c>
      <c r="T433" s="97">
        <v>45551928.847281814</v>
      </c>
      <c r="U433" s="45">
        <v>0</v>
      </c>
      <c r="V433">
        <v>0</v>
      </c>
      <c r="W433">
        <v>5.5008333333333333E-3</v>
      </c>
      <c r="X433" s="97">
        <v>8519.805052337515</v>
      </c>
      <c r="Y433" s="97">
        <v>3.5039683331873004</v>
      </c>
      <c r="Z433" s="97">
        <v>4320.3823467968314</v>
      </c>
      <c r="AA433" s="97">
        <v>41.633706403083195</v>
      </c>
      <c r="AB433" s="97">
        <v>2.6501263472295893</v>
      </c>
      <c r="AC433" s="97">
        <v>193.07438343799296</v>
      </c>
      <c r="AD433" s="97">
        <v>60.301652769131714</v>
      </c>
      <c r="AE433" s="97">
        <v>2812.9676555034107</v>
      </c>
      <c r="AF433" s="97">
        <v>5144.1489805044912</v>
      </c>
      <c r="AG433" s="97">
        <v>3065.9969189313915</v>
      </c>
      <c r="AH433" s="97">
        <v>121861.73840149106</v>
      </c>
      <c r="AI433" s="97">
        <v>2359.1942487945425</v>
      </c>
      <c r="AJ433" s="97">
        <v>207307.19970704397</v>
      </c>
      <c r="AK433" s="97">
        <v>211937.47946099768</v>
      </c>
      <c r="AL433" s="97">
        <v>4630.2797539536487</v>
      </c>
      <c r="AM433" s="97">
        <v>124220.93265028561</v>
      </c>
    </row>
    <row r="434" spans="1:39" x14ac:dyDescent="0.25">
      <c r="A434" s="97">
        <v>432</v>
      </c>
      <c r="B434" s="97">
        <v>5.5008333333333333E-3</v>
      </c>
      <c r="C434" s="97">
        <v>6.8485045787811396</v>
      </c>
      <c r="D434" s="97">
        <v>88.390802178080122</v>
      </c>
      <c r="E434" s="97">
        <v>125.61021753550227</v>
      </c>
      <c r="F434" s="97">
        <v>218.84776836759545</v>
      </c>
      <c r="G434" s="97">
        <v>1042.2141921907919</v>
      </c>
      <c r="H434" s="97">
        <v>8522.0639287024624</v>
      </c>
      <c r="I434" s="97">
        <v>81</v>
      </c>
      <c r="J434" s="97">
        <v>45</v>
      </c>
      <c r="K434" s="97">
        <v>37.301521605761273</v>
      </c>
      <c r="L434" s="97">
        <v>481.43523586327638</v>
      </c>
      <c r="M434" s="97">
        <v>684.15698484336895</v>
      </c>
      <c r="N434" s="97">
        <v>1113.7527678507545</v>
      </c>
      <c r="O434" s="97">
        <v>16894.292055412738</v>
      </c>
      <c r="P434" s="97">
        <v>63599.228962101515</v>
      </c>
      <c r="Q434" s="97">
        <v>4763.1515460762166</v>
      </c>
      <c r="R434" s="97">
        <v>87573.319073753635</v>
      </c>
      <c r="S434" s="97">
        <v>91254456.673294112</v>
      </c>
      <c r="T434" s="97">
        <v>45566458.854735136</v>
      </c>
      <c r="U434" s="45">
        <v>0</v>
      </c>
      <c r="V434">
        <v>0</v>
      </c>
      <c r="W434">
        <v>5.5008333333333333E-3</v>
      </c>
      <c r="X434" s="97">
        <v>8522.0639287024624</v>
      </c>
      <c r="Y434" s="97">
        <v>3.4765310801580709</v>
      </c>
      <c r="Z434" s="97">
        <v>4323.858877876989</v>
      </c>
      <c r="AA434" s="97">
        <v>41.335042907302991</v>
      </c>
      <c r="AB434" s="97">
        <v>2.6113696447201384</v>
      </c>
      <c r="AC434" s="97">
        <v>191.59219316792868</v>
      </c>
      <c r="AD434" s="97">
        <v>59.842346203608479</v>
      </c>
      <c r="AE434" s="97">
        <v>2815.5744676114969</v>
      </c>
      <c r="AF434" s="97">
        <v>5149.4763248408308</v>
      </c>
      <c r="AG434" s="97">
        <v>3075.8426080295781</v>
      </c>
      <c r="AH434" s="97">
        <v>122172.8298885604</v>
      </c>
      <c r="AI434" s="97">
        <v>2369.8351987949504</v>
      </c>
      <c r="AJ434" s="97">
        <v>209023.18513044552</v>
      </c>
      <c r="AK434" s="97">
        <v>213712.16052812728</v>
      </c>
      <c r="AL434" s="97">
        <v>4688.9753976816792</v>
      </c>
      <c r="AM434" s="97">
        <v>124542.66508735536</v>
      </c>
    </row>
    <row r="435" spans="1:39" x14ac:dyDescent="0.25">
      <c r="A435" s="97">
        <v>433</v>
      </c>
      <c r="B435" s="97">
        <v>5.9566666666666665E-3</v>
      </c>
      <c r="C435" s="97">
        <v>6.7370638952100661</v>
      </c>
      <c r="D435" s="97">
        <v>87.28302808148662</v>
      </c>
      <c r="E435" s="97">
        <v>124.18290917446031</v>
      </c>
      <c r="F435" s="97">
        <v>216.63804570787406</v>
      </c>
      <c r="G435" s="97">
        <v>1033.570100934051</v>
      </c>
      <c r="H435" s="97">
        <v>8524.3010442967789</v>
      </c>
      <c r="I435" s="97">
        <v>81</v>
      </c>
      <c r="J435" s="97">
        <v>45</v>
      </c>
      <c r="K435" s="97">
        <v>36.694541349244155</v>
      </c>
      <c r="L435" s="97">
        <v>475.40155961716374</v>
      </c>
      <c r="M435" s="97">
        <v>676.38291197022704</v>
      </c>
      <c r="N435" s="97">
        <v>1102.5071209483224</v>
      </c>
      <c r="O435" s="97">
        <v>16754.171336140967</v>
      </c>
      <c r="P435" s="97">
        <v>63087.411543794929</v>
      </c>
      <c r="Q435" s="97">
        <v>4724.6821523134859</v>
      </c>
      <c r="R435" s="97">
        <v>86857.251166134345</v>
      </c>
      <c r="S435" s="97">
        <v>91341313.924460247</v>
      </c>
      <c r="T435" s="97">
        <v>45580810.255985066</v>
      </c>
      <c r="U435" s="45">
        <v>0</v>
      </c>
      <c r="V435">
        <v>0</v>
      </c>
      <c r="W435">
        <v>5.9566666666666665E-3</v>
      </c>
      <c r="X435" s="97">
        <v>8524.3010442967789</v>
      </c>
      <c r="Y435" s="97">
        <v>3.4492951180790166</v>
      </c>
      <c r="Z435" s="97">
        <v>4327.3081729950682</v>
      </c>
      <c r="AA435" s="97">
        <v>41.017889842040866</v>
      </c>
      <c r="AB435" s="97">
        <v>2.5921301745672207</v>
      </c>
      <c r="AC435" s="97">
        <v>190.03485469348436</v>
      </c>
      <c r="AD435" s="97">
        <v>59.359032003435971</v>
      </c>
      <c r="AE435" s="97">
        <v>2818.1611961607368</v>
      </c>
      <c r="AF435" s="97">
        <v>5154.7632840818433</v>
      </c>
      <c r="AG435" s="97">
        <v>3086.4137915861133</v>
      </c>
      <c r="AH435" s="97">
        <v>122172.8298885604</v>
      </c>
      <c r="AI435" s="97">
        <v>2369.8351987949504</v>
      </c>
      <c r="AJ435" s="97">
        <v>209023.18513044552</v>
      </c>
      <c r="AK435" s="97">
        <v>213712.16052812728</v>
      </c>
      <c r="AL435" s="97">
        <v>4688.9753976816792</v>
      </c>
      <c r="AM435" s="97">
        <v>124542.66508735536</v>
      </c>
    </row>
    <row r="436" spans="1:39" x14ac:dyDescent="0.25">
      <c r="A436" s="97">
        <v>434</v>
      </c>
      <c r="B436" s="97">
        <v>5.9566666666666665E-3</v>
      </c>
      <c r="C436" s="97">
        <v>6.6274366040098265</v>
      </c>
      <c r="D436" s="97">
        <v>86.188873180930742</v>
      </c>
      <c r="E436" s="97">
        <v>122.77105678461299</v>
      </c>
      <c r="F436" s="97">
        <v>214.44894985333897</v>
      </c>
      <c r="G436" s="97">
        <v>1024.9936697324508</v>
      </c>
      <c r="H436" s="97">
        <v>8526.5155715637939</v>
      </c>
      <c r="I436" s="97">
        <v>81</v>
      </c>
      <c r="J436" s="97">
        <v>45</v>
      </c>
      <c r="K436" s="97">
        <v>36.097438036506851</v>
      </c>
      <c r="L436" s="97">
        <v>469.4420625921361</v>
      </c>
      <c r="M436" s="97">
        <v>668.6930226201921</v>
      </c>
      <c r="N436" s="97">
        <v>1091.3664472952842</v>
      </c>
      <c r="O436" s="97">
        <v>16615.147386363027</v>
      </c>
      <c r="P436" s="97">
        <v>62579.45234943321</v>
      </c>
      <c r="Q436" s="97">
        <v>4686.5054048779893</v>
      </c>
      <c r="R436" s="97">
        <v>86146.704111218351</v>
      </c>
      <c r="S436" s="97">
        <v>91427460.628571466</v>
      </c>
      <c r="T436" s="97">
        <v>45594985.191496737</v>
      </c>
      <c r="U436" s="45">
        <v>0</v>
      </c>
      <c r="V436">
        <v>0</v>
      </c>
      <c r="W436">
        <v>5.9566666666666665E-3</v>
      </c>
      <c r="X436" s="97">
        <v>8526.5155715637939</v>
      </c>
      <c r="Y436" s="97">
        <v>3.4206867744242149</v>
      </c>
      <c r="Z436" s="97">
        <v>4330.7288597694924</v>
      </c>
      <c r="AA436" s="97">
        <v>40.701335132024283</v>
      </c>
      <c r="AB436" s="97">
        <v>2.5719337132251194</v>
      </c>
      <c r="AC436" s="97">
        <v>188.49104830930935</v>
      </c>
      <c r="AD436" s="97">
        <v>58.879394495608885</v>
      </c>
      <c r="AE436" s="97">
        <v>2820.7268063307706</v>
      </c>
      <c r="AF436" s="97">
        <v>5160.0077224356628</v>
      </c>
      <c r="AG436" s="97">
        <v>3096.8905134720512</v>
      </c>
      <c r="AH436" s="97">
        <v>122172.8298885604</v>
      </c>
      <c r="AI436" s="97">
        <v>2369.8351987949504</v>
      </c>
      <c r="AJ436" s="97">
        <v>209023.18513044552</v>
      </c>
      <c r="AK436" s="97">
        <v>213712.16052812728</v>
      </c>
      <c r="AL436" s="97">
        <v>4688.9753976816792</v>
      </c>
      <c r="AM436" s="97">
        <v>124542.66508735536</v>
      </c>
    </row>
    <row r="437" spans="1:39" x14ac:dyDescent="0.25">
      <c r="A437" s="97">
        <v>435</v>
      </c>
      <c r="B437" s="97">
        <v>5.9566666666666665E-3</v>
      </c>
      <c r="C437" s="97">
        <v>6.5195931971786294</v>
      </c>
      <c r="D437" s="97">
        <v>85.108174612389888</v>
      </c>
      <c r="E437" s="97">
        <v>121.37450496993515</v>
      </c>
      <c r="F437" s="97">
        <v>212.28031085991901</v>
      </c>
      <c r="G437" s="97">
        <v>1016.4844030354252</v>
      </c>
      <c r="H437" s="97">
        <v>8528.7077213557714</v>
      </c>
      <c r="I437" s="97">
        <v>81</v>
      </c>
      <c r="J437" s="97">
        <v>45</v>
      </c>
      <c r="K437" s="97">
        <v>35.510050947299597</v>
      </c>
      <c r="L437" s="97">
        <v>463.55585772215022</v>
      </c>
      <c r="M437" s="97">
        <v>661.08647040291339</v>
      </c>
      <c r="N437" s="97">
        <v>1080.3298820179377</v>
      </c>
      <c r="O437" s="97">
        <v>16477.212173204243</v>
      </c>
      <c r="P437" s="97">
        <v>62075.32785686916</v>
      </c>
      <c r="Q437" s="97">
        <v>4648.6191951157089</v>
      </c>
      <c r="R437" s="97">
        <v>85441.641486279419</v>
      </c>
      <c r="S437" s="97">
        <v>91512902.270057738</v>
      </c>
      <c r="T437" s="97">
        <v>45608985.777309529</v>
      </c>
      <c r="U437" s="45">
        <v>0</v>
      </c>
      <c r="V437">
        <v>0</v>
      </c>
      <c r="W437">
        <v>5.9566666666666665E-3</v>
      </c>
      <c r="X437" s="97">
        <v>8528.7077213557714</v>
      </c>
      <c r="Y437" s="97">
        <v>3.3923023573860669</v>
      </c>
      <c r="Z437" s="97">
        <v>4334.1211621268785</v>
      </c>
      <c r="AA437" s="97">
        <v>40.385438321820111</v>
      </c>
      <c r="AB437" s="97">
        <v>2.5518846348131561</v>
      </c>
      <c r="AC437" s="97">
        <v>186.96062832279975</v>
      </c>
      <c r="AD437" s="97">
        <v>58.40340718783478</v>
      </c>
      <c r="AE437" s="97">
        <v>2823.2714602516344</v>
      </c>
      <c r="AF437" s="97">
        <v>5165.2099498458701</v>
      </c>
      <c r="AG437" s="97">
        <v>3107.2735896468275</v>
      </c>
      <c r="AH437" s="97">
        <v>122172.8298885604</v>
      </c>
      <c r="AI437" s="97">
        <v>2369.8351987949504</v>
      </c>
      <c r="AJ437" s="97">
        <v>209023.18513044552</v>
      </c>
      <c r="AK437" s="97">
        <v>213712.16052812728</v>
      </c>
      <c r="AL437" s="97">
        <v>4688.9753976816792</v>
      </c>
      <c r="AM437" s="97">
        <v>124542.66508735536</v>
      </c>
    </row>
    <row r="438" spans="1:39" x14ac:dyDescent="0.25">
      <c r="A438" s="97">
        <v>436</v>
      </c>
      <c r="B438" s="97">
        <v>5.9566666666666665E-3</v>
      </c>
      <c r="C438" s="97">
        <v>6.4135046468767154</v>
      </c>
      <c r="D438" s="97">
        <v>84.04077137874151</v>
      </c>
      <c r="E438" s="97">
        <v>119.99309970549157</v>
      </c>
      <c r="F438" s="97">
        <v>210.13195988643943</v>
      </c>
      <c r="G438" s="97">
        <v>1008.0418087289792</v>
      </c>
      <c r="H438" s="97">
        <v>8530.8777027877659</v>
      </c>
      <c r="I438" s="97">
        <v>81</v>
      </c>
      <c r="J438" s="97">
        <v>45</v>
      </c>
      <c r="K438" s="97">
        <v>34.932221976655171</v>
      </c>
      <c r="L438" s="97">
        <v>457.74206810954541</v>
      </c>
      <c r="M438" s="97">
        <v>653.56241639591076</v>
      </c>
      <c r="N438" s="97">
        <v>1069.3965658554046</v>
      </c>
      <c r="O438" s="97">
        <v>16340.357719496753</v>
      </c>
      <c r="P438" s="97">
        <v>61575.014495810326</v>
      </c>
      <c r="Q438" s="97">
        <v>4611.0214361135422</v>
      </c>
      <c r="R438" s="97">
        <v>84742.026923758138</v>
      </c>
      <c r="S438" s="97">
        <v>91597644.296981499</v>
      </c>
      <c r="T438" s="97">
        <v>45622814.105277106</v>
      </c>
      <c r="U438" s="45">
        <v>0</v>
      </c>
      <c r="V438">
        <v>0</v>
      </c>
      <c r="W438">
        <v>5.9566666666666665E-3</v>
      </c>
      <c r="X438" s="97">
        <v>8530.8777027877659</v>
      </c>
      <c r="Y438" s="97">
        <v>3.3641402268984888</v>
      </c>
      <c r="Z438" s="97">
        <v>4337.4853023537771</v>
      </c>
      <c r="AA438" s="97">
        <v>40.070256622882866</v>
      </c>
      <c r="AB438" s="97">
        <v>2.5319819407316473</v>
      </c>
      <c r="AC438" s="97">
        <v>185.44345119813573</v>
      </c>
      <c r="AD438" s="97">
        <v>57.931043860965417</v>
      </c>
      <c r="AE438" s="97">
        <v>2825.7953189673958</v>
      </c>
      <c r="AF438" s="97">
        <v>5170.3702746082381</v>
      </c>
      <c r="AG438" s="97">
        <v>3117.5638293632492</v>
      </c>
      <c r="AH438" s="97">
        <v>122172.8298885604</v>
      </c>
      <c r="AI438" s="97">
        <v>2369.8351987949504</v>
      </c>
      <c r="AJ438" s="97">
        <v>209023.18513044552</v>
      </c>
      <c r="AK438" s="97">
        <v>213712.16052812728</v>
      </c>
      <c r="AL438" s="97">
        <v>4688.9753976816792</v>
      </c>
      <c r="AM438" s="97">
        <v>124542.66508735536</v>
      </c>
    </row>
    <row r="439" spans="1:39" x14ac:dyDescent="0.25">
      <c r="A439" s="97">
        <v>437</v>
      </c>
      <c r="B439" s="97">
        <v>5.9566666666666665E-3</v>
      </c>
      <c r="C439" s="97">
        <v>6.3091423976130372</v>
      </c>
      <c r="D439" s="97">
        <v>82.986504329826815</v>
      </c>
      <c r="E439" s="97">
        <v>118.62668832851051</v>
      </c>
      <c r="F439" s="97">
        <v>208.00372919130669</v>
      </c>
      <c r="G439" s="97">
        <v>999.66539811108373</v>
      </c>
      <c r="H439" s="97">
        <v>8533.0257232488966</v>
      </c>
      <c r="I439" s="97">
        <v>81</v>
      </c>
      <c r="J439" s="97">
        <v>45</v>
      </c>
      <c r="K439" s="97">
        <v>34.363795592332337</v>
      </c>
      <c r="L439" s="97">
        <v>451.9998269164567</v>
      </c>
      <c r="M439" s="97">
        <v>646.1200290959539</v>
      </c>
      <c r="N439" s="97">
        <v>1058.5656451427583</v>
      </c>
      <c r="O439" s="97">
        <v>16204.576103380668</v>
      </c>
      <c r="P439" s="97">
        <v>61078.488656268462</v>
      </c>
      <c r="Q439" s="97">
        <v>4573.710061823007</v>
      </c>
      <c r="R439" s="97">
        <v>84047.824118219636</v>
      </c>
      <c r="S439" s="97">
        <v>91681692.121099725</v>
      </c>
      <c r="T439" s="97">
        <v>45636472.243306503</v>
      </c>
      <c r="U439" s="45">
        <v>0</v>
      </c>
      <c r="V439">
        <v>0</v>
      </c>
      <c r="W439">
        <v>5.9566666666666665E-3</v>
      </c>
      <c r="X439" s="97">
        <v>8533.0257232488966</v>
      </c>
      <c r="Y439" s="97">
        <v>3.336198754269017</v>
      </c>
      <c r="Z439" s="97">
        <v>4340.8215011080465</v>
      </c>
      <c r="AA439" s="97">
        <v>39.755844984780822</v>
      </c>
      <c r="AB439" s="97">
        <v>2.512224638811571</v>
      </c>
      <c r="AC439" s="97">
        <v>183.93937551600095</v>
      </c>
      <c r="AD439" s="97">
        <v>57.462278557987396</v>
      </c>
      <c r="AE439" s="97">
        <v>2828.2985424391582</v>
      </c>
      <c r="AF439" s="97">
        <v>5175.4890033656311</v>
      </c>
      <c r="AG439" s="97">
        <v>3127.7620352172594</v>
      </c>
      <c r="AH439" s="97">
        <v>122172.8298885604</v>
      </c>
      <c r="AI439" s="97">
        <v>2369.8351987949504</v>
      </c>
      <c r="AJ439" s="97">
        <v>209023.18513044552</v>
      </c>
      <c r="AK439" s="97">
        <v>213712.16052812728</v>
      </c>
      <c r="AL439" s="97">
        <v>4688.9753976816792</v>
      </c>
      <c r="AM439" s="97">
        <v>124542.66508735536</v>
      </c>
    </row>
    <row r="440" spans="1:39" x14ac:dyDescent="0.25">
      <c r="A440" s="97">
        <v>438</v>
      </c>
      <c r="B440" s="97">
        <v>5.9566666666666665E-3</v>
      </c>
      <c r="C440" s="97">
        <v>6.2064783585590728</v>
      </c>
      <c r="D440" s="97">
        <v>81.945216142699792</v>
      </c>
      <c r="E440" s="97">
        <v>117.27511952945765</v>
      </c>
      <c r="F440" s="97">
        <v>205.89545212915218</v>
      </c>
      <c r="G440" s="97">
        <v>991.35468586729337</v>
      </c>
      <c r="H440" s="97">
        <v>8535.1519884135851</v>
      </c>
      <c r="I440" s="97">
        <v>81</v>
      </c>
      <c r="J440" s="97">
        <v>45</v>
      </c>
      <c r="K440" s="97">
        <v>33.80461879295175</v>
      </c>
      <c r="L440" s="97">
        <v>446.3282772572382</v>
      </c>
      <c r="M440" s="97">
        <v>638.75848437044601</v>
      </c>
      <c r="N440" s="97">
        <v>1047.8362717939435</v>
      </c>
      <c r="O440" s="97">
        <v>16069.859457908826</v>
      </c>
      <c r="P440" s="97">
        <v>60585.726696672464</v>
      </c>
      <c r="Q440" s="97">
        <v>4536.6830262410231</v>
      </c>
      <c r="R440" s="97">
        <v>83358.996833036887</v>
      </c>
      <c r="S440" s="97">
        <v>91765051.117932767</v>
      </c>
      <c r="T440" s="97">
        <v>45649962.23559624</v>
      </c>
      <c r="U440" s="45">
        <v>0</v>
      </c>
      <c r="V440">
        <v>0</v>
      </c>
      <c r="W440">
        <v>5.9566666666666665E-3</v>
      </c>
      <c r="X440" s="97">
        <v>8535.1519884135851</v>
      </c>
      <c r="Y440" s="97">
        <v>3.3084763220973747</v>
      </c>
      <c r="Z440" s="97">
        <v>4344.1299774301442</v>
      </c>
      <c r="AA440" s="97">
        <v>39.442256164362206</v>
      </c>
      <c r="AB440" s="97">
        <v>2.4926117432695127</v>
      </c>
      <c r="AC440" s="97">
        <v>182.44826193412933</v>
      </c>
      <c r="AD440" s="97">
        <v>56.997085573729791</v>
      </c>
      <c r="AE440" s="97">
        <v>2830.7812895482157</v>
      </c>
      <c r="AF440" s="97">
        <v>5180.566441103183</v>
      </c>
      <c r="AG440" s="97">
        <v>3137.8690031974338</v>
      </c>
      <c r="AH440" s="97">
        <v>122172.8298885604</v>
      </c>
      <c r="AI440" s="97">
        <v>2369.8351987949504</v>
      </c>
      <c r="AJ440" s="97">
        <v>209023.18513044552</v>
      </c>
      <c r="AK440" s="97">
        <v>213712.16052812728</v>
      </c>
      <c r="AL440" s="97">
        <v>4688.9753976816792</v>
      </c>
      <c r="AM440" s="97">
        <v>124542.66508735536</v>
      </c>
    </row>
    <row r="441" spans="1:39" x14ac:dyDescent="0.25">
      <c r="A441" s="97">
        <v>439</v>
      </c>
      <c r="B441" s="97">
        <v>5.9566666666666665E-3</v>
      </c>
      <c r="C441" s="97">
        <v>6.1054848959877157</v>
      </c>
      <c r="D441" s="97">
        <v>80.916751302060163</v>
      </c>
      <c r="E441" s="97">
        <v>115.93824334311236</v>
      </c>
      <c r="F441" s="97">
        <v>203.80696314743574</v>
      </c>
      <c r="G441" s="97">
        <v>983.10919004658388</v>
      </c>
      <c r="H441" s="97">
        <v>8537.2567022527655</v>
      </c>
      <c r="I441" s="97">
        <v>81</v>
      </c>
      <c r="J441" s="97">
        <v>45</v>
      </c>
      <c r="K441" s="97">
        <v>33.25454106681309</v>
      </c>
      <c r="L441" s="97">
        <v>440.72657209188765</v>
      </c>
      <c r="M441" s="97">
        <v>631.47696540881861</v>
      </c>
      <c r="N441" s="97">
        <v>1037.2076032844916</v>
      </c>
      <c r="O441" s="97">
        <v>15936.199970655125</v>
      </c>
      <c r="P441" s="97">
        <v>60096.704951656015</v>
      </c>
      <c r="Q441" s="97">
        <v>4499.9383026442765</v>
      </c>
      <c r="R441" s="97">
        <v>82675.50890680743</v>
      </c>
      <c r="S441" s="97">
        <v>91847726.626839578</v>
      </c>
      <c r="T441" s="97">
        <v>45663286.1028734</v>
      </c>
      <c r="U441" s="45">
        <v>0</v>
      </c>
      <c r="V441">
        <v>0</v>
      </c>
      <c r="W441">
        <v>5.9566666666666665E-3</v>
      </c>
      <c r="X441" s="97">
        <v>8537.2567022527655</v>
      </c>
      <c r="Y441" s="97">
        <v>3.2809713241947769</v>
      </c>
      <c r="Z441" s="97">
        <v>4347.4109487543392</v>
      </c>
      <c r="AA441" s="97">
        <v>39.129540792920288</v>
      </c>
      <c r="AB441" s="97">
        <v>2.4731422746630463</v>
      </c>
      <c r="AC441" s="97">
        <v>180.96997314866167</v>
      </c>
      <c r="AD441" s="97">
        <v>56.535439445245011</v>
      </c>
      <c r="AE441" s="97">
        <v>2833.2437180993547</v>
      </c>
      <c r="AF441" s="97">
        <v>5185.602891143777</v>
      </c>
      <c r="AG441" s="97">
        <v>3147.8855227342165</v>
      </c>
      <c r="AH441" s="97">
        <v>122172.8298885604</v>
      </c>
      <c r="AI441" s="97">
        <v>2369.8351987949504</v>
      </c>
      <c r="AJ441" s="97">
        <v>209023.18513044552</v>
      </c>
      <c r="AK441" s="97">
        <v>213712.16052812728</v>
      </c>
      <c r="AL441" s="97">
        <v>4688.9753976816792</v>
      </c>
      <c r="AM441" s="97">
        <v>124542.66508735536</v>
      </c>
    </row>
    <row r="442" spans="1:39" x14ac:dyDescent="0.25">
      <c r="A442" s="97">
        <v>440</v>
      </c>
      <c r="B442" s="97">
        <v>5.9566666666666665E-3</v>
      </c>
      <c r="C442" s="97">
        <v>6.0061348258351988</v>
      </c>
      <c r="D442" s="97">
        <v>79.900956080869264</v>
      </c>
      <c r="E442" s="97">
        <v>114.6159111396472</v>
      </c>
      <c r="F442" s="97">
        <v>201.73809778300964</v>
      </c>
      <c r="G442" s="97">
        <v>974.92843203740824</v>
      </c>
      <c r="H442" s="97">
        <v>8539.3400670450519</v>
      </c>
      <c r="I442" s="97">
        <v>81</v>
      </c>
      <c r="J442" s="97">
        <v>45</v>
      </c>
      <c r="K442" s="97">
        <v>32.713414351382383</v>
      </c>
      <c r="L442" s="97">
        <v>435.19387412046791</v>
      </c>
      <c r="M442" s="97">
        <v>624.27466267394504</v>
      </c>
      <c r="N442" s="97">
        <v>1026.6788026340332</v>
      </c>
      <c r="O442" s="97">
        <v>15803.589883326389</v>
      </c>
      <c r="P442" s="97">
        <v>59611.399739530949</v>
      </c>
      <c r="Q442" s="97">
        <v>4463.4738828738928</v>
      </c>
      <c r="R442" s="97">
        <v>81997.324259511064</v>
      </c>
      <c r="S442" s="97">
        <v>91929723.951099083</v>
      </c>
      <c r="T442" s="97">
        <v>45676445.842629619</v>
      </c>
      <c r="U442" s="45">
        <v>0</v>
      </c>
      <c r="V442">
        <v>0</v>
      </c>
      <c r="W442">
        <v>5.9566666666666665E-3</v>
      </c>
      <c r="X442" s="97">
        <v>8539.3400670450519</v>
      </c>
      <c r="Y442" s="97">
        <v>3.2536821655039616</v>
      </c>
      <c r="Z442" s="97">
        <v>4350.6646309198431</v>
      </c>
      <c r="AA442" s="97">
        <v>38.817747441414603</v>
      </c>
      <c r="AB442" s="97">
        <v>2.4538152598465519</v>
      </c>
      <c r="AC442" s="97">
        <v>179.50437385629496</v>
      </c>
      <c r="AD442" s="97">
        <v>56.077314942821694</v>
      </c>
      <c r="AE442" s="97">
        <v>2835.6859848242934</v>
      </c>
      <c r="AF442" s="97">
        <v>5190.5986551438164</v>
      </c>
      <c r="AG442" s="97">
        <v>3157.8123767488833</v>
      </c>
      <c r="AH442" s="97">
        <v>122172.8298885604</v>
      </c>
      <c r="AI442" s="97">
        <v>2369.8351987949504</v>
      </c>
      <c r="AJ442" s="97">
        <v>209023.18513044552</v>
      </c>
      <c r="AK442" s="97">
        <v>213712.16052812728</v>
      </c>
      <c r="AL442" s="97">
        <v>4688.9753976816792</v>
      </c>
      <c r="AM442" s="97">
        <v>124542.66508735536</v>
      </c>
    </row>
    <row r="443" spans="1:39" x14ac:dyDescent="0.25">
      <c r="A443" s="97">
        <v>441</v>
      </c>
      <c r="B443" s="97">
        <v>5.9566666666666665E-3</v>
      </c>
      <c r="C443" s="97">
        <v>5.9084014063840531</v>
      </c>
      <c r="D443" s="97">
        <v>78.897678521147554</v>
      </c>
      <c r="E443" s="97">
        <v>113.30797561571221</v>
      </c>
      <c r="F443" s="97">
        <v>199.68869265864345</v>
      </c>
      <c r="G443" s="97">
        <v>966.81193654396634</v>
      </c>
      <c r="H443" s="97">
        <v>8541.4022833878753</v>
      </c>
      <c r="I443" s="97">
        <v>81</v>
      </c>
      <c r="J443" s="97">
        <v>45</v>
      </c>
      <c r="K443" s="97">
        <v>32.181092993438476</v>
      </c>
      <c r="L443" s="97">
        <v>429.72935567851698</v>
      </c>
      <c r="M443" s="97">
        <v>617.15077385357915</v>
      </c>
      <c r="N443" s="97">
        <v>1016.2490383886129</v>
      </c>
      <c r="O443" s="97">
        <v>15672.021491377694</v>
      </c>
      <c r="P443" s="97">
        <v>59129.78736945687</v>
      </c>
      <c r="Q443" s="97">
        <v>4427.2877766673091</v>
      </c>
      <c r="R443" s="97">
        <v>81324.406898416026</v>
      </c>
      <c r="S443" s="97">
        <v>92011048.357997492</v>
      </c>
      <c r="T443" s="97">
        <v>45689443.429355942</v>
      </c>
      <c r="U443" s="45">
        <v>0</v>
      </c>
      <c r="V443">
        <v>0</v>
      </c>
      <c r="W443">
        <v>5.9566666666666665E-3</v>
      </c>
      <c r="X443" s="97">
        <v>8541.4022833878753</v>
      </c>
      <c r="Y443" s="97">
        <v>3.226607262019948</v>
      </c>
      <c r="Z443" s="97">
        <v>4353.8912381818627</v>
      </c>
      <c r="AA443" s="97">
        <v>38.506922683803715</v>
      </c>
      <c r="AB443" s="97">
        <v>2.4346297319274557</v>
      </c>
      <c r="AC443" s="97">
        <v>178.05133071720783</v>
      </c>
      <c r="AD443" s="97">
        <v>55.622687061590668</v>
      </c>
      <c r="AE443" s="97">
        <v>2838.1082453852528</v>
      </c>
      <c r="AF443" s="97">
        <v>5195.5540330893018</v>
      </c>
      <c r="AG443" s="97">
        <v>3167.6503417022423</v>
      </c>
      <c r="AH443" s="97">
        <v>122172.8298885604</v>
      </c>
      <c r="AI443" s="97">
        <v>2369.8351987949504</v>
      </c>
      <c r="AJ443" s="97">
        <v>209023.18513044552</v>
      </c>
      <c r="AK443" s="97">
        <v>213712.16052812728</v>
      </c>
      <c r="AL443" s="97">
        <v>4688.9753976816792</v>
      </c>
      <c r="AM443" s="97">
        <v>124542.66508735536</v>
      </c>
    </row>
    <row r="444" spans="1:39" x14ac:dyDescent="0.25">
      <c r="A444" s="97">
        <v>442</v>
      </c>
      <c r="B444" s="97">
        <v>5.9566666666666665E-3</v>
      </c>
      <c r="C444" s="97">
        <v>5.8122583310651317</v>
      </c>
      <c r="D444" s="97">
        <v>77.906768414952751</v>
      </c>
      <c r="E444" s="97">
        <v>112.0142907855252</v>
      </c>
      <c r="F444" s="97">
        <v>197.65858547951078</v>
      </c>
      <c r="G444" s="97">
        <v>958.75923156268811</v>
      </c>
      <c r="H444" s="97">
        <v>8543.4435502085853</v>
      </c>
      <c r="I444" s="97">
        <v>81</v>
      </c>
      <c r="J444" s="97">
        <v>45</v>
      </c>
      <c r="K444" s="97">
        <v>31.657433709868084</v>
      </c>
      <c r="L444" s="97">
        <v>424.3321986334426</v>
      </c>
      <c r="M444" s="97">
        <v>610.10450381182727</v>
      </c>
      <c r="N444" s="97">
        <v>1005.9174846028102</v>
      </c>
      <c r="O444" s="97">
        <v>15541.487143631175</v>
      </c>
      <c r="P444" s="97">
        <v>58651.844148317257</v>
      </c>
      <c r="Q444" s="97">
        <v>4391.378011034446</v>
      </c>
      <c r="R444" s="97">
        <v>80656.720923740824</v>
      </c>
      <c r="S444" s="97">
        <v>92091705.078921229</v>
      </c>
      <c r="T444" s="97">
        <v>45702280.814776495</v>
      </c>
      <c r="U444" s="45">
        <v>0</v>
      </c>
      <c r="V444">
        <v>0</v>
      </c>
      <c r="W444">
        <v>5.9566666666666665E-3</v>
      </c>
      <c r="X444" s="97">
        <v>8543.4435502085853</v>
      </c>
      <c r="Y444" s="97">
        <v>3.1997450407114951</v>
      </c>
      <c r="Z444" s="97">
        <v>4357.0909832225743</v>
      </c>
      <c r="AA444" s="97">
        <v>38.197111158543571</v>
      </c>
      <c r="AB444" s="97">
        <v>2.4155847302228923</v>
      </c>
      <c r="AC444" s="97">
        <v>176.61071231874544</v>
      </c>
      <c r="AD444" s="97">
        <v>55.171531013687364</v>
      </c>
      <c r="AE444" s="97">
        <v>2840.5106543786542</v>
      </c>
      <c r="AF444" s="97">
        <v>5200.4693232922145</v>
      </c>
      <c r="AG444" s="97">
        <v>3177.4001876430671</v>
      </c>
      <c r="AH444" s="97">
        <v>122172.8298885604</v>
      </c>
      <c r="AI444" s="97">
        <v>2369.8351987949504</v>
      </c>
      <c r="AJ444" s="97">
        <v>209023.18513044552</v>
      </c>
      <c r="AK444" s="97">
        <v>213712.16052812728</v>
      </c>
      <c r="AL444" s="97">
        <v>4688.9753976816792</v>
      </c>
      <c r="AM444" s="97">
        <v>124542.66508735536</v>
      </c>
    </row>
    <row r="445" spans="1:39" x14ac:dyDescent="0.25">
      <c r="A445" s="97">
        <v>443</v>
      </c>
      <c r="B445" s="97">
        <v>5.9566666666666665E-3</v>
      </c>
      <c r="C445" s="97">
        <v>5.7176797213767605</v>
      </c>
      <c r="D445" s="97">
        <v>76.928077285537256</v>
      </c>
      <c r="E445" s="97">
        <v>110.73471197196912</v>
      </c>
      <c r="F445" s="97">
        <v>195.64761502963842</v>
      </c>
      <c r="G445" s="97">
        <v>950.76984835892529</v>
      </c>
      <c r="H445" s="97">
        <v>8545.464064775515</v>
      </c>
      <c r="I445" s="97">
        <v>81</v>
      </c>
      <c r="J445" s="97">
        <v>45</v>
      </c>
      <c r="K445" s="97">
        <v>31.142295549098755</v>
      </c>
      <c r="L445" s="97">
        <v>419.00159428189289</v>
      </c>
      <c r="M445" s="97">
        <v>603.13506454065839</v>
      </c>
      <c r="N445" s="97">
        <v>995.68332082166808</v>
      </c>
      <c r="O445" s="97">
        <v>15411.97924189818</v>
      </c>
      <c r="P445" s="97">
        <v>58177.546387312075</v>
      </c>
      <c r="Q445" s="97">
        <v>4355.7426296754011</v>
      </c>
      <c r="R445" s="97">
        <v>79994.230534078975</v>
      </c>
      <c r="S445" s="97">
        <v>92171699.309455305</v>
      </c>
      <c r="T445" s="97">
        <v>45714959.928080924</v>
      </c>
      <c r="U445" s="45">
        <v>0</v>
      </c>
      <c r="V445">
        <v>0</v>
      </c>
      <c r="W445">
        <v>5.9566666666666665E-3</v>
      </c>
      <c r="X445" s="97">
        <v>8545.464064775515</v>
      </c>
      <c r="Y445" s="97">
        <v>3.1730939394432744</v>
      </c>
      <c r="Z445" s="97">
        <v>4360.2640771620172</v>
      </c>
      <c r="AA445" s="97">
        <v>37.888355628303707</v>
      </c>
      <c r="AB445" s="97">
        <v>2.3966793002167814</v>
      </c>
      <c r="AC445" s="97">
        <v>175.18238913984814</v>
      </c>
      <c r="AD445" s="97">
        <v>54.723822220936007</v>
      </c>
      <c r="AE445" s="97">
        <v>2842.8933653389363</v>
      </c>
      <c r="AF445" s="97">
        <v>5205.3448223872028</v>
      </c>
      <c r="AG445" s="97">
        <v>3187.0626782562626</v>
      </c>
      <c r="AH445" s="97">
        <v>122172.8298885604</v>
      </c>
      <c r="AI445" s="97">
        <v>2369.8351987949504</v>
      </c>
      <c r="AJ445" s="97">
        <v>209023.18513044552</v>
      </c>
      <c r="AK445" s="97">
        <v>213712.16052812728</v>
      </c>
      <c r="AL445" s="97">
        <v>4688.9753976816792</v>
      </c>
      <c r="AM445" s="97">
        <v>124542.66508735536</v>
      </c>
    </row>
    <row r="446" spans="1:39" x14ac:dyDescent="0.25">
      <c r="A446" s="97">
        <v>444</v>
      </c>
      <c r="B446" s="97">
        <v>5.9566666666666665E-3</v>
      </c>
      <c r="C446" s="97">
        <v>5.6246401199191096</v>
      </c>
      <c r="D446" s="97">
        <v>75.961458368683708</v>
      </c>
      <c r="E446" s="97">
        <v>109.46909579769783</v>
      </c>
      <c r="F446" s="97">
        <v>193.65562116831862</v>
      </c>
      <c r="G446" s="97">
        <v>942.84332144385087</v>
      </c>
      <c r="H446" s="97">
        <v>8547.4640227090058</v>
      </c>
      <c r="I446" s="97">
        <v>82</v>
      </c>
      <c r="J446" s="97">
        <v>45</v>
      </c>
      <c r="K446" s="97">
        <v>30.635539853159415</v>
      </c>
      <c r="L446" s="97">
        <v>413.73674324809724</v>
      </c>
      <c r="M446" s="97">
        <v>596.24167511146084</v>
      </c>
      <c r="N446" s="97">
        <v>985.54573206243481</v>
      </c>
      <c r="O446" s="97">
        <v>15283.490240604824</v>
      </c>
      <c r="P446" s="97">
        <v>57706.870408276445</v>
      </c>
      <c r="Q446" s="97">
        <v>4320.3796924370963</v>
      </c>
      <c r="R446" s="97">
        <v>79336.900031593512</v>
      </c>
      <c r="S446" s="97">
        <v>92251036.209486902</v>
      </c>
      <c r="T446" s="97">
        <v>45727482.676155582</v>
      </c>
      <c r="U446" s="45">
        <v>0</v>
      </c>
      <c r="V446">
        <v>0</v>
      </c>
      <c r="W446">
        <v>5.9566666666666665E-3</v>
      </c>
      <c r="X446" s="97">
        <v>8547.4640227090058</v>
      </c>
      <c r="Y446" s="97">
        <v>3.1466524068987272</v>
      </c>
      <c r="Z446" s="97">
        <v>4363.4107295689155</v>
      </c>
      <c r="AA446" s="97">
        <v>37.599713662960887</v>
      </c>
      <c r="AB446" s="97">
        <v>2.3588958685088541</v>
      </c>
      <c r="AC446" s="97">
        <v>173.7472168911994</v>
      </c>
      <c r="AD446" s="97">
        <v>54.279536308023076</v>
      </c>
      <c r="AE446" s="97">
        <v>2845.2565307424857</v>
      </c>
      <c r="AF446" s="97">
        <v>5210.1808253285835</v>
      </c>
      <c r="AG446" s="97">
        <v>3196.6385709107631</v>
      </c>
      <c r="AH446" s="97">
        <v>122438.70993508003</v>
      </c>
      <c r="AI446" s="97">
        <v>2379.0295963457656</v>
      </c>
      <c r="AJ446" s="97">
        <v>210563.11347411081</v>
      </c>
      <c r="AK446" s="97">
        <v>215305.34113188792</v>
      </c>
      <c r="AL446" s="97">
        <v>4742.2276577770308</v>
      </c>
      <c r="AM446" s="97">
        <v>124817.7395314258</v>
      </c>
    </row>
    <row r="447" spans="1:39" x14ac:dyDescent="0.25">
      <c r="A447" s="97">
        <v>445</v>
      </c>
      <c r="B447" s="97">
        <v>6.45E-3</v>
      </c>
      <c r="C447" s="97">
        <v>5.5303396610827553</v>
      </c>
      <c r="D447" s="97">
        <v>74.969292274755716</v>
      </c>
      <c r="E447" s="97">
        <v>108.16329542232471</v>
      </c>
      <c r="F447" s="97">
        <v>191.58690805337542</v>
      </c>
      <c r="G447" s="97">
        <v>934.51405251298365</v>
      </c>
      <c r="H447" s="97">
        <v>8549.4436179924051</v>
      </c>
      <c r="I447" s="97">
        <v>82</v>
      </c>
      <c r="J447" s="97">
        <v>45</v>
      </c>
      <c r="K447" s="97">
        <v>30.121916687364074</v>
      </c>
      <c r="L447" s="97">
        <v>408.33274525650279</v>
      </c>
      <c r="M447" s="97">
        <v>589.12941573359524</v>
      </c>
      <c r="N447" s="97">
        <v>975.01770623496975</v>
      </c>
      <c r="O447" s="97">
        <v>15148.472791235467</v>
      </c>
      <c r="P447" s="97">
        <v>57211.288768543098</v>
      </c>
      <c r="Q447" s="97">
        <v>4283.1558874914726</v>
      </c>
      <c r="R447" s="97">
        <v>78645.519231182465</v>
      </c>
      <c r="S447" s="97">
        <v>92329681.728718087</v>
      </c>
      <c r="T447" s="97">
        <v>45739844.786047988</v>
      </c>
      <c r="U447" s="45">
        <v>0</v>
      </c>
      <c r="V447">
        <v>0</v>
      </c>
      <c r="W447">
        <v>6.45E-3</v>
      </c>
      <c r="X447" s="97">
        <v>8549.4436179924051</v>
      </c>
      <c r="Y447" s="97">
        <v>3.1204189025036126</v>
      </c>
      <c r="Z447" s="97">
        <v>4366.5311484714193</v>
      </c>
      <c r="AA447" s="97">
        <v>37.292969390632621</v>
      </c>
      <c r="AB447" s="97">
        <v>2.3404157235189742</v>
      </c>
      <c r="AC447" s="97">
        <v>172.23893190174988</v>
      </c>
      <c r="AD447" s="97">
        <v>53.81187119155063</v>
      </c>
      <c r="AE447" s="97">
        <v>2847.6003020116768</v>
      </c>
      <c r="AF447" s="97">
        <v>5214.9777537865257</v>
      </c>
      <c r="AG447" s="97">
        <v>3206.9145858050192</v>
      </c>
      <c r="AH447" s="97">
        <v>122438.70993508003</v>
      </c>
      <c r="AI447" s="97">
        <v>2379.0295963457656</v>
      </c>
      <c r="AJ447" s="97">
        <v>210563.11347411081</v>
      </c>
      <c r="AK447" s="97">
        <v>215305.34113188792</v>
      </c>
      <c r="AL447" s="97">
        <v>4742.2276577770308</v>
      </c>
      <c r="AM447" s="97">
        <v>124817.7395314258</v>
      </c>
    </row>
    <row r="448" spans="1:39" x14ac:dyDescent="0.25">
      <c r="A448" s="97">
        <v>446</v>
      </c>
      <c r="B448" s="97">
        <v>6.45E-3</v>
      </c>
      <c r="C448" s="97">
        <v>5.4376202058923511</v>
      </c>
      <c r="D448" s="97">
        <v>73.989870378653592</v>
      </c>
      <c r="E448" s="97">
        <v>106.87243654268771</v>
      </c>
      <c r="F448" s="97">
        <v>189.53884845563306</v>
      </c>
      <c r="G448" s="97">
        <v>926.25470728413063</v>
      </c>
      <c r="H448" s="97">
        <v>8551.4020663826723</v>
      </c>
      <c r="I448" s="97">
        <v>82</v>
      </c>
      <c r="J448" s="97">
        <v>45</v>
      </c>
      <c r="K448" s="97">
        <v>29.616904721427005</v>
      </c>
      <c r="L448" s="97">
        <v>402.99816066239987</v>
      </c>
      <c r="M448" s="97">
        <v>582.09853770250572</v>
      </c>
      <c r="N448" s="97">
        <v>964.59478959879254</v>
      </c>
      <c r="O448" s="97">
        <v>15014.588805075759</v>
      </c>
      <c r="P448" s="97">
        <v>56719.723511120901</v>
      </c>
      <c r="Q448" s="97">
        <v>4246.2363090104718</v>
      </c>
      <c r="R448" s="97">
        <v>77959.857017892253</v>
      </c>
      <c r="S448" s="97">
        <v>92407641.585735977</v>
      </c>
      <c r="T448" s="97">
        <v>45752048.270408578</v>
      </c>
      <c r="U448" s="45">
        <v>0</v>
      </c>
      <c r="V448">
        <v>0</v>
      </c>
      <c r="W448">
        <v>6.45E-3</v>
      </c>
      <c r="X448" s="97">
        <v>8551.4020663826723</v>
      </c>
      <c r="Y448" s="97">
        <v>3.0928524896916594</v>
      </c>
      <c r="Z448" s="97">
        <v>4369.6240009611111</v>
      </c>
      <c r="AA448" s="97">
        <v>36.986935892413626</v>
      </c>
      <c r="AB448" s="97">
        <v>2.3210043901823183</v>
      </c>
      <c r="AC448" s="97">
        <v>170.7446458264377</v>
      </c>
      <c r="AD448" s="97">
        <v>53.348028255675253</v>
      </c>
      <c r="AE448" s="97">
        <v>2849.9236725072142</v>
      </c>
      <c r="AF448" s="97">
        <v>5219.7335269438227</v>
      </c>
      <c r="AG448" s="97">
        <v>3217.0933802146537</v>
      </c>
      <c r="AH448" s="97">
        <v>122438.70993508003</v>
      </c>
      <c r="AI448" s="97">
        <v>2379.0295963457656</v>
      </c>
      <c r="AJ448" s="97">
        <v>210563.11347411081</v>
      </c>
      <c r="AK448" s="97">
        <v>215305.34113188792</v>
      </c>
      <c r="AL448" s="97">
        <v>4742.2276577770308</v>
      </c>
      <c r="AM448" s="97">
        <v>124817.7395314258</v>
      </c>
    </row>
    <row r="449" spans="1:39" x14ac:dyDescent="0.25">
      <c r="A449" s="97">
        <v>447</v>
      </c>
      <c r="B449" s="97">
        <v>6.45E-3</v>
      </c>
      <c r="C449" s="97">
        <v>5.3464552478752942</v>
      </c>
      <c r="D449" s="97">
        <v>73.023032797408533</v>
      </c>
      <c r="E449" s="97">
        <v>105.59635845434101</v>
      </c>
      <c r="F449" s="97">
        <v>187.51125635827455</v>
      </c>
      <c r="G449" s="97">
        <v>918.06473235055023</v>
      </c>
      <c r="H449" s="97">
        <v>8553.3395790051309</v>
      </c>
      <c r="I449" s="97">
        <v>82</v>
      </c>
      <c r="J449" s="97">
        <v>45</v>
      </c>
      <c r="K449" s="97">
        <v>29.120359583427433</v>
      </c>
      <c r="L449" s="97">
        <v>397.73211863655177</v>
      </c>
      <c r="M449" s="97">
        <v>575.14816571464405</v>
      </c>
      <c r="N449" s="97">
        <v>954.27603548331888</v>
      </c>
      <c r="O449" s="97">
        <v>14881.82931140242</v>
      </c>
      <c r="P449" s="97">
        <v>56232.147545397151</v>
      </c>
      <c r="Q449" s="97">
        <v>4209.6185855094582</v>
      </c>
      <c r="R449" s="97">
        <v>77279.872121726978</v>
      </c>
      <c r="S449" s="97">
        <v>92484921.457857698</v>
      </c>
      <c r="T449" s="97">
        <v>45764095.117803283</v>
      </c>
      <c r="U449" s="45">
        <v>0</v>
      </c>
      <c r="V449">
        <v>0</v>
      </c>
      <c r="W449">
        <v>6.45E-3</v>
      </c>
      <c r="X449" s="97">
        <v>8553.3395790051309</v>
      </c>
      <c r="Y449" s="97">
        <v>3.0655174952251891</v>
      </c>
      <c r="Z449" s="97">
        <v>4372.6895184563364</v>
      </c>
      <c r="AA449" s="97">
        <v>36.68167210440204</v>
      </c>
      <c r="AB449" s="97">
        <v>2.301744995533594</v>
      </c>
      <c r="AC449" s="97">
        <v>169.26420051189993</v>
      </c>
      <c r="AD449" s="97">
        <v>52.887977706004875</v>
      </c>
      <c r="AE449" s="97">
        <v>2852.2268104065074</v>
      </c>
      <c r="AF449" s="97">
        <v>5224.4484678057624</v>
      </c>
      <c r="AG449" s="97">
        <v>3227.1758466634819</v>
      </c>
      <c r="AH449" s="97">
        <v>122438.70993508003</v>
      </c>
      <c r="AI449" s="97">
        <v>2379.0295963457656</v>
      </c>
      <c r="AJ449" s="97">
        <v>210563.11347411081</v>
      </c>
      <c r="AK449" s="97">
        <v>215305.34113188792</v>
      </c>
      <c r="AL449" s="97">
        <v>4742.2276577770308</v>
      </c>
      <c r="AM449" s="97">
        <v>124817.7395314258</v>
      </c>
    </row>
    <row r="450" spans="1:39" x14ac:dyDescent="0.25">
      <c r="A450" s="97">
        <v>448</v>
      </c>
      <c r="B450" s="97">
        <v>6.45E-3</v>
      </c>
      <c r="C450" s="97">
        <v>5.2568187249558642</v>
      </c>
      <c r="D450" s="97">
        <v>72.068621585046699</v>
      </c>
      <c r="E450" s="97">
        <v>104.33490201306556</v>
      </c>
      <c r="F450" s="97">
        <v>185.5039471429379</v>
      </c>
      <c r="G450" s="97">
        <v>909.94357845483228</v>
      </c>
      <c r="H450" s="97">
        <v>8555.2563650835909</v>
      </c>
      <c r="I450" s="97">
        <v>82</v>
      </c>
      <c r="J450" s="97">
        <v>45</v>
      </c>
      <c r="K450" s="97">
        <v>28.632139321926271</v>
      </c>
      <c r="L450" s="97">
        <v>392.53375889988769</v>
      </c>
      <c r="M450" s="97">
        <v>568.27743296449705</v>
      </c>
      <c r="N450" s="97">
        <v>944.06050433493476</v>
      </c>
      <c r="O450" s="97">
        <v>14750.185406752831</v>
      </c>
      <c r="P450" s="97">
        <v>55748.533772103197</v>
      </c>
      <c r="Q450" s="97">
        <v>4173.3003704042249</v>
      </c>
      <c r="R450" s="97">
        <v>76605.523384781496</v>
      </c>
      <c r="S450" s="97">
        <v>92561526.981242478</v>
      </c>
      <c r="T450" s="97">
        <v>45775987.292964943</v>
      </c>
      <c r="U450" s="45">
        <v>0</v>
      </c>
      <c r="V450">
        <v>0</v>
      </c>
      <c r="W450">
        <v>6.45E-3</v>
      </c>
      <c r="X450" s="97">
        <v>8555.2563650835909</v>
      </c>
      <c r="Y450" s="97">
        <v>3.0384120875582625</v>
      </c>
      <c r="Z450" s="97">
        <v>4375.7279305438942</v>
      </c>
      <c r="AA450" s="97">
        <v>36.37723454053306</v>
      </c>
      <c r="AB450" s="97">
        <v>2.2826364267551624</v>
      </c>
      <c r="AC450" s="97">
        <v>167.79744019523486</v>
      </c>
      <c r="AD450" s="97">
        <v>52.431690060986554</v>
      </c>
      <c r="AE450" s="97">
        <v>2854.5098826565895</v>
      </c>
      <c r="AF450" s="97">
        <v>5229.1228974472524</v>
      </c>
      <c r="AG450" s="97">
        <v>3237.1628698351551</v>
      </c>
      <c r="AH450" s="97">
        <v>122438.70993508003</v>
      </c>
      <c r="AI450" s="97">
        <v>2379.0295963457656</v>
      </c>
      <c r="AJ450" s="97">
        <v>210563.11347411081</v>
      </c>
      <c r="AK450" s="97">
        <v>215305.34113188792</v>
      </c>
      <c r="AL450" s="97">
        <v>4742.2276577770308</v>
      </c>
      <c r="AM450" s="97">
        <v>124817.7395314258</v>
      </c>
    </row>
    <row r="451" spans="1:39" x14ac:dyDescent="0.25">
      <c r="A451" s="97">
        <v>449</v>
      </c>
      <c r="B451" s="97">
        <v>6.45E-3</v>
      </c>
      <c r="C451" s="97">
        <v>5.1686850120046426</v>
      </c>
      <c r="D451" s="97">
        <v>71.126480710393977</v>
      </c>
      <c r="E451" s="97">
        <v>103.08790962255888</v>
      </c>
      <c r="F451" s="97">
        <v>183.51673758293325</v>
      </c>
      <c r="G451" s="97">
        <v>901.89070045782546</v>
      </c>
      <c r="H451" s="97">
        <v>8557.1526319546501</v>
      </c>
      <c r="I451" s="97">
        <v>82</v>
      </c>
      <c r="J451" s="97">
        <v>45</v>
      </c>
      <c r="K451" s="97">
        <v>28.152104365385284</v>
      </c>
      <c r="L451" s="97">
        <v>387.40223160261252</v>
      </c>
      <c r="M451" s="97">
        <v>561.48548107753732</v>
      </c>
      <c r="N451" s="97">
        <v>933.94726368247768</v>
      </c>
      <c r="O451" s="97">
        <v>14619.648254421352</v>
      </c>
      <c r="P451" s="97">
        <v>55268.855091721227</v>
      </c>
      <c r="Q451" s="97">
        <v>4137.2793410943032</v>
      </c>
      <c r="R451" s="97">
        <v>75936.769767964899</v>
      </c>
      <c r="S451" s="97">
        <v>92637463.751010448</v>
      </c>
      <c r="T451" s="97">
        <v>45787726.737043485</v>
      </c>
      <c r="U451" s="45">
        <v>0</v>
      </c>
      <c r="V451">
        <v>0</v>
      </c>
      <c r="W451">
        <v>6.45E-3</v>
      </c>
      <c r="X451" s="97">
        <v>8557.1526319546501</v>
      </c>
      <c r="Y451" s="97">
        <v>3.0115344488774984</v>
      </c>
      <c r="Z451" s="97">
        <v>4378.7394649927719</v>
      </c>
      <c r="AA451" s="97">
        <v>36.073677368602247</v>
      </c>
      <c r="AB451" s="97">
        <v>2.2636775787466132</v>
      </c>
      <c r="AC451" s="97">
        <v>166.34421145876786</v>
      </c>
      <c r="AD451" s="97">
        <v>51.979136140389514</v>
      </c>
      <c r="AE451" s="97">
        <v>2856.7730549788034</v>
      </c>
      <c r="AF451" s="97">
        <v>5233.7571350103408</v>
      </c>
      <c r="AG451" s="97">
        <v>3247.0553266361835</v>
      </c>
      <c r="AH451" s="97">
        <v>122438.70993508003</v>
      </c>
      <c r="AI451" s="97">
        <v>2379.0295963457656</v>
      </c>
      <c r="AJ451" s="97">
        <v>210563.11347411081</v>
      </c>
      <c r="AK451" s="97">
        <v>215305.34113188792</v>
      </c>
      <c r="AL451" s="97">
        <v>4742.2276577770308</v>
      </c>
      <c r="AM451" s="97">
        <v>124817.7395314258</v>
      </c>
    </row>
    <row r="452" spans="1:39" x14ac:dyDescent="0.25">
      <c r="A452" s="97">
        <v>450</v>
      </c>
      <c r="B452" s="97">
        <v>6.45E-3</v>
      </c>
      <c r="C452" s="97">
        <v>5.0820289135128451</v>
      </c>
      <c r="D452" s="97">
        <v>70.196456035110728</v>
      </c>
      <c r="E452" s="97">
        <v>101.85522522217114</v>
      </c>
      <c r="F452" s="97">
        <v>181.54944583644266</v>
      </c>
      <c r="G452" s="97">
        <v>893.9055573078349</v>
      </c>
      <c r="H452" s="97">
        <v>8559.0285850819182</v>
      </c>
      <c r="I452" s="97">
        <v>82</v>
      </c>
      <c r="J452" s="97">
        <v>45</v>
      </c>
      <c r="K452" s="97">
        <v>27.680117482266628</v>
      </c>
      <c r="L452" s="97">
        <v>382.33669720456976</v>
      </c>
      <c r="M452" s="97">
        <v>554.77146004342546</v>
      </c>
      <c r="N452" s="97">
        <v>923.93538810262942</v>
      </c>
      <c r="O452" s="97">
        <v>14490.209083960004</v>
      </c>
      <c r="P452" s="97">
        <v>54793.08441253654</v>
      </c>
      <c r="Q452" s="97">
        <v>4101.5531981051909</v>
      </c>
      <c r="R452" s="97">
        <v>75273.570357434626</v>
      </c>
      <c r="S452" s="97">
        <v>92712737.32136789</v>
      </c>
      <c r="T452" s="97">
        <v>45799315.367854811</v>
      </c>
      <c r="U452" s="45">
        <v>0</v>
      </c>
      <c r="V452">
        <v>0</v>
      </c>
      <c r="W452">
        <v>6.45E-3</v>
      </c>
      <c r="X452" s="97">
        <v>8559.0285850819182</v>
      </c>
      <c r="Y452" s="97">
        <v>2.9848827749992402</v>
      </c>
      <c r="Z452" s="97">
        <v>4381.7243477677712</v>
      </c>
      <c r="AA452" s="97">
        <v>35.771052484043928</v>
      </c>
      <c r="AB452" s="97">
        <v>2.2448673540695108</v>
      </c>
      <c r="AC452" s="97">
        <v>164.9043631857638</v>
      </c>
      <c r="AD452" s="97">
        <v>51.530287054528436</v>
      </c>
      <c r="AE452" s="97">
        <v>2859.0164918736327</v>
      </c>
      <c r="AF452" s="97">
        <v>5238.3514977020286</v>
      </c>
      <c r="AG452" s="97">
        <v>3256.8540862585633</v>
      </c>
      <c r="AH452" s="97">
        <v>122438.70993508003</v>
      </c>
      <c r="AI452" s="97">
        <v>2379.0295963457656</v>
      </c>
      <c r="AJ452" s="97">
        <v>210563.11347411081</v>
      </c>
      <c r="AK452" s="97">
        <v>215305.34113188792</v>
      </c>
      <c r="AL452" s="97">
        <v>4742.2276577770308</v>
      </c>
      <c r="AM452" s="97">
        <v>124817.7395314258</v>
      </c>
    </row>
    <row r="453" spans="1:39" x14ac:dyDescent="0.25">
      <c r="A453" s="97">
        <v>451</v>
      </c>
      <c r="B453" s="97">
        <v>6.45E-3</v>
      </c>
      <c r="C453" s="97">
        <v>4.9968256563894773</v>
      </c>
      <c r="D453" s="97">
        <v>69.278395291954595</v>
      </c>
      <c r="E453" s="97">
        <v>100.63669427468818</v>
      </c>
      <c r="F453" s="97">
        <v>179.60189143970334</v>
      </c>
      <c r="G453" s="97">
        <v>885.98761201008722</v>
      </c>
      <c r="H453" s="97">
        <v>8560.8844280701742</v>
      </c>
      <c r="I453" s="97">
        <v>82</v>
      </c>
      <c r="J453" s="97">
        <v>45</v>
      </c>
      <c r="K453" s="97">
        <v>27.21604374180135</v>
      </c>
      <c r="L453" s="97">
        <v>377.33632635684603</v>
      </c>
      <c r="M453" s="97">
        <v>548.13452814946822</v>
      </c>
      <c r="N453" s="97">
        <v>914.02395918522348</v>
      </c>
      <c r="O453" s="97">
        <v>14361.859190683515</v>
      </c>
      <c r="P453" s="97">
        <v>54321.194658347616</v>
      </c>
      <c r="Q453" s="97">
        <v>4066.1196642858599</v>
      </c>
      <c r="R453" s="97">
        <v>74615.884370750326</v>
      </c>
      <c r="S453" s="97">
        <v>92787353.205738634</v>
      </c>
      <c r="T453" s="97">
        <v>45810755.08012832</v>
      </c>
      <c r="U453" s="45">
        <v>0</v>
      </c>
      <c r="V453">
        <v>0</v>
      </c>
      <c r="W453">
        <v>6.45E-3</v>
      </c>
      <c r="X453" s="97">
        <v>8560.8844280701742</v>
      </c>
      <c r="Y453" s="97">
        <v>2.9584552752676085</v>
      </c>
      <c r="Z453" s="97">
        <v>4384.6828030430388</v>
      </c>
      <c r="AA453" s="97">
        <v>35.469409581529995</v>
      </c>
      <c r="AB453" s="97">
        <v>2.22620466289264</v>
      </c>
      <c r="AC453" s="97">
        <v>163.47774651706587</v>
      </c>
      <c r="AD453" s="97">
        <v>51.085114194181294</v>
      </c>
      <c r="AE453" s="97">
        <v>2861.240356625668</v>
      </c>
      <c r="AF453" s="97">
        <v>5242.9063007923833</v>
      </c>
      <c r="AG453" s="97">
        <v>3266.5600102420176</v>
      </c>
      <c r="AH453" s="97">
        <v>122438.70993508003</v>
      </c>
      <c r="AI453" s="97">
        <v>2379.0295963457656</v>
      </c>
      <c r="AJ453" s="97">
        <v>210563.11347411081</v>
      </c>
      <c r="AK453" s="97">
        <v>215305.34113188792</v>
      </c>
      <c r="AL453" s="97">
        <v>4742.2276577770308</v>
      </c>
      <c r="AM453" s="97">
        <v>124817.7395314258</v>
      </c>
    </row>
    <row r="454" spans="1:39" x14ac:dyDescent="0.25">
      <c r="A454" s="97">
        <v>452</v>
      </c>
      <c r="B454" s="97">
        <v>6.45E-3</v>
      </c>
      <c r="C454" s="97">
        <v>4.9130508828792436</v>
      </c>
      <c r="D454" s="97">
        <v>68.372148063269634</v>
      </c>
      <c r="E454" s="97">
        <v>99.432163754162517</v>
      </c>
      <c r="F454" s="97">
        <v>177.67389530017508</v>
      </c>
      <c r="G454" s="97">
        <v>878.13633159645997</v>
      </c>
      <c r="H454" s="97">
        <v>8562.720362679449</v>
      </c>
      <c r="I454" s="97">
        <v>82</v>
      </c>
      <c r="J454" s="97">
        <v>45</v>
      </c>
      <c r="K454" s="97">
        <v>26.759750475415611</v>
      </c>
      <c r="L454" s="97">
        <v>372.40029978460859</v>
      </c>
      <c r="M454" s="97">
        <v>541.57385191433843</v>
      </c>
      <c r="N454" s="97">
        <v>904.21206549847432</v>
      </c>
      <c r="O454" s="97">
        <v>14234.589935178617</v>
      </c>
      <c r="P454" s="97">
        <v>53853.158775845834</v>
      </c>
      <c r="Q454" s="97">
        <v>4030.9764840581329</v>
      </c>
      <c r="R454" s="97">
        <v>73963.671162755418</v>
      </c>
      <c r="S454" s="97">
        <v>92861316.876901388</v>
      </c>
      <c r="T454" s="97">
        <v>45822047.74575305</v>
      </c>
      <c r="U454" s="45">
        <v>0</v>
      </c>
      <c r="V454">
        <v>0</v>
      </c>
      <c r="W454">
        <v>6.45E-3</v>
      </c>
      <c r="X454" s="97">
        <v>8562.720362679449</v>
      </c>
      <c r="Y454" s="97">
        <v>2.9322501724534473</v>
      </c>
      <c r="Z454" s="97">
        <v>4387.6150532154925</v>
      </c>
      <c r="AA454" s="97">
        <v>35.16879622445245</v>
      </c>
      <c r="AB454" s="97">
        <v>2.207688422937748</v>
      </c>
      <c r="AC454" s="97">
        <v>162.06421480864057</v>
      </c>
      <c r="AD454" s="97">
        <v>50.643589221158777</v>
      </c>
      <c r="AE454" s="97">
        <v>2863.4448113087037</v>
      </c>
      <c r="AF454" s="97">
        <v>5247.421857612957</v>
      </c>
      <c r="AG454" s="97">
        <v>3276.1739525358457</v>
      </c>
      <c r="AH454" s="97">
        <v>122438.70993508003</v>
      </c>
      <c r="AI454" s="97">
        <v>2379.0295963457656</v>
      </c>
      <c r="AJ454" s="97">
        <v>210563.11347411081</v>
      </c>
      <c r="AK454" s="97">
        <v>215305.34113188792</v>
      </c>
      <c r="AL454" s="97">
        <v>4742.2276577770308</v>
      </c>
      <c r="AM454" s="97">
        <v>124817.7395314258</v>
      </c>
    </row>
    <row r="455" spans="1:39" x14ac:dyDescent="0.25">
      <c r="A455" s="97">
        <v>453</v>
      </c>
      <c r="B455" s="97">
        <v>6.45E-3</v>
      </c>
      <c r="C455" s="97">
        <v>4.8306806435992007</v>
      </c>
      <c r="D455" s="97">
        <v>67.477565759699658</v>
      </c>
      <c r="E455" s="97">
        <v>98.241482133793127</v>
      </c>
      <c r="F455" s="97">
        <v>175.76527968969265</v>
      </c>
      <c r="G455" s="97">
        <v>870.35118709547191</v>
      </c>
      <c r="H455" s="97">
        <v>8564.5365888390479</v>
      </c>
      <c r="I455" s="97">
        <v>82</v>
      </c>
      <c r="J455" s="97">
        <v>45</v>
      </c>
      <c r="K455" s="97">
        <v>26.311107238803643</v>
      </c>
      <c r="L455" s="97">
        <v>367.52780817116411</v>
      </c>
      <c r="M455" s="97">
        <v>535.08860602205982</v>
      </c>
      <c r="N455" s="97">
        <v>894.49880255412745</v>
      </c>
      <c r="O455" s="97">
        <v>14108.392742817601</v>
      </c>
      <c r="P455" s="97">
        <v>53388.949741676224</v>
      </c>
      <c r="Q455" s="97">
        <v>3996.1214227146929</v>
      </c>
      <c r="R455" s="97">
        <v>73316.890231194673</v>
      </c>
      <c r="S455" s="97">
        <v>92934633.76713258</v>
      </c>
      <c r="T455" s="97">
        <v>45833195.214022383</v>
      </c>
      <c r="U455" s="45">
        <v>0</v>
      </c>
      <c r="V455">
        <v>0</v>
      </c>
      <c r="W455">
        <v>6.45E-3</v>
      </c>
      <c r="X455" s="97">
        <v>8564.5365888390479</v>
      </c>
      <c r="Y455" s="97">
        <v>2.9062657026541374</v>
      </c>
      <c r="Z455" s="97">
        <v>4390.5213189181468</v>
      </c>
      <c r="AA455" s="97">
        <v>34.86925791235133</v>
      </c>
      <c r="AB455" s="97">
        <v>2.189317559425775</v>
      </c>
      <c r="AC455" s="97">
        <v>160.66362359000931</v>
      </c>
      <c r="AD455" s="97">
        <v>50.205684059484803</v>
      </c>
      <c r="AE455" s="97">
        <v>2865.6300167909562</v>
      </c>
      <c r="AF455" s="97">
        <v>5251.8984795555134</v>
      </c>
      <c r="AG455" s="97">
        <v>3285.6967595603855</v>
      </c>
      <c r="AH455" s="97">
        <v>122438.70993508003</v>
      </c>
      <c r="AI455" s="97">
        <v>2379.0295963457656</v>
      </c>
      <c r="AJ455" s="97">
        <v>210563.11347411081</v>
      </c>
      <c r="AK455" s="97">
        <v>215305.34113188792</v>
      </c>
      <c r="AL455" s="97">
        <v>4742.2276577770308</v>
      </c>
      <c r="AM455" s="97">
        <v>124817.7395314258</v>
      </c>
    </row>
    <row r="456" spans="1:39" x14ac:dyDescent="0.25">
      <c r="A456" s="97">
        <v>454</v>
      </c>
      <c r="B456" s="97">
        <v>6.45E-3</v>
      </c>
      <c r="C456" s="97">
        <v>4.7496913906921447</v>
      </c>
      <c r="D456" s="97">
        <v>66.594501599124129</v>
      </c>
      <c r="E456" s="97">
        <v>97.064499373854801</v>
      </c>
      <c r="F456" s="97">
        <v>173.87586823760384</v>
      </c>
      <c r="G456" s="97">
        <v>862.63165350253132</v>
      </c>
      <c r="H456" s="97">
        <v>8566.3333046614953</v>
      </c>
      <c r="I456" s="97">
        <v>82</v>
      </c>
      <c r="J456" s="97">
        <v>45</v>
      </c>
      <c r="K456" s="97">
        <v>25.869985774636547</v>
      </c>
      <c r="L456" s="97">
        <v>362.71805204322942</v>
      </c>
      <c r="M456" s="97">
        <v>528.67797325626248</v>
      </c>
      <c r="N456" s="97">
        <v>884.88327277253882</v>
      </c>
      <c r="O456" s="97">
        <v>13983.259103276034</v>
      </c>
      <c r="P456" s="97">
        <v>52928.54056919046</v>
      </c>
      <c r="Q456" s="97">
        <v>3961.5522657626943</v>
      </c>
      <c r="R456" s="97">
        <v>72675.501222075851</v>
      </c>
      <c r="S456" s="97">
        <v>93007309.268354654</v>
      </c>
      <c r="T456" s="97">
        <v>45844199.311877273</v>
      </c>
      <c r="U456" s="45">
        <v>0</v>
      </c>
      <c r="V456">
        <v>0</v>
      </c>
      <c r="W456">
        <v>6.45E-3</v>
      </c>
      <c r="X456" s="97">
        <v>8566.3333046614953</v>
      </c>
      <c r="Y456" s="97">
        <v>2.8805001151942786</v>
      </c>
      <c r="Z456" s="97">
        <v>4393.4018190333409</v>
      </c>
      <c r="AA456" s="97">
        <v>34.570838146347668</v>
      </c>
      <c r="AB456" s="97">
        <v>2.1710910050235634</v>
      </c>
      <c r="AC456" s="97">
        <v>159.27583052354768</v>
      </c>
      <c r="AD456" s="97">
        <v>49.771370887149878</v>
      </c>
      <c r="AE456" s="97">
        <v>2867.7961327403991</v>
      </c>
      <c r="AF456" s="97">
        <v>5256.336476071061</v>
      </c>
      <c r="AG456" s="97">
        <v>3295.129270268088</v>
      </c>
      <c r="AH456" s="97">
        <v>122438.70993508003</v>
      </c>
      <c r="AI456" s="97">
        <v>2379.0295963457656</v>
      </c>
      <c r="AJ456" s="97">
        <v>210563.11347411081</v>
      </c>
      <c r="AK456" s="97">
        <v>215305.34113188792</v>
      </c>
      <c r="AL456" s="97">
        <v>4742.2276577770308</v>
      </c>
      <c r="AM456" s="97">
        <v>124817.7395314258</v>
      </c>
    </row>
    <row r="457" spans="1:39" x14ac:dyDescent="0.25">
      <c r="A457" s="97">
        <v>455</v>
      </c>
      <c r="B457" s="97">
        <v>6.45E-3</v>
      </c>
      <c r="C457" s="97">
        <v>4.6700599710947976</v>
      </c>
      <c r="D457" s="97">
        <v>65.722810585814656</v>
      </c>
      <c r="E457" s="97">
        <v>95.901066909678008</v>
      </c>
      <c r="F457" s="97">
        <v>172.00548592389418</v>
      </c>
      <c r="G457" s="97">
        <v>854.9772097504399</v>
      </c>
      <c r="H457" s="97">
        <v>8568.1107064564112</v>
      </c>
      <c r="I457" s="97">
        <v>82</v>
      </c>
      <c r="J457" s="97">
        <v>45</v>
      </c>
      <c r="K457" s="97">
        <v>25.436259975896331</v>
      </c>
      <c r="L457" s="97">
        <v>357.97024165740379</v>
      </c>
      <c r="M457" s="97">
        <v>522.34114443471287</v>
      </c>
      <c r="N457" s="97">
        <v>875.36458544768482</v>
      </c>
      <c r="O457" s="97">
        <v>13859.180570054632</v>
      </c>
      <c r="P457" s="97">
        <v>52471.904314902669</v>
      </c>
      <c r="Q457" s="97">
        <v>3927.2668183101109</v>
      </c>
      <c r="R457" s="97">
        <v>72039.463934783111</v>
      </c>
      <c r="S457" s="97">
        <v>93079348.732289433</v>
      </c>
      <c r="T457" s="97">
        <v>45855061.844147965</v>
      </c>
      <c r="U457" s="45">
        <v>0</v>
      </c>
      <c r="V457">
        <v>0</v>
      </c>
      <c r="W457">
        <v>6.45E-3</v>
      </c>
      <c r="X457" s="97">
        <v>8568.1107064564112</v>
      </c>
      <c r="Y457" s="97">
        <v>2.8549516725272244</v>
      </c>
      <c r="Z457" s="97">
        <v>4396.2567707058679</v>
      </c>
      <c r="AA457" s="97">
        <v>34.273578492639629</v>
      </c>
      <c r="AB457" s="97">
        <v>2.1530076997910506</v>
      </c>
      <c r="AC457" s="97">
        <v>157.90069536463332</v>
      </c>
      <c r="AD457" s="97">
        <v>49.340622128401421</v>
      </c>
      <c r="AE457" s="97">
        <v>2869.9433176302073</v>
      </c>
      <c r="AF457" s="97">
        <v>5260.7361546692036</v>
      </c>
      <c r="AG457" s="97">
        <v>3304.4723162042005</v>
      </c>
      <c r="AH457" s="97">
        <v>122438.70993508003</v>
      </c>
      <c r="AI457" s="97">
        <v>2379.0295963457656</v>
      </c>
      <c r="AJ457" s="97">
        <v>210563.11347411081</v>
      </c>
      <c r="AK457" s="97">
        <v>215305.34113188792</v>
      </c>
      <c r="AL457" s="97">
        <v>4742.2276577770308</v>
      </c>
      <c r="AM457" s="97">
        <v>124817.7395314258</v>
      </c>
    </row>
    <row r="458" spans="1:39" x14ac:dyDescent="0.25">
      <c r="A458" s="97">
        <v>456</v>
      </c>
      <c r="B458" s="97">
        <v>6.45E-3</v>
      </c>
      <c r="C458" s="97">
        <v>4.5917636199188463</v>
      </c>
      <c r="D458" s="97">
        <v>64.862349489810114</v>
      </c>
      <c r="E458" s="97">
        <v>94.751037639679822</v>
      </c>
      <c r="F458" s="97">
        <v>170.15395907229882</v>
      </c>
      <c r="G458" s="97">
        <v>847.38733868014833</v>
      </c>
      <c r="H458" s="97">
        <v>8569.8689887443161</v>
      </c>
      <c r="I458" s="97">
        <v>83</v>
      </c>
      <c r="J458" s="97">
        <v>45</v>
      </c>
      <c r="K458" s="97">
        <v>25.009805849824648</v>
      </c>
      <c r="L458" s="97">
        <v>353.2835968878324</v>
      </c>
      <c r="M458" s="97">
        <v>516.07731834412277</v>
      </c>
      <c r="N458" s="97">
        <v>865.94185671210732</v>
      </c>
      <c r="O458" s="97">
        <v>13736.148760005206</v>
      </c>
      <c r="P458" s="97">
        <v>52019.014084658549</v>
      </c>
      <c r="Q458" s="97">
        <v>3893.2629044921191</v>
      </c>
      <c r="R458" s="97">
        <v>71408.738326949766</v>
      </c>
      <c r="S458" s="97">
        <v>93150757.470616385</v>
      </c>
      <c r="T458" s="97">
        <v>45865784.593794145</v>
      </c>
      <c r="U458" s="45">
        <v>0</v>
      </c>
      <c r="V458">
        <v>0</v>
      </c>
      <c r="W458">
        <v>6.45E-3</v>
      </c>
      <c r="X458" s="97">
        <v>8569.8689887443161</v>
      </c>
      <c r="Y458" s="97">
        <v>2.8296186501374598</v>
      </c>
      <c r="Z458" s="97">
        <v>4399.0863893560054</v>
      </c>
      <c r="AA458" s="97">
        <v>33.996146826366967</v>
      </c>
      <c r="AB458" s="97">
        <v>2.1164384088800841</v>
      </c>
      <c r="AC458" s="97">
        <v>156.51945174037536</v>
      </c>
      <c r="AD458" s="97">
        <v>48.913410446537085</v>
      </c>
      <c r="AE458" s="97">
        <v>2872.0717287443058</v>
      </c>
      <c r="AF458" s="97">
        <v>5265.0978209177974</v>
      </c>
      <c r="AG458" s="97">
        <v>3313.7267215670672</v>
      </c>
      <c r="AH458" s="97">
        <v>122664.50910156962</v>
      </c>
      <c r="AI458" s="97">
        <v>2386.9223157781566</v>
      </c>
      <c r="AJ458" s="97">
        <v>211936.29009287246</v>
      </c>
      <c r="AK458" s="97">
        <v>216726.51658940307</v>
      </c>
      <c r="AL458" s="97">
        <v>4790.2264965305139</v>
      </c>
      <c r="AM458" s="97">
        <v>125051.43141734779</v>
      </c>
    </row>
    <row r="459" spans="1:39" x14ac:dyDescent="0.25">
      <c r="A459" s="97">
        <v>457</v>
      </c>
      <c r="B459" s="97">
        <v>7.0116666666666669E-3</v>
      </c>
      <c r="C459" s="97">
        <v>4.5122009133764385</v>
      </c>
      <c r="D459" s="97">
        <v>63.976545806878612</v>
      </c>
      <c r="E459" s="97">
        <v>93.561047413972503</v>
      </c>
      <c r="F459" s="97">
        <v>168.22554553639003</v>
      </c>
      <c r="G459" s="97">
        <v>839.3855777898699</v>
      </c>
      <c r="H459" s="97">
        <v>8571.608344270373</v>
      </c>
      <c r="I459" s="97">
        <v>83</v>
      </c>
      <c r="J459" s="97">
        <v>45</v>
      </c>
      <c r="K459" s="97">
        <v>24.576454308190332</v>
      </c>
      <c r="L459" s="97">
        <v>348.45891949479881</v>
      </c>
      <c r="M459" s="97">
        <v>509.59583824810352</v>
      </c>
      <c r="N459" s="97">
        <v>856.12783882561155</v>
      </c>
      <c r="O459" s="97">
        <v>13606.440215973791</v>
      </c>
      <c r="P459" s="97">
        <v>51540.591350947892</v>
      </c>
      <c r="Q459" s="97">
        <v>3857.3516509369633</v>
      </c>
      <c r="R459" s="97">
        <v>70743.142268735348</v>
      </c>
      <c r="S459" s="97">
        <v>93221500.612885118</v>
      </c>
      <c r="T459" s="97">
        <v>45876363.319387093</v>
      </c>
      <c r="U459" s="45">
        <v>0</v>
      </c>
      <c r="V459">
        <v>0</v>
      </c>
      <c r="W459">
        <v>7.0116666666666669E-3</v>
      </c>
      <c r="X459" s="97">
        <v>8571.608344270373</v>
      </c>
      <c r="Y459" s="97">
        <v>2.8044993364438184</v>
      </c>
      <c r="Z459" s="97">
        <v>4401.8908886924492</v>
      </c>
      <c r="AA459" s="97">
        <v>33.700164628038962</v>
      </c>
      <c r="AB459" s="97">
        <v>2.0987937538239301</v>
      </c>
      <c r="AC459" s="97">
        <v>155.06324783743497</v>
      </c>
      <c r="AD459" s="97">
        <v>48.462235704968442</v>
      </c>
      <c r="AE459" s="97">
        <v>2874.1815221830161</v>
      </c>
      <c r="AF459" s="97">
        <v>5269.4219042190598</v>
      </c>
      <c r="AG459" s="97">
        <v>3323.6915301500112</v>
      </c>
      <c r="AH459" s="97">
        <v>122664.50910156962</v>
      </c>
      <c r="AI459" s="97">
        <v>2386.9223157781566</v>
      </c>
      <c r="AJ459" s="97">
        <v>211936.29009287246</v>
      </c>
      <c r="AK459" s="97">
        <v>216726.51658940307</v>
      </c>
      <c r="AL459" s="97">
        <v>4790.2264965305139</v>
      </c>
      <c r="AM459" s="97">
        <v>125051.43141734779</v>
      </c>
    </row>
    <row r="460" spans="1:39" x14ac:dyDescent="0.25">
      <c r="A460" s="97">
        <v>458</v>
      </c>
      <c r="B460" s="97">
        <v>7.0116666666666669E-3</v>
      </c>
      <c r="C460" s="97">
        <v>4.4340168109600988</v>
      </c>
      <c r="D460" s="97">
        <v>63.102665387929356</v>
      </c>
      <c r="E460" s="97">
        <v>92.385477385551582</v>
      </c>
      <c r="F460" s="97">
        <v>166.31775668653322</v>
      </c>
      <c r="G460" s="97">
        <v>831.45608819192807</v>
      </c>
      <c r="H460" s="97">
        <v>8573.3279870800252</v>
      </c>
      <c r="I460" s="97">
        <v>83</v>
      </c>
      <c r="J460" s="97">
        <v>45</v>
      </c>
      <c r="K460" s="97">
        <v>24.150611563696003</v>
      </c>
      <c r="L460" s="97">
        <v>343.69918414625522</v>
      </c>
      <c r="M460" s="97">
        <v>503.19290015997092</v>
      </c>
      <c r="N460" s="97">
        <v>846.41878340388189</v>
      </c>
      <c r="O460" s="97">
        <v>13477.903189591154</v>
      </c>
      <c r="P460" s="97">
        <v>51066.349739360958</v>
      </c>
      <c r="Q460" s="97">
        <v>3821.7566877829172</v>
      </c>
      <c r="R460" s="97">
        <v>70083.471096008827</v>
      </c>
      <c r="S460" s="97">
        <v>93291584.083981127</v>
      </c>
      <c r="T460" s="97">
        <v>45886799.913843997</v>
      </c>
      <c r="U460" s="45">
        <v>0</v>
      </c>
      <c r="V460">
        <v>0</v>
      </c>
      <c r="W460">
        <v>7.0116666666666669E-3</v>
      </c>
      <c r="X460" s="97">
        <v>8573.3279870800252</v>
      </c>
      <c r="Y460" s="97">
        <v>2.778016838909549</v>
      </c>
      <c r="Z460" s="97">
        <v>4404.6689055313591</v>
      </c>
      <c r="AA460" s="97">
        <v>33.404962141290603</v>
      </c>
      <c r="AB460" s="97">
        <v>2.08025258456661</v>
      </c>
      <c r="AC460" s="97">
        <v>153.62157725792915</v>
      </c>
      <c r="AD460" s="97">
        <v>48.015034710508417</v>
      </c>
      <c r="AE460" s="97">
        <v>2876.2716671321855</v>
      </c>
      <c r="AF460" s="97">
        <v>5273.7062716413438</v>
      </c>
      <c r="AG460" s="97">
        <v>3333.5561497860267</v>
      </c>
      <c r="AH460" s="97">
        <v>122664.50910156962</v>
      </c>
      <c r="AI460" s="97">
        <v>2386.9223157781566</v>
      </c>
      <c r="AJ460" s="97">
        <v>211936.29009287246</v>
      </c>
      <c r="AK460" s="97">
        <v>216726.51658940307</v>
      </c>
      <c r="AL460" s="97">
        <v>4790.2264965305139</v>
      </c>
      <c r="AM460" s="97">
        <v>125051.43141734779</v>
      </c>
    </row>
    <row r="461" spans="1:39" x14ac:dyDescent="0.25">
      <c r="A461" s="97">
        <v>459</v>
      </c>
      <c r="B461" s="97">
        <v>7.0116666666666669E-3</v>
      </c>
      <c r="C461" s="97">
        <v>4.3571874252303608</v>
      </c>
      <c r="D461" s="97">
        <v>62.240550914852911</v>
      </c>
      <c r="E461" s="97">
        <v>91.22416158219788</v>
      </c>
      <c r="F461" s="97">
        <v>164.43038987858873</v>
      </c>
      <c r="G461" s="97">
        <v>823.59824992439371</v>
      </c>
      <c r="H461" s="97">
        <v>8575.0281280038762</v>
      </c>
      <c r="I461" s="97">
        <v>83</v>
      </c>
      <c r="J461" s="97">
        <v>45</v>
      </c>
      <c r="K461" s="97">
        <v>23.732147509421363</v>
      </c>
      <c r="L461" s="97">
        <v>339.00353398289883</v>
      </c>
      <c r="M461" s="97">
        <v>496.86760008437108</v>
      </c>
      <c r="N461" s="97">
        <v>836.81365915711774</v>
      </c>
      <c r="O461" s="97">
        <v>13350.527631274423</v>
      </c>
      <c r="P461" s="97">
        <v>50596.258156043732</v>
      </c>
      <c r="Q461" s="97">
        <v>3786.4753414502197</v>
      </c>
      <c r="R461" s="97">
        <v>69429.678069502188</v>
      </c>
      <c r="S461" s="97">
        <v>93361013.762050629</v>
      </c>
      <c r="T461" s="97">
        <v>45897096.246260464</v>
      </c>
      <c r="U461" s="45">
        <v>0</v>
      </c>
      <c r="V461">
        <v>0</v>
      </c>
      <c r="W461">
        <v>7.0116666666666669E-3</v>
      </c>
      <c r="X461" s="97">
        <v>8575.0281280038762</v>
      </c>
      <c r="Y461" s="97">
        <v>2.7517735292674637</v>
      </c>
      <c r="Z461" s="97">
        <v>4407.4206790606268</v>
      </c>
      <c r="AA461" s="97">
        <v>33.1105999280324</v>
      </c>
      <c r="AB461" s="97">
        <v>2.0618670672884623</v>
      </c>
      <c r="AC461" s="97">
        <v>152.19426556112217</v>
      </c>
      <c r="AD461" s="97">
        <v>47.571773873361643</v>
      </c>
      <c r="AE461" s="97">
        <v>2878.3423380562067</v>
      </c>
      <c r="AF461" s="97">
        <v>5277.9512594711032</v>
      </c>
      <c r="AG461" s="97">
        <v>3343.3215614411183</v>
      </c>
      <c r="AH461" s="97">
        <v>122664.50910156962</v>
      </c>
      <c r="AI461" s="97">
        <v>2386.9223157781566</v>
      </c>
      <c r="AJ461" s="97">
        <v>211936.29009287246</v>
      </c>
      <c r="AK461" s="97">
        <v>216726.51658940307</v>
      </c>
      <c r="AL461" s="97">
        <v>4790.2264965305139</v>
      </c>
      <c r="AM461" s="97">
        <v>125051.43141734779</v>
      </c>
    </row>
    <row r="462" spans="1:39" x14ac:dyDescent="0.25">
      <c r="A462" s="97">
        <v>460</v>
      </c>
      <c r="B462" s="97">
        <v>7.0116666666666669E-3</v>
      </c>
      <c r="C462" s="97">
        <v>4.2816892826517581</v>
      </c>
      <c r="D462" s="97">
        <v>61.390047086452178</v>
      </c>
      <c r="E462" s="97">
        <v>90.0769357938523</v>
      </c>
      <c r="F462" s="97">
        <v>162.56324420208651</v>
      </c>
      <c r="G462" s="97">
        <v>815.81144808061367</v>
      </c>
      <c r="H462" s="97">
        <v>8576.7089758010497</v>
      </c>
      <c r="I462" s="97">
        <v>83</v>
      </c>
      <c r="J462" s="97">
        <v>45</v>
      </c>
      <c r="K462" s="97">
        <v>23.320934292843241</v>
      </c>
      <c r="L462" s="97">
        <v>334.37112313087619</v>
      </c>
      <c r="M462" s="97">
        <v>490.61904362384882</v>
      </c>
      <c r="N462" s="97">
        <v>827.3114436184519</v>
      </c>
      <c r="O462" s="97">
        <v>13224.303573386749</v>
      </c>
      <c r="P462" s="97">
        <v>50130.285541486497</v>
      </c>
      <c r="Q462" s="97">
        <v>3751.504967359534</v>
      </c>
      <c r="R462" s="97">
        <v>68781.716626898808</v>
      </c>
      <c r="S462" s="97">
        <v>93429795.478677526</v>
      </c>
      <c r="T462" s="97">
        <v>45907254.162174471</v>
      </c>
      <c r="U462" s="45">
        <v>0</v>
      </c>
      <c r="V462">
        <v>0</v>
      </c>
      <c r="W462">
        <v>7.0116666666666669E-3</v>
      </c>
      <c r="X462" s="97">
        <v>8576.7089758010497</v>
      </c>
      <c r="Y462" s="97">
        <v>2.7257673557016568</v>
      </c>
      <c r="Z462" s="97">
        <v>4410.1464464163282</v>
      </c>
      <c r="AA462" s="97">
        <v>32.817135945815544</v>
      </c>
      <c r="AB462" s="97">
        <v>2.0436359700916875</v>
      </c>
      <c r="AC462" s="97">
        <v>150.78114103642108</v>
      </c>
      <c r="AD462" s="97">
        <v>47.132419968082594</v>
      </c>
      <c r="AE462" s="97">
        <v>2880.3937080251553</v>
      </c>
      <c r="AF462" s="97">
        <v>5282.1572017588705</v>
      </c>
      <c r="AG462" s="97">
        <v>3352.9887368451555</v>
      </c>
      <c r="AH462" s="97">
        <v>122664.50910156962</v>
      </c>
      <c r="AI462" s="97">
        <v>2386.9223157781566</v>
      </c>
      <c r="AJ462" s="97">
        <v>211936.29009287246</v>
      </c>
      <c r="AK462" s="97">
        <v>216726.51658940307</v>
      </c>
      <c r="AL462" s="97">
        <v>4790.2264965305139</v>
      </c>
      <c r="AM462" s="97">
        <v>125051.43141734779</v>
      </c>
    </row>
    <row r="463" spans="1:39" x14ac:dyDescent="0.25">
      <c r="A463" s="97">
        <v>461</v>
      </c>
      <c r="B463" s="97">
        <v>7.0116666666666669E-3</v>
      </c>
      <c r="C463" s="97">
        <v>4.2074993164210017</v>
      </c>
      <c r="D463" s="97">
        <v>60.55100059369488</v>
      </c>
      <c r="E463" s="97">
        <v>88.943637556463159</v>
      </c>
      <c r="F463" s="97">
        <v>160.71612046902055</v>
      </c>
      <c r="G463" s="97">
        <v>808.09507276882027</v>
      </c>
      <c r="H463" s="97">
        <v>8578.3707371769142</v>
      </c>
      <c r="I463" s="97">
        <v>83</v>
      </c>
      <c r="J463" s="97">
        <v>45</v>
      </c>
      <c r="K463" s="97">
        <v>22.916846276773054</v>
      </c>
      <c r="L463" s="97">
        <v>329.80111656699142</v>
      </c>
      <c r="M463" s="97">
        <v>484.44634589086928</v>
      </c>
      <c r="N463" s="97">
        <v>817.91112308692368</v>
      </c>
      <c r="O463" s="97">
        <v>13099.221129582578</v>
      </c>
      <c r="P463" s="97">
        <v>49668.400879113367</v>
      </c>
      <c r="Q463" s="97">
        <v>3716.8429489446248</v>
      </c>
      <c r="R463" s="97">
        <v>68139.540389462127</v>
      </c>
      <c r="S463" s="97">
        <v>93497935.019066989</v>
      </c>
      <c r="T463" s="97">
        <v>45917275.483828761</v>
      </c>
      <c r="U463" s="45">
        <v>0</v>
      </c>
      <c r="V463">
        <v>0</v>
      </c>
      <c r="W463">
        <v>7.0116666666666669E-3</v>
      </c>
      <c r="X463" s="97">
        <v>8578.3707371769142</v>
      </c>
      <c r="Y463" s="97">
        <v>2.6999962831270836</v>
      </c>
      <c r="Z463" s="97">
        <v>4412.8464426994551</v>
      </c>
      <c r="AA463" s="97">
        <v>32.524625632063021</v>
      </c>
      <c r="AB463" s="97">
        <v>2.0255580703150056</v>
      </c>
      <c r="AC463" s="97">
        <v>149.38203465060283</v>
      </c>
      <c r="AD463" s="97">
        <v>46.696940121171238</v>
      </c>
      <c r="AE463" s="97">
        <v>2882.4259487214626</v>
      </c>
      <c r="AF463" s="97">
        <v>5286.3244303194342</v>
      </c>
      <c r="AG463" s="97">
        <v>3362.55863857231</v>
      </c>
      <c r="AH463" s="97">
        <v>122664.50910156962</v>
      </c>
      <c r="AI463" s="97">
        <v>2386.9223157781566</v>
      </c>
      <c r="AJ463" s="97">
        <v>211936.29009287246</v>
      </c>
      <c r="AK463" s="97">
        <v>216726.51658940307</v>
      </c>
      <c r="AL463" s="97">
        <v>4790.2264965305139</v>
      </c>
      <c r="AM463" s="97">
        <v>125051.43141734779</v>
      </c>
    </row>
    <row r="464" spans="1:39" x14ac:dyDescent="0.25">
      <c r="A464" s="97">
        <v>462</v>
      </c>
      <c r="B464" s="97">
        <v>7.0116666666666669E-3</v>
      </c>
      <c r="C464" s="97">
        <v>4.1345948594194226</v>
      </c>
      <c r="D464" s="97">
        <v>59.723260095248087</v>
      </c>
      <c r="E464" s="97">
        <v>87.824106135935367</v>
      </c>
      <c r="F464" s="97">
        <v>158.88882120266516</v>
      </c>
      <c r="G464" s="97">
        <v>800.44851907208999</v>
      </c>
      <c r="H464" s="97">
        <v>8580.0136168006866</v>
      </c>
      <c r="I464" s="97">
        <v>83</v>
      </c>
      <c r="J464" s="97">
        <v>45</v>
      </c>
      <c r="K464" s="97">
        <v>22.519760000971122</v>
      </c>
      <c r="L464" s="97">
        <v>325.2926899854512</v>
      </c>
      <c r="M464" s="97">
        <v>478.34863142039461</v>
      </c>
      <c r="N464" s="97">
        <v>808.61169257056338</v>
      </c>
      <c r="O464" s="97">
        <v>12975.27049415858</v>
      </c>
      <c r="P464" s="97">
        <v>49210.573203484884</v>
      </c>
      <c r="Q464" s="97">
        <v>3682.4866967276066</v>
      </c>
      <c r="R464" s="97">
        <v>67503.103168348447</v>
      </c>
      <c r="S464" s="97">
        <v>93565438.122235343</v>
      </c>
      <c r="T464" s="97">
        <v>45927162.010431632</v>
      </c>
      <c r="U464" s="45">
        <v>0</v>
      </c>
      <c r="V464">
        <v>0</v>
      </c>
      <c r="W464">
        <v>7.0116666666666669E-3</v>
      </c>
      <c r="X464" s="97">
        <v>8580.0136168006866</v>
      </c>
      <c r="Y464" s="97">
        <v>2.6744582930558813</v>
      </c>
      <c r="Z464" s="97">
        <v>4415.5209009925111</v>
      </c>
      <c r="AA464" s="97">
        <v>32.23312198575438</v>
      </c>
      <c r="AB464" s="97">
        <v>2.0076321544644888</v>
      </c>
      <c r="AC464" s="97">
        <v>147.99677999617114</v>
      </c>
      <c r="AD464" s="97">
        <v>46.265301799454825</v>
      </c>
      <c r="AE464" s="97">
        <v>2884.4392304467224</v>
      </c>
      <c r="AF464" s="97">
        <v>5290.4532747323319</v>
      </c>
      <c r="AG464" s="97">
        <v>3372.032220120931</v>
      </c>
      <c r="AH464" s="97">
        <v>122664.50910156962</v>
      </c>
      <c r="AI464" s="97">
        <v>2386.9223157781566</v>
      </c>
      <c r="AJ464" s="97">
        <v>211936.29009287246</v>
      </c>
      <c r="AK464" s="97">
        <v>216726.51658940307</v>
      </c>
      <c r="AL464" s="97">
        <v>4790.2264965305139</v>
      </c>
      <c r="AM464" s="97">
        <v>125051.43141734779</v>
      </c>
    </row>
    <row r="465" spans="1:39" x14ac:dyDescent="0.25">
      <c r="A465" s="97">
        <v>463</v>
      </c>
      <c r="B465" s="97">
        <v>7.0116666666666669E-3</v>
      </c>
      <c r="C465" s="97">
        <v>4.0629536372875323</v>
      </c>
      <c r="D465" s="97">
        <v>58.906676193292057</v>
      </c>
      <c r="E465" s="97">
        <v>86.718182512181869</v>
      </c>
      <c r="F465" s="97">
        <v>157.08115062641394</v>
      </c>
      <c r="G465" s="97">
        <v>792.8711870086488</v>
      </c>
      <c r="H465" s="97">
        <v>8581.6378173229332</v>
      </c>
      <c r="I465" s="97">
        <v>83</v>
      </c>
      <c r="J465" s="97">
        <v>45</v>
      </c>
      <c r="K465" s="97">
        <v>22.129554144426091</v>
      </c>
      <c r="L465" s="97">
        <v>320.8450296661307</v>
      </c>
      <c r="M465" s="97">
        <v>472.32503408301721</v>
      </c>
      <c r="N465" s="97">
        <v>799.41215572959163</v>
      </c>
      <c r="O465" s="97">
        <v>12852.441941410198</v>
      </c>
      <c r="P465" s="97">
        <v>48756.771608127645</v>
      </c>
      <c r="Q465" s="97">
        <v>3648.4336474528609</v>
      </c>
      <c r="R465" s="97">
        <v>66872.358970613874</v>
      </c>
      <c r="S465" s="97">
        <v>93632310.481205955</v>
      </c>
      <c r="T465" s="97">
        <v>45936915.518416084</v>
      </c>
      <c r="U465" s="45">
        <v>0</v>
      </c>
      <c r="V465">
        <v>0</v>
      </c>
      <c r="W465">
        <v>7.0116666666666669E-3</v>
      </c>
      <c r="X465" s="97">
        <v>8581.6378173229332</v>
      </c>
      <c r="Y465" s="97">
        <v>2.6491513834648512</v>
      </c>
      <c r="Z465" s="97">
        <v>4418.1700523759755</v>
      </c>
      <c r="AA465" s="97">
        <v>31.942675646639724</v>
      </c>
      <c r="AB465" s="97">
        <v>1.9898570181449935</v>
      </c>
      <c r="AC465" s="97">
        <v>146.6252132408176</v>
      </c>
      <c r="AD465" s="97">
        <v>45.837472799206743</v>
      </c>
      <c r="AE465" s="97">
        <v>2886.4337221286296</v>
      </c>
      <c r="AF465" s="97">
        <v>5294.5440623426612</v>
      </c>
      <c r="AG465" s="97">
        <v>3381.4104259928513</v>
      </c>
      <c r="AH465" s="97">
        <v>122664.50910156962</v>
      </c>
      <c r="AI465" s="97">
        <v>2386.9223157781566</v>
      </c>
      <c r="AJ465" s="97">
        <v>211936.29009287246</v>
      </c>
      <c r="AK465" s="97">
        <v>216726.51658940307</v>
      </c>
      <c r="AL465" s="97">
        <v>4790.2264965305139</v>
      </c>
      <c r="AM465" s="97">
        <v>125051.43141734779</v>
      </c>
    </row>
    <row r="466" spans="1:39" x14ac:dyDescent="0.25">
      <c r="A466" s="97">
        <v>464</v>
      </c>
      <c r="B466" s="97">
        <v>7.0116666666666669E-3</v>
      </c>
      <c r="C466" s="97">
        <v>3.992553761619579</v>
      </c>
      <c r="D466" s="97">
        <v>58.101101409610578</v>
      </c>
      <c r="E466" s="97">
        <v>85.625709363277451</v>
      </c>
      <c r="F466" s="97">
        <v>155.29291465264217</v>
      </c>
      <c r="G466" s="97">
        <v>785.36248149251901</v>
      </c>
      <c r="H466" s="97">
        <v>8583.2435393929391</v>
      </c>
      <c r="I466" s="97">
        <v>83</v>
      </c>
      <c r="J466" s="97">
        <v>45</v>
      </c>
      <c r="K466" s="97">
        <v>21.746109488287971</v>
      </c>
      <c r="L466" s="97">
        <v>316.45733234434562</v>
      </c>
      <c r="M466" s="97">
        <v>466.37469699865113</v>
      </c>
      <c r="N466" s="97">
        <v>790.31152481973811</v>
      </c>
      <c r="O466" s="97">
        <v>12730.725824993733</v>
      </c>
      <c r="P466" s="97">
        <v>48306.965253004018</v>
      </c>
      <c r="Q466" s="97">
        <v>3614.681263275937</v>
      </c>
      <c r="R466" s="97">
        <v>66247.262004924705</v>
      </c>
      <c r="S466" s="97">
        <v>93698557.743210882</v>
      </c>
      <c r="T466" s="97">
        <v>45946537.761697263</v>
      </c>
      <c r="U466" s="45">
        <v>0</v>
      </c>
      <c r="V466">
        <v>0</v>
      </c>
      <c r="W466">
        <v>7.0116666666666669E-3</v>
      </c>
      <c r="X466" s="97">
        <v>8583.2435393929391</v>
      </c>
      <c r="Y466" s="97">
        <v>2.6240735686640848</v>
      </c>
      <c r="Z466" s="97">
        <v>4420.7941259446397</v>
      </c>
      <c r="AA466" s="97">
        <v>31.653334972056271</v>
      </c>
      <c r="AB466" s="97">
        <v>1.9722314659921887</v>
      </c>
      <c r="AC466" s="97">
        <v>145.2671730779627</v>
      </c>
      <c r="AD466" s="97">
        <v>45.413421235956243</v>
      </c>
      <c r="AE466" s="97">
        <v>2888.4095913280394</v>
      </c>
      <c r="AF466" s="97">
        <v>5298.5971182622179</v>
      </c>
      <c r="AG466" s="97">
        <v>3390.6941917721388</v>
      </c>
      <c r="AH466" s="97">
        <v>122664.50910156962</v>
      </c>
      <c r="AI466" s="97">
        <v>2386.9223157781566</v>
      </c>
      <c r="AJ466" s="97">
        <v>211936.29009287246</v>
      </c>
      <c r="AK466" s="97">
        <v>216726.51658940307</v>
      </c>
      <c r="AL466" s="97">
        <v>4790.2264965305139</v>
      </c>
      <c r="AM466" s="97">
        <v>125051.43141734779</v>
      </c>
    </row>
    <row r="467" spans="1:39" x14ac:dyDescent="0.25">
      <c r="A467" s="97">
        <v>465</v>
      </c>
      <c r="B467" s="97">
        <v>7.0116666666666669E-3</v>
      </c>
      <c r="C467" s="97">
        <v>3.9233737232760242</v>
      </c>
      <c r="D467" s="97">
        <v>57.306390161955079</v>
      </c>
      <c r="E467" s="97">
        <v>84.546531049715256</v>
      </c>
      <c r="F467" s="97">
        <v>153.52392087159313</v>
      </c>
      <c r="G467" s="97">
        <v>777.921812294505</v>
      </c>
      <c r="H467" s="97">
        <v>8584.8309816759829</v>
      </c>
      <c r="I467" s="97">
        <v>83</v>
      </c>
      <c r="J467" s="97">
        <v>45</v>
      </c>
      <c r="K467" s="97">
        <v>21.369308879443409</v>
      </c>
      <c r="L467" s="97">
        <v>312.12880508211532</v>
      </c>
      <c r="M467" s="97">
        <v>460.49677245078237</v>
      </c>
      <c r="N467" s="97">
        <v>781.30882063568265</v>
      </c>
      <c r="O467" s="97">
        <v>12610.112577293927</v>
      </c>
      <c r="P467" s="97">
        <v>47861.123371635171</v>
      </c>
      <c r="Q467" s="97">
        <v>3581.2270310039935</v>
      </c>
      <c r="R467" s="97">
        <v>65627.766686981122</v>
      </c>
      <c r="S467" s="97">
        <v>93764185.509897858</v>
      </c>
      <c r="T467" s="97">
        <v>45956030.471928187</v>
      </c>
      <c r="U467" s="45">
        <v>0</v>
      </c>
      <c r="V467">
        <v>0</v>
      </c>
      <c r="W467">
        <v>7.0116666666666669E-3</v>
      </c>
      <c r="X467" s="97">
        <v>8584.8309816759829</v>
      </c>
      <c r="Y467" s="97">
        <v>2.5992228791667205</v>
      </c>
      <c r="Z467" s="97">
        <v>4423.3933488238063</v>
      </c>
      <c r="AA467" s="97">
        <v>31.365146111418696</v>
      </c>
      <c r="AB467" s="97">
        <v>1.9547543116051729</v>
      </c>
      <c r="AC467" s="97">
        <v>143.92250067835278</v>
      </c>
      <c r="AD467" s="97">
        <v>44.993115534945581</v>
      </c>
      <c r="AE467" s="97">
        <v>2890.3670042461381</v>
      </c>
      <c r="AF467" s="97">
        <v>5302.6127653709582</v>
      </c>
      <c r="AG467" s="97">
        <v>3399.884444203281</v>
      </c>
      <c r="AH467" s="97">
        <v>122664.50910156962</v>
      </c>
      <c r="AI467" s="97">
        <v>2386.9223157781566</v>
      </c>
      <c r="AJ467" s="97">
        <v>211936.29009287246</v>
      </c>
      <c r="AK467" s="97">
        <v>216726.51658940307</v>
      </c>
      <c r="AL467" s="97">
        <v>4790.2264965305139</v>
      </c>
      <c r="AM467" s="97">
        <v>125051.43141734779</v>
      </c>
    </row>
    <row r="468" spans="1:39" x14ac:dyDescent="0.25">
      <c r="A468" s="97">
        <v>466</v>
      </c>
      <c r="B468" s="97">
        <v>7.0116666666666669E-3</v>
      </c>
      <c r="C468" s="97">
        <v>3.8553923858118968</v>
      </c>
      <c r="D468" s="97">
        <v>56.52239874067984</v>
      </c>
      <c r="E468" s="97">
        <v>83.48049359876623</v>
      </c>
      <c r="F468" s="97">
        <v>151.77397854028922</v>
      </c>
      <c r="G468" s="97">
        <v>770.54859400351404</v>
      </c>
      <c r="H468" s="97">
        <v>8586.4003408704775</v>
      </c>
      <c r="I468" s="97">
        <v>83</v>
      </c>
      <c r="J468" s="97">
        <v>45</v>
      </c>
      <c r="K468" s="97">
        <v>20.999037194722131</v>
      </c>
      <c r="L468" s="97">
        <v>307.85866514090281</v>
      </c>
      <c r="M468" s="97">
        <v>454.69042180128002</v>
      </c>
      <c r="N468" s="97">
        <v>772.40307245462191</v>
      </c>
      <c r="O468" s="97">
        <v>12490.592708796963</v>
      </c>
      <c r="P468" s="97">
        <v>47419.215277889693</v>
      </c>
      <c r="Q468" s="97">
        <v>3548.0684613845015</v>
      </c>
      <c r="R468" s="97">
        <v>65013.827644662684</v>
      </c>
      <c r="S468" s="97">
        <v>93829199.337542519</v>
      </c>
      <c r="T468" s="97">
        <v>45965395.358753711</v>
      </c>
      <c r="U468" s="45">
        <v>0</v>
      </c>
      <c r="V468">
        <v>0</v>
      </c>
      <c r="W468">
        <v>7.0116666666666669E-3</v>
      </c>
      <c r="X468" s="97">
        <v>8586.4003408704775</v>
      </c>
      <c r="Y468" s="97">
        <v>2.574597361559825</v>
      </c>
      <c r="Z468" s="97">
        <v>4425.9679461853657</v>
      </c>
      <c r="AA468" s="97">
        <v>31.078153078452296</v>
      </c>
      <c r="AB468" s="97">
        <v>1.9374243774796718</v>
      </c>
      <c r="AC468" s="97">
        <v>142.59103964268974</v>
      </c>
      <c r="AD468" s="97">
        <v>44.576524422193621</v>
      </c>
      <c r="AE468" s="97">
        <v>2892.3061257317245</v>
      </c>
      <c r="AF468" s="97">
        <v>5306.5913243187879</v>
      </c>
      <c r="AG468" s="97">
        <v>3408.9821012688162</v>
      </c>
      <c r="AH468" s="97">
        <v>122664.50910156962</v>
      </c>
      <c r="AI468" s="97">
        <v>2386.9223157781566</v>
      </c>
      <c r="AJ468" s="97">
        <v>211936.29009287246</v>
      </c>
      <c r="AK468" s="97">
        <v>216726.51658940307</v>
      </c>
      <c r="AL468" s="97">
        <v>4790.2264965305139</v>
      </c>
      <c r="AM468" s="97">
        <v>125051.43141734779</v>
      </c>
    </row>
    <row r="469" spans="1:39" x14ac:dyDescent="0.25">
      <c r="A469" s="97">
        <v>467</v>
      </c>
      <c r="B469" s="97">
        <v>7.0116666666666669E-3</v>
      </c>
      <c r="C469" s="97">
        <v>3.7885889790190164</v>
      </c>
      <c r="D469" s="97">
        <v>55.748985285645546</v>
      </c>
      <c r="E469" s="97">
        <v>82.427444688941534</v>
      </c>
      <c r="F469" s="97">
        <v>150.04289857146838</v>
      </c>
      <c r="G469" s="97">
        <v>763.24224598820797</v>
      </c>
      <c r="H469" s="97">
        <v>8587.9518117250191</v>
      </c>
      <c r="I469" s="97">
        <v>83</v>
      </c>
      <c r="J469" s="97">
        <v>45</v>
      </c>
      <c r="K469" s="97">
        <v>20.635181305723574</v>
      </c>
      <c r="L469" s="97">
        <v>303.64613985581605</v>
      </c>
      <c r="M469" s="97">
        <v>448.95481540576822</v>
      </c>
      <c r="N469" s="97">
        <v>763.59331797996447</v>
      </c>
      <c r="O469" s="97">
        <v>12372.156807468851</v>
      </c>
      <c r="P469" s="97">
        <v>46981.210372449874</v>
      </c>
      <c r="Q469" s="97">
        <v>3515.2030884391588</v>
      </c>
      <c r="R469" s="97">
        <v>64405.399722905153</v>
      </c>
      <c r="S469" s="97">
        <v>93893604.737265423</v>
      </c>
      <c r="T469" s="97">
        <v>45974634.110062674</v>
      </c>
      <c r="U469" s="45">
        <v>0</v>
      </c>
      <c r="V469">
        <v>0</v>
      </c>
      <c r="W469">
        <v>7.0116666666666669E-3</v>
      </c>
      <c r="X469" s="97">
        <v>8587.9518117250191</v>
      </c>
      <c r="Y469" s="97">
        <v>2.5501950783763792</v>
      </c>
      <c r="Z469" s="97">
        <v>4428.5181412637421</v>
      </c>
      <c r="AA469" s="97">
        <v>30.792397821236062</v>
      </c>
      <c r="AB469" s="97">
        <v>1.920240494941811</v>
      </c>
      <c r="AC469" s="97">
        <v>141.27263595527023</v>
      </c>
      <c r="AD469" s="97">
        <v>44.163616916127381</v>
      </c>
      <c r="AE469" s="97">
        <v>2894.2271192885873</v>
      </c>
      <c r="AF469" s="97">
        <v>5310.5331135276801</v>
      </c>
      <c r="AG469" s="97">
        <v>3417.9880722664043</v>
      </c>
      <c r="AH469" s="97">
        <v>122664.50910156962</v>
      </c>
      <c r="AI469" s="97">
        <v>2386.9223157781566</v>
      </c>
      <c r="AJ469" s="97">
        <v>211936.29009287246</v>
      </c>
      <c r="AK469" s="97">
        <v>216726.51658940307</v>
      </c>
      <c r="AL469" s="97">
        <v>4790.2264965305139</v>
      </c>
      <c r="AM469" s="97">
        <v>125051.43141734779</v>
      </c>
    </row>
    <row r="470" spans="1:39" x14ac:dyDescent="0.25">
      <c r="A470" s="97">
        <v>468</v>
      </c>
      <c r="B470" s="97">
        <v>7.0116666666666669E-3</v>
      </c>
      <c r="C470" s="97">
        <v>3.7229430925801106</v>
      </c>
      <c r="D470" s="97">
        <v>54.986009763388495</v>
      </c>
      <c r="E470" s="97">
        <v>81.387233634558342</v>
      </c>
      <c r="F470" s="97">
        <v>148.33049352254656</v>
      </c>
      <c r="G470" s="97">
        <v>756.00219235898282</v>
      </c>
      <c r="H470" s="97">
        <v>8589.4855870553074</v>
      </c>
      <c r="I470" s="97">
        <v>84</v>
      </c>
      <c r="J470" s="97">
        <v>45</v>
      </c>
      <c r="K470" s="97">
        <v>20.277630044253002</v>
      </c>
      <c r="L470" s="97">
        <v>299.49046651125599</v>
      </c>
      <c r="M470" s="97">
        <v>443.28913252956107</v>
      </c>
      <c r="N470" s="97">
        <v>754.87860328515978</v>
      </c>
      <c r="O470" s="97">
        <v>12254.795538139113</v>
      </c>
      <c r="P470" s="97">
        <v>46547.078148967325</v>
      </c>
      <c r="Q470" s="97">
        <v>3482.628468840127</v>
      </c>
      <c r="R470" s="97">
        <v>63802.437988316793</v>
      </c>
      <c r="S470" s="97">
        <v>93957407.175253734</v>
      </c>
      <c r="T470" s="97">
        <v>45983748.392238192</v>
      </c>
      <c r="U470" s="45">
        <v>0</v>
      </c>
      <c r="V470">
        <v>0</v>
      </c>
      <c r="W470">
        <v>7.0116666666666669E-3</v>
      </c>
      <c r="X470" s="97">
        <v>8589.4855870553074</v>
      </c>
      <c r="Y470" s="97">
        <v>2.5260141079683618</v>
      </c>
      <c r="Z470" s="97">
        <v>4431.0441553717101</v>
      </c>
      <c r="AA470" s="97">
        <v>30.526991919822589</v>
      </c>
      <c r="AB470" s="97">
        <v>1.884129874380529</v>
      </c>
      <c r="AC470" s="97">
        <v>139.94806630891028</v>
      </c>
      <c r="AD470" s="97">
        <v>43.754362319745297</v>
      </c>
      <c r="AE470" s="97">
        <v>2896.130147082979</v>
      </c>
      <c r="AF470" s="97">
        <v>5314.4384491941209</v>
      </c>
      <c r="AG470" s="97">
        <v>3426.9032578853448</v>
      </c>
      <c r="AH470" s="97">
        <v>122854.89619732031</v>
      </c>
      <c r="AI470" s="97">
        <v>2393.6478610683525</v>
      </c>
      <c r="AJ470" s="97">
        <v>213152.00256908018</v>
      </c>
      <c r="AK470" s="97">
        <v>217985.1748823236</v>
      </c>
      <c r="AL470" s="97">
        <v>4833.1723132433153</v>
      </c>
      <c r="AM470" s="97">
        <v>125248.54405838867</v>
      </c>
    </row>
    <row r="471" spans="1:39" x14ac:dyDescent="0.25">
      <c r="A471" s="97">
        <v>469</v>
      </c>
      <c r="B471" s="97">
        <v>7.6466666666666662E-3</v>
      </c>
      <c r="C471" s="97">
        <v>3.6560706009691009</v>
      </c>
      <c r="D471" s="97">
        <v>54.19841782835308</v>
      </c>
      <c r="E471" s="97">
        <v>80.308030477050934</v>
      </c>
      <c r="F471" s="97">
        <v>146.54238772122014</v>
      </c>
      <c r="G471" s="97">
        <v>748.34780053812472</v>
      </c>
      <c r="H471" s="97">
        <v>8591.0018577609535</v>
      </c>
      <c r="I471" s="97">
        <v>84</v>
      </c>
      <c r="J471" s="97">
        <v>45</v>
      </c>
      <c r="K471" s="97">
        <v>19.913397873278367</v>
      </c>
      <c r="L471" s="97">
        <v>295.2007157717631</v>
      </c>
      <c r="M471" s="97">
        <v>437.41107266500404</v>
      </c>
      <c r="N471" s="97">
        <v>745.77863484457612</v>
      </c>
      <c r="O471" s="97">
        <v>12130.717846723002</v>
      </c>
      <c r="P471" s="97">
        <v>46087.195645433043</v>
      </c>
      <c r="Q471" s="97">
        <v>3448.1307122481526</v>
      </c>
      <c r="R471" s="97">
        <v>63164.348025558822</v>
      </c>
      <c r="S471" s="97">
        <v>94020571.523279294</v>
      </c>
      <c r="T471" s="97">
        <v>45992734.081849948</v>
      </c>
      <c r="U471" s="45">
        <v>0</v>
      </c>
      <c r="V471">
        <v>0</v>
      </c>
      <c r="W471">
        <v>7.6466666666666662E-3</v>
      </c>
      <c r="X471" s="97">
        <v>8591.0018577609535</v>
      </c>
      <c r="Y471" s="97">
        <v>2.5020525443809172</v>
      </c>
      <c r="Z471" s="97">
        <v>4433.5462079160907</v>
      </c>
      <c r="AA471" s="97">
        <v>30.242785878248231</v>
      </c>
      <c r="AB471" s="97">
        <v>1.867403928164481</v>
      </c>
      <c r="AC471" s="97">
        <v>138.54798840214573</v>
      </c>
      <c r="AD471" s="97">
        <v>43.32094619320501</v>
      </c>
      <c r="AE471" s="97">
        <v>2898.0153699511761</v>
      </c>
      <c r="AF471" s="97">
        <v>5318.3077740621393</v>
      </c>
      <c r="AG471" s="97">
        <v>3436.527798298544</v>
      </c>
      <c r="AH471" s="97">
        <v>122854.89619732031</v>
      </c>
      <c r="AI471" s="97">
        <v>2393.6478610683525</v>
      </c>
      <c r="AJ471" s="97">
        <v>213152.00256908018</v>
      </c>
      <c r="AK471" s="97">
        <v>217985.1748823236</v>
      </c>
      <c r="AL471" s="97">
        <v>4833.1723132433153</v>
      </c>
      <c r="AM471" s="97">
        <v>125248.54405838867</v>
      </c>
    </row>
    <row r="472" spans="1:39" x14ac:dyDescent="0.25">
      <c r="A472" s="97">
        <v>470</v>
      </c>
      <c r="B472" s="97">
        <v>7.6466666666666662E-3</v>
      </c>
      <c r="C472" s="97">
        <v>3.590399290795212</v>
      </c>
      <c r="D472" s="97">
        <v>53.421967219207332</v>
      </c>
      <c r="E472" s="97">
        <v>79.242706420459925</v>
      </c>
      <c r="F472" s="97">
        <v>144.77479792844721</v>
      </c>
      <c r="G472" s="97">
        <v>740.76798163750675</v>
      </c>
      <c r="H472" s="97">
        <v>8592.499850010292</v>
      </c>
      <c r="I472" s="97">
        <v>84</v>
      </c>
      <c r="J472" s="97">
        <v>45</v>
      </c>
      <c r="K472" s="97">
        <v>19.555708137197922</v>
      </c>
      <c r="L472" s="97">
        <v>290.9716481206159</v>
      </c>
      <c r="M472" s="97">
        <v>431.60860763677169</v>
      </c>
      <c r="N472" s="97">
        <v>736.78307579085595</v>
      </c>
      <c r="O472" s="97">
        <v>12007.848982343985</v>
      </c>
      <c r="P472" s="97">
        <v>45631.657381855897</v>
      </c>
      <c r="Q472" s="97">
        <v>3413.9612358933528</v>
      </c>
      <c r="R472" s="97">
        <v>62532.386639778677</v>
      </c>
      <c r="S472" s="97">
        <v>94083103.909919068</v>
      </c>
      <c r="T472" s="97">
        <v>46001592.957359411</v>
      </c>
      <c r="U472" s="45">
        <v>0</v>
      </c>
      <c r="V472">
        <v>0</v>
      </c>
      <c r="W472">
        <v>7.6466666666666662E-3</v>
      </c>
      <c r="X472" s="97">
        <v>8592.499850010292</v>
      </c>
      <c r="Y472" s="97">
        <v>2.4767196938619169</v>
      </c>
      <c r="Z472" s="97">
        <v>4436.0229276099526</v>
      </c>
      <c r="AA472" s="97">
        <v>29.959435151205842</v>
      </c>
      <c r="AB472" s="97">
        <v>1.8497702923563122</v>
      </c>
      <c r="AC472" s="97">
        <v>137.1629656222583</v>
      </c>
      <c r="AD472" s="97">
        <v>42.891654449316576</v>
      </c>
      <c r="AE472" s="97">
        <v>2899.881749537119</v>
      </c>
      <c r="AF472" s="97">
        <v>5322.1389366589101</v>
      </c>
      <c r="AG472" s="97">
        <v>3446.0491556218926</v>
      </c>
      <c r="AH472" s="97">
        <v>122854.89619732031</v>
      </c>
      <c r="AI472" s="97">
        <v>2393.6478610683525</v>
      </c>
      <c r="AJ472" s="97">
        <v>213152.00256908018</v>
      </c>
      <c r="AK472" s="97">
        <v>217985.1748823236</v>
      </c>
      <c r="AL472" s="97">
        <v>4833.1723132433153</v>
      </c>
      <c r="AM472" s="97">
        <v>125248.54405838867</v>
      </c>
    </row>
    <row r="473" spans="1:39" x14ac:dyDescent="0.25">
      <c r="A473" s="97">
        <v>471</v>
      </c>
      <c r="B473" s="97">
        <v>7.6466666666666662E-3</v>
      </c>
      <c r="C473" s="97">
        <v>3.5259075861187692</v>
      </c>
      <c r="D473" s="97">
        <v>52.656502962571942</v>
      </c>
      <c r="E473" s="97">
        <v>78.191090439907939</v>
      </c>
      <c r="F473" s="97">
        <v>143.02750461177354</v>
      </c>
      <c r="G473" s="97">
        <v>733.26204077217085</v>
      </c>
      <c r="H473" s="97">
        <v>8593.9797735229949</v>
      </c>
      <c r="I473" s="97">
        <v>84</v>
      </c>
      <c r="J473" s="97">
        <v>45</v>
      </c>
      <c r="K473" s="97">
        <v>19.204443319060228</v>
      </c>
      <c r="L473" s="97">
        <v>286.80241946947518</v>
      </c>
      <c r="M473" s="97">
        <v>425.88080592936524</v>
      </c>
      <c r="N473" s="97">
        <v>727.89080888675073</v>
      </c>
      <c r="O473" s="97">
        <v>11886.17768091689</v>
      </c>
      <c r="P473" s="97">
        <v>45180.427741433312</v>
      </c>
      <c r="Q473" s="97">
        <v>3380.1170233340404</v>
      </c>
      <c r="R473" s="97">
        <v>61906.500923288891</v>
      </c>
      <c r="S473" s="97">
        <v>94145010.410842359</v>
      </c>
      <c r="T473" s="97">
        <v>46010326.773616195</v>
      </c>
      <c r="U473" s="45">
        <v>0</v>
      </c>
      <c r="V473">
        <v>0</v>
      </c>
      <c r="W473">
        <v>7.6466666666666662E-3</v>
      </c>
      <c r="X473" s="97">
        <v>8593.9797735229949</v>
      </c>
      <c r="Y473" s="97">
        <v>2.4516336486653283</v>
      </c>
      <c r="Z473" s="97">
        <v>4438.4745612586175</v>
      </c>
      <c r="AA473" s="97">
        <v>29.677001533619048</v>
      </c>
      <c r="AB473" s="97">
        <v>1.8322959221980333</v>
      </c>
      <c r="AC473" s="97">
        <v>135.79280573055138</v>
      </c>
      <c r="AD473" s="97">
        <v>42.466449190703443</v>
      </c>
      <c r="AE473" s="97">
        <v>2901.7294665034542</v>
      </c>
      <c r="AF473" s="97">
        <v>5325.9322864963306</v>
      </c>
      <c r="AG473" s="97">
        <v>3455.468410676252</v>
      </c>
      <c r="AH473" s="97">
        <v>122854.89619732031</v>
      </c>
      <c r="AI473" s="97">
        <v>2393.6478610683525</v>
      </c>
      <c r="AJ473" s="97">
        <v>213152.00256908018</v>
      </c>
      <c r="AK473" s="97">
        <v>217985.1748823236</v>
      </c>
      <c r="AL473" s="97">
        <v>4833.1723132433153</v>
      </c>
      <c r="AM473" s="97">
        <v>125248.54405838867</v>
      </c>
    </row>
    <row r="474" spans="1:39" x14ac:dyDescent="0.25">
      <c r="A474" s="97">
        <v>472</v>
      </c>
      <c r="B474" s="97">
        <v>7.6466666666666662E-3</v>
      </c>
      <c r="C474" s="97">
        <v>3.4625742985528514</v>
      </c>
      <c r="D474" s="97">
        <v>51.90187219049907</v>
      </c>
      <c r="E474" s="97">
        <v>77.153013487538217</v>
      </c>
      <c r="F474" s="97">
        <v>141.30029034933023</v>
      </c>
      <c r="G474" s="97">
        <v>725.82928924232613</v>
      </c>
      <c r="H474" s="97">
        <v>8595.4418357746217</v>
      </c>
      <c r="I474" s="97">
        <v>84</v>
      </c>
      <c r="J474" s="97">
        <v>45</v>
      </c>
      <c r="K474" s="97">
        <v>18.859488012784528</v>
      </c>
      <c r="L474" s="97">
        <v>282.6921971975849</v>
      </c>
      <c r="M474" s="97">
        <v>420.22674679545815</v>
      </c>
      <c r="N474" s="97">
        <v>719.100727636133</v>
      </c>
      <c r="O474" s="97">
        <v>11765.692778618108</v>
      </c>
      <c r="P474" s="97">
        <v>44733.471197074497</v>
      </c>
      <c r="Q474" s="97">
        <v>3346.5950922782831</v>
      </c>
      <c r="R474" s="97">
        <v>61286.63822761285</v>
      </c>
      <c r="S474" s="97">
        <v>94206297.049069971</v>
      </c>
      <c r="T474" s="97">
        <v>46018937.262136698</v>
      </c>
      <c r="U474" s="45">
        <v>0</v>
      </c>
      <c r="V474">
        <v>0</v>
      </c>
      <c r="W474">
        <v>7.6466666666666662E-3</v>
      </c>
      <c r="X474" s="97">
        <v>8595.4418357746217</v>
      </c>
      <c r="Y474" s="97">
        <v>2.4267921090112092</v>
      </c>
      <c r="Z474" s="97">
        <v>4440.9013533676289</v>
      </c>
      <c r="AA474" s="97">
        <v>29.395544026842256</v>
      </c>
      <c r="AB474" s="97">
        <v>1.8149794514675053</v>
      </c>
      <c r="AC474" s="97">
        <v>134.43731961046009</v>
      </c>
      <c r="AD474" s="97">
        <v>42.045292949033019</v>
      </c>
      <c r="AE474" s="97">
        <v>2903.5586999336078</v>
      </c>
      <c r="AF474" s="97">
        <v>5329.6881705002115</v>
      </c>
      <c r="AG474" s="97">
        <v>3464.7866333452057</v>
      </c>
      <c r="AH474" s="97">
        <v>122854.89619732031</v>
      </c>
      <c r="AI474" s="97">
        <v>2393.6478610683525</v>
      </c>
      <c r="AJ474" s="97">
        <v>213152.00256908018</v>
      </c>
      <c r="AK474" s="97">
        <v>217985.1748823236</v>
      </c>
      <c r="AL474" s="97">
        <v>4833.1723132433153</v>
      </c>
      <c r="AM474" s="97">
        <v>125248.54405838867</v>
      </c>
    </row>
    <row r="475" spans="1:39" x14ac:dyDescent="0.25">
      <c r="A475" s="97">
        <v>473</v>
      </c>
      <c r="B475" s="97">
        <v>7.6466666666666662E-3</v>
      </c>
      <c r="C475" s="97">
        <v>3.4003786203019644</v>
      </c>
      <c r="D475" s="97">
        <v>51.157924112842501</v>
      </c>
      <c r="E475" s="97">
        <v>76.128308471976169</v>
      </c>
      <c r="F475" s="97">
        <v>139.59293981306874</v>
      </c>
      <c r="G475" s="97">
        <v>718.46904447989471</v>
      </c>
      <c r="H475" s="97">
        <v>8596.886242018194</v>
      </c>
      <c r="I475" s="97">
        <v>84</v>
      </c>
      <c r="J475" s="97">
        <v>45</v>
      </c>
      <c r="K475" s="97">
        <v>18.520728885244697</v>
      </c>
      <c r="L475" s="97">
        <v>278.64016000128214</v>
      </c>
      <c r="M475" s="97">
        <v>414.64552014403017</v>
      </c>
      <c r="N475" s="97">
        <v>710.41173619867561</v>
      </c>
      <c r="O475" s="97">
        <v>11646.383211019094</v>
      </c>
      <c r="P475" s="97">
        <v>44290.752320045336</v>
      </c>
      <c r="Q475" s="97">
        <v>3313.3924935053351</v>
      </c>
      <c r="R475" s="97">
        <v>60672.746169799</v>
      </c>
      <c r="S475" s="97">
        <v>94266969.795239776</v>
      </c>
      <c r="T475" s="97">
        <v>46027426.131380826</v>
      </c>
      <c r="U475" s="45">
        <v>0</v>
      </c>
      <c r="V475">
        <v>0</v>
      </c>
      <c r="W475">
        <v>7.6466666666666662E-3</v>
      </c>
      <c r="X475" s="97">
        <v>8596.886242018194</v>
      </c>
      <c r="Y475" s="97">
        <v>2.4021927955899485</v>
      </c>
      <c r="Z475" s="97">
        <v>4443.3035461632189</v>
      </c>
      <c r="AA475" s="97">
        <v>29.115118932076292</v>
      </c>
      <c r="AB475" s="97">
        <v>1.7978195250829998</v>
      </c>
      <c r="AC475" s="97">
        <v>133.09632120579681</v>
      </c>
      <c r="AD475" s="97">
        <v>41.628148671465986</v>
      </c>
      <c r="AE475" s="97">
        <v>2905.369627340971</v>
      </c>
      <c r="AF475" s="97">
        <v>5333.4069330141083</v>
      </c>
      <c r="AG475" s="97">
        <v>3474.0048826784678</v>
      </c>
      <c r="AH475" s="97">
        <v>122854.89619732031</v>
      </c>
      <c r="AI475" s="97">
        <v>2393.6478610683525</v>
      </c>
      <c r="AJ475" s="97">
        <v>213152.00256908018</v>
      </c>
      <c r="AK475" s="97">
        <v>217985.1748823236</v>
      </c>
      <c r="AL475" s="97">
        <v>4833.1723132433153</v>
      </c>
      <c r="AM475" s="97">
        <v>125248.54405838867</v>
      </c>
    </row>
    <row r="476" spans="1:39" x14ac:dyDescent="0.25">
      <c r="A476" s="97">
        <v>474</v>
      </c>
      <c r="B476" s="97">
        <v>7.6466666666666662E-3</v>
      </c>
      <c r="C476" s="97">
        <v>3.3393001173257582</v>
      </c>
      <c r="D476" s="97">
        <v>50.424509989971099</v>
      </c>
      <c r="E476" s="97">
        <v>75.116810237961786</v>
      </c>
      <c r="F476" s="97">
        <v>137.9052397520781</v>
      </c>
      <c r="G476" s="97">
        <v>711.18062999553456</v>
      </c>
      <c r="H476" s="97">
        <v>8598.3131953055945</v>
      </c>
      <c r="I476" s="97">
        <v>84</v>
      </c>
      <c r="J476" s="97">
        <v>45</v>
      </c>
      <c r="K476" s="97">
        <v>18.188054639034295</v>
      </c>
      <c r="L476" s="97">
        <v>274.64549774537591</v>
      </c>
      <c r="M476" s="97">
        <v>409.13622642943182</v>
      </c>
      <c r="N476" s="97">
        <v>701.82274930495078</v>
      </c>
      <c r="O476" s="97">
        <v>11528.238012227615</v>
      </c>
      <c r="P476" s="97">
        <v>43852.235788190868</v>
      </c>
      <c r="Q476" s="97">
        <v>3280.5063098539749</v>
      </c>
      <c r="R476" s="97">
        <v>60064.772638391252</v>
      </c>
      <c r="S476" s="97">
        <v>94327034.567878172</v>
      </c>
      <c r="T476" s="97">
        <v>46035795.067026719</v>
      </c>
      <c r="U476" s="45">
        <v>0</v>
      </c>
      <c r="V476">
        <v>0</v>
      </c>
      <c r="W476">
        <v>7.6466666666666662E-3</v>
      </c>
      <c r="X476" s="97">
        <v>8598.3131953055945</v>
      </c>
      <c r="Y476" s="97">
        <v>2.3778334493853501</v>
      </c>
      <c r="Z476" s="97">
        <v>4445.6813796126044</v>
      </c>
      <c r="AA476" s="97">
        <v>28.835779940884365</v>
      </c>
      <c r="AB476" s="97">
        <v>1.7808147990141892</v>
      </c>
      <c r="AC476" s="97">
        <v>131.76962746034937</v>
      </c>
      <c r="AD476" s="97">
        <v>41.214979707946164</v>
      </c>
      <c r="AE476" s="97">
        <v>2907.1624246782062</v>
      </c>
      <c r="AF476" s="97">
        <v>5337.0889158034761</v>
      </c>
      <c r="AG476" s="97">
        <v>3483.1242069944719</v>
      </c>
      <c r="AH476" s="97">
        <v>122854.89619732031</v>
      </c>
      <c r="AI476" s="97">
        <v>2393.6478610683525</v>
      </c>
      <c r="AJ476" s="97">
        <v>213152.00256908018</v>
      </c>
      <c r="AK476" s="97">
        <v>217985.1748823236</v>
      </c>
      <c r="AL476" s="97">
        <v>4833.1723132433153</v>
      </c>
      <c r="AM476" s="97">
        <v>125248.54405838867</v>
      </c>
    </row>
    <row r="477" spans="1:39" x14ac:dyDescent="0.25">
      <c r="A477" s="97">
        <v>475</v>
      </c>
      <c r="B477" s="97">
        <v>7.6466666666666662E-3</v>
      </c>
      <c r="C477" s="97">
        <v>3.2793187226255367</v>
      </c>
      <c r="D477" s="97">
        <v>49.70148310582158</v>
      </c>
      <c r="E477" s="97">
        <v>74.118355546152358</v>
      </c>
      <c r="F477" s="97">
        <v>136.23697897598413</v>
      </c>
      <c r="G477" s="97">
        <v>703.96337532613472</v>
      </c>
      <c r="H477" s="97">
        <v>8599.7228965088034</v>
      </c>
      <c r="I477" s="97">
        <v>84</v>
      </c>
      <c r="J477" s="97">
        <v>45</v>
      </c>
      <c r="K477" s="97">
        <v>17.861355975900423</v>
      </c>
      <c r="L477" s="97">
        <v>270.70741131637487</v>
      </c>
      <c r="M477" s="97">
        <v>403.69797654137648</v>
      </c>
      <c r="N477" s="97">
        <v>693.33269217194584</v>
      </c>
      <c r="O477" s="97">
        <v>11411.246314036645</v>
      </c>
      <c r="P477" s="97">
        <v>43417.886393751025</v>
      </c>
      <c r="Q477" s="97">
        <v>3247.9336552735281</v>
      </c>
      <c r="R477" s="97">
        <v>59462.665799066795</v>
      </c>
      <c r="S477" s="97">
        <v>94386497.233677238</v>
      </c>
      <c r="T477" s="97">
        <v>46044045.732243523</v>
      </c>
      <c r="U477" s="45">
        <v>0</v>
      </c>
      <c r="V477">
        <v>0</v>
      </c>
      <c r="W477">
        <v>7.6466666666666662E-3</v>
      </c>
      <c r="X477" s="97">
        <v>8599.7228965088034</v>
      </c>
      <c r="Y477" s="97">
        <v>2.3537118314993046</v>
      </c>
      <c r="Z477" s="97">
        <v>4448.0350914441033</v>
      </c>
      <c r="AA477" s="97">
        <v>28.557578222896389</v>
      </c>
      <c r="AB477" s="97">
        <v>1.7639639401939058</v>
      </c>
      <c r="AC477" s="97">
        <v>130.45705825880134</v>
      </c>
      <c r="AD477" s="97">
        <v>40.805749799277947</v>
      </c>
      <c r="AE477" s="97">
        <v>2908.9372663466715</v>
      </c>
      <c r="AF477" s="97">
        <v>5340.7344580601612</v>
      </c>
      <c r="AG477" s="97">
        <v>3492.1456439821436</v>
      </c>
      <c r="AH477" s="97">
        <v>122854.89619732031</v>
      </c>
      <c r="AI477" s="97">
        <v>2393.6478610683525</v>
      </c>
      <c r="AJ477" s="97">
        <v>213152.00256908018</v>
      </c>
      <c r="AK477" s="97">
        <v>217985.1748823236</v>
      </c>
      <c r="AL477" s="97">
        <v>4833.1723132433153</v>
      </c>
      <c r="AM477" s="97">
        <v>125248.54405838867</v>
      </c>
    </row>
    <row r="478" spans="1:39" x14ac:dyDescent="0.25">
      <c r="A478" s="97">
        <v>476</v>
      </c>
      <c r="B478" s="97">
        <v>7.6466666666666662E-3</v>
      </c>
      <c r="C478" s="97">
        <v>3.2204147296513588</v>
      </c>
      <c r="D478" s="97">
        <v>48.988698741286889</v>
      </c>
      <c r="E478" s="97">
        <v>73.132783053094954</v>
      </c>
      <c r="F478" s="97">
        <v>134.58794833843146</v>
      </c>
      <c r="G478" s="97">
        <v>696.81661598277788</v>
      </c>
      <c r="H478" s="97">
        <v>8601.1155443409607</v>
      </c>
      <c r="I478" s="97">
        <v>84</v>
      </c>
      <c r="J478" s="97">
        <v>45</v>
      </c>
      <c r="K478" s="97">
        <v>17.5405255608344</v>
      </c>
      <c r="L478" s="97">
        <v>266.82511247754258</v>
      </c>
      <c r="M478" s="97">
        <v>398.32989169585716</v>
      </c>
      <c r="N478" s="97">
        <v>684.94050041900073</v>
      </c>
      <c r="O478" s="97">
        <v>11295.39734508083</v>
      </c>
      <c r="P478" s="97">
        <v>42987.669050784825</v>
      </c>
      <c r="Q478" s="97">
        <v>3215.671673933603</v>
      </c>
      <c r="R478" s="97">
        <v>58866.374099952496</v>
      </c>
      <c r="S478" s="97">
        <v>94445363.607777193</v>
      </c>
      <c r="T478" s="97">
        <v>46052179.767962039</v>
      </c>
      <c r="U478" s="45">
        <v>0</v>
      </c>
      <c r="V478">
        <v>0</v>
      </c>
      <c r="W478">
        <v>7.6466666666666662E-3</v>
      </c>
      <c r="X478" s="97">
        <v>8601.1155443409607</v>
      </c>
      <c r="Y478" s="97">
        <v>2.3298257229780184</v>
      </c>
      <c r="Z478" s="97">
        <v>4450.3649171670813</v>
      </c>
      <c r="AA478" s="97">
        <v>28.280562510787195</v>
      </c>
      <c r="AB478" s="97">
        <v>1.7472656264306674</v>
      </c>
      <c r="AC478" s="97">
        <v>129.15843636894431</v>
      </c>
      <c r="AD478" s="97">
        <v>40.400423065941368</v>
      </c>
      <c r="AE478" s="97">
        <v>2910.6943252059464</v>
      </c>
      <c r="AF478" s="97">
        <v>5344.3438964072229</v>
      </c>
      <c r="AG478" s="97">
        <v>3501.0702208018602</v>
      </c>
      <c r="AH478" s="97">
        <v>122854.89619732031</v>
      </c>
      <c r="AI478" s="97">
        <v>2393.6478610683525</v>
      </c>
      <c r="AJ478" s="97">
        <v>213152.00256908018</v>
      </c>
      <c r="AK478" s="97">
        <v>217985.1748823236</v>
      </c>
      <c r="AL478" s="97">
        <v>4833.1723132433153</v>
      </c>
      <c r="AM478" s="97">
        <v>125248.54405838867</v>
      </c>
    </row>
    <row r="479" spans="1:39" x14ac:dyDescent="0.25">
      <c r="A479" s="97">
        <v>477</v>
      </c>
      <c r="B479" s="97">
        <v>7.6466666666666662E-3</v>
      </c>
      <c r="C479" s="97">
        <v>3.1625687858275615</v>
      </c>
      <c r="D479" s="97">
        <v>48.286014147936271</v>
      </c>
      <c r="E479" s="97">
        <v>72.159933291367977</v>
      </c>
      <c r="F479" s="97">
        <v>132.95794072064842</v>
      </c>
      <c r="G479" s="97">
        <v>689.73969339916437</v>
      </c>
      <c r="H479" s="97">
        <v>8602.4913353772627</v>
      </c>
      <c r="I479" s="97">
        <v>84</v>
      </c>
      <c r="J479" s="97">
        <v>45</v>
      </c>
      <c r="K479" s="97">
        <v>17.225457986807452</v>
      </c>
      <c r="L479" s="97">
        <v>262.99782372575953</v>
      </c>
      <c r="M479" s="97">
        <v>393.03110332698424</v>
      </c>
      <c r="N479" s="97">
        <v>676.64511998416651</v>
      </c>
      <c r="O479" s="97">
        <v>11180.680430000455</v>
      </c>
      <c r="P479" s="97">
        <v>42561.548802217461</v>
      </c>
      <c r="Q479" s="97">
        <v>3183.7175393888028</v>
      </c>
      <c r="R479" s="97">
        <v>58275.846276630436</v>
      </c>
      <c r="S479" s="97">
        <v>94503639.454053819</v>
      </c>
      <c r="T479" s="97">
        <v>46060198.793143347</v>
      </c>
      <c r="U479" s="45">
        <v>0</v>
      </c>
      <c r="V479">
        <v>0</v>
      </c>
      <c r="W479">
        <v>7.6466666666666662E-3</v>
      </c>
      <c r="X479" s="97">
        <v>8602.4913353772627</v>
      </c>
      <c r="Y479" s="97">
        <v>2.306172924639792</v>
      </c>
      <c r="Z479" s="97">
        <v>4452.6710900917215</v>
      </c>
      <c r="AA479" s="97">
        <v>28.004779182611365</v>
      </c>
      <c r="AB479" s="97">
        <v>1.7307185463219525</v>
      </c>
      <c r="AC479" s="97">
        <v>127.87358738515245</v>
      </c>
      <c r="AD479" s="97">
        <v>39.998963997597876</v>
      </c>
      <c r="AE479" s="97">
        <v>2912.4337725834571</v>
      </c>
      <c r="AF479" s="97">
        <v>5347.9175649040908</v>
      </c>
      <c r="AG479" s="97">
        <v>3509.8989541856017</v>
      </c>
      <c r="AH479" s="97">
        <v>122854.89619732031</v>
      </c>
      <c r="AI479" s="97">
        <v>2393.6478610683525</v>
      </c>
      <c r="AJ479" s="97">
        <v>213152.00256908018</v>
      </c>
      <c r="AK479" s="97">
        <v>217985.1748823236</v>
      </c>
      <c r="AL479" s="97">
        <v>4833.1723132433153</v>
      </c>
      <c r="AM479" s="97">
        <v>125248.54405838867</v>
      </c>
    </row>
    <row r="480" spans="1:39" x14ac:dyDescent="0.25">
      <c r="A480" s="97">
        <v>478</v>
      </c>
      <c r="B480" s="97">
        <v>7.6466666666666662E-3</v>
      </c>
      <c r="C480" s="97">
        <v>3.1057618861945815</v>
      </c>
      <c r="D480" s="97">
        <v>47.593288522063368</v>
      </c>
      <c r="E480" s="97">
        <v>71.199648649891145</v>
      </c>
      <c r="F480" s="97">
        <v>131.34675101509524</v>
      </c>
      <c r="G480" s="97">
        <v>682.73195488049521</v>
      </c>
      <c r="H480" s="97">
        <v>8603.8504640756873</v>
      </c>
      <c r="I480" s="97">
        <v>84</v>
      </c>
      <c r="J480" s="97">
        <v>45</v>
      </c>
      <c r="K480" s="97">
        <v>16.916049740139819</v>
      </c>
      <c r="L480" s="97">
        <v>259.2247781501718</v>
      </c>
      <c r="M480" s="97">
        <v>387.80075297974042</v>
      </c>
      <c r="N480" s="97">
        <v>668.44550704098879</v>
      </c>
      <c r="O480" s="97">
        <v>11067.084988612827</v>
      </c>
      <c r="P480" s="97">
        <v>42139.490826524503</v>
      </c>
      <c r="Q480" s="97">
        <v>3152.0684537949019</v>
      </c>
      <c r="R480" s="97">
        <v>57691.031356843276</v>
      </c>
      <c r="S480" s="97">
        <v>94561330.485410661</v>
      </c>
      <c r="T480" s="97">
        <v>46068104.405045278</v>
      </c>
      <c r="U480" s="45">
        <v>0</v>
      </c>
      <c r="V480">
        <v>0</v>
      </c>
      <c r="W480">
        <v>7.6466666666666662E-3</v>
      </c>
      <c r="X480" s="97">
        <v>8603.8504640756873</v>
      </c>
      <c r="Y480" s="97">
        <v>2.2827512569043247</v>
      </c>
      <c r="Z480" s="97">
        <v>4454.9538413486262</v>
      </c>
      <c r="AA480" s="97">
        <v>27.730272341575127</v>
      </c>
      <c r="AB480" s="97">
        <v>1.7143213991682251</v>
      </c>
      <c r="AC480" s="97">
        <v>126.60233967309105</v>
      </c>
      <c r="AD480" s="97">
        <v>39.601337443242691</v>
      </c>
      <c r="AE480" s="97">
        <v>2914.1557782841942</v>
      </c>
      <c r="AF480" s="97">
        <v>5351.4557950520548</v>
      </c>
      <c r="AG480" s="97">
        <v>3518.6328505362958</v>
      </c>
      <c r="AH480" s="97">
        <v>122854.89619732031</v>
      </c>
      <c r="AI480" s="97">
        <v>2393.6478610683525</v>
      </c>
      <c r="AJ480" s="97">
        <v>213152.00256908018</v>
      </c>
      <c r="AK480" s="97">
        <v>217985.1748823236</v>
      </c>
      <c r="AL480" s="97">
        <v>4833.1723132433153</v>
      </c>
      <c r="AM480" s="97">
        <v>125248.54405838867</v>
      </c>
    </row>
    <row r="481" spans="1:39" x14ac:dyDescent="0.25">
      <c r="A481" s="97">
        <v>479</v>
      </c>
      <c r="B481" s="97">
        <v>7.6466666666666662E-3</v>
      </c>
      <c r="C481" s="97">
        <v>3.0499753671649805</v>
      </c>
      <c r="D481" s="97">
        <v>46.910382979058561</v>
      </c>
      <c r="E481" s="97">
        <v>70.251773354403298</v>
      </c>
      <c r="F481" s="97">
        <v>129.75417610919575</v>
      </c>
      <c r="G481" s="97">
        <v>675.79275355280686</v>
      </c>
      <c r="H481" s="97">
        <v>8605.1931227975492</v>
      </c>
      <c r="I481" s="97">
        <v>84</v>
      </c>
      <c r="J481" s="97">
        <v>45</v>
      </c>
      <c r="K481" s="97">
        <v>16.612199166491926</v>
      </c>
      <c r="L481" s="97">
        <v>255.5052192926056</v>
      </c>
      <c r="M481" s="97">
        <v>382.63799220364996</v>
      </c>
      <c r="N481" s="97">
        <v>660.34062791571534</v>
      </c>
      <c r="O481" s="97">
        <v>10954.600535091</v>
      </c>
      <c r="P481" s="97">
        <v>41721.460444066783</v>
      </c>
      <c r="Q481" s="97">
        <v>3120.7216471731831</v>
      </c>
      <c r="R481" s="97">
        <v>57111.878664909425</v>
      </c>
      <c r="S481" s="97">
        <v>94618442.364075571</v>
      </c>
      <c r="T481" s="97">
        <v>46075898.179486752</v>
      </c>
      <c r="U481" s="45">
        <v>0</v>
      </c>
      <c r="V481">
        <v>0</v>
      </c>
      <c r="W481">
        <v>7.6466666666666662E-3</v>
      </c>
      <c r="X481" s="97">
        <v>8605.1931227975492</v>
      </c>
      <c r="Y481" s="97">
        <v>2.2595585596235388</v>
      </c>
      <c r="Z481" s="97">
        <v>4457.2133999082498</v>
      </c>
      <c r="AA481" s="97">
        <v>27.457083893323173</v>
      </c>
      <c r="AB481" s="97">
        <v>1.6980728948876957</v>
      </c>
      <c r="AC481" s="97">
        <v>125.34452431563064</v>
      </c>
      <c r="AD481" s="97">
        <v>39.207508601962225</v>
      </c>
      <c r="AE481" s="97">
        <v>2915.8605106005111</v>
      </c>
      <c r="AF481" s="97">
        <v>5354.9589158000899</v>
      </c>
      <c r="AG481" s="97">
        <v>3527.2729060263632</v>
      </c>
      <c r="AH481" s="97">
        <v>122854.89619732031</v>
      </c>
      <c r="AI481" s="97">
        <v>2393.6478610683525</v>
      </c>
      <c r="AJ481" s="97">
        <v>213152.00256908018</v>
      </c>
      <c r="AK481" s="97">
        <v>217985.1748823236</v>
      </c>
      <c r="AL481" s="97">
        <v>4833.1723132433153</v>
      </c>
      <c r="AM481" s="97">
        <v>125248.54405838867</v>
      </c>
    </row>
    <row r="482" spans="1:39" x14ac:dyDescent="0.25">
      <c r="A482" s="97">
        <v>480</v>
      </c>
      <c r="B482" s="97">
        <v>7.6466666666666662E-3</v>
      </c>
      <c r="C482" s="97">
        <v>2.9951909003916306</v>
      </c>
      <c r="D482" s="97">
        <v>46.237160528101867</v>
      </c>
      <c r="E482" s="97">
        <v>69.316153448107357</v>
      </c>
      <c r="F482" s="97">
        <v>128.18001486915293</v>
      </c>
      <c r="G482" s="97">
        <v>668.92144831275493</v>
      </c>
      <c r="H482" s="97">
        <v>8606.5195018278991</v>
      </c>
      <c r="I482" s="97">
        <v>85</v>
      </c>
      <c r="J482" s="97">
        <v>45</v>
      </c>
      <c r="K482" s="97">
        <v>16.313806437466415</v>
      </c>
      <c r="L482" s="97">
        <v>251.83840100972816</v>
      </c>
      <c r="M482" s="97">
        <v>377.54198244735807</v>
      </c>
      <c r="N482" s="97">
        <v>652.32945900493075</v>
      </c>
      <c r="O482" s="97">
        <v>10843.216677149758</v>
      </c>
      <c r="P482" s="97">
        <v>41307.423123089065</v>
      </c>
      <c r="Q482" s="97">
        <v>3089.6743767198273</v>
      </c>
      <c r="R482" s="97">
        <v>56538.337825858136</v>
      </c>
      <c r="S482" s="97">
        <v>94674980.701901436</v>
      </c>
      <c r="T482" s="97">
        <v>46083581.671109922</v>
      </c>
      <c r="U482" s="45">
        <v>0</v>
      </c>
      <c r="V482">
        <v>0</v>
      </c>
      <c r="W482">
        <v>7.6466666666666662E-3</v>
      </c>
      <c r="X482" s="97">
        <v>8606.5195018278991</v>
      </c>
      <c r="Y482" s="97">
        <v>2.236592691913899</v>
      </c>
      <c r="Z482" s="97">
        <v>4459.4499926001636</v>
      </c>
      <c r="AA482" s="97">
        <v>27.204501848318738</v>
      </c>
      <c r="AB482" s="97">
        <v>1.6627235264290945</v>
      </c>
      <c r="AC482" s="97">
        <v>124.08072683243668</v>
      </c>
      <c r="AD482" s="97">
        <v>38.81744301425752</v>
      </c>
      <c r="AE482" s="97">
        <v>2917.5481363219997</v>
      </c>
      <c r="AF482" s="97">
        <v>5358.4272535510136</v>
      </c>
      <c r="AG482" s="97">
        <v>3535.8201066954634</v>
      </c>
      <c r="AH482" s="97">
        <v>123014.13319521528</v>
      </c>
      <c r="AI482" s="97">
        <v>2399.3316207509542</v>
      </c>
      <c r="AJ482" s="97">
        <v>214219.64701454042</v>
      </c>
      <c r="AK482" s="97">
        <v>219090.92752207711</v>
      </c>
      <c r="AL482" s="97">
        <v>4871.2805075365959</v>
      </c>
      <c r="AM482" s="97">
        <v>125413.46481596625</v>
      </c>
    </row>
    <row r="483" spans="1:39" x14ac:dyDescent="0.25">
      <c r="AK483" s="99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D37"/>
  <sheetViews>
    <sheetView topLeftCell="A6" workbookViewId="0">
      <selection activeCell="D1" sqref="D1:D37"/>
    </sheetView>
  </sheetViews>
  <sheetFormatPr baseColWidth="10" defaultRowHeight="13.2" x14ac:dyDescent="0.25"/>
  <cols>
    <col min="1" max="1" width="28" bestFit="1" customWidth="1"/>
    <col min="3" max="3" width="48.6640625" customWidth="1"/>
    <col min="4" max="4" width="61.44140625" bestFit="1" customWidth="1"/>
  </cols>
  <sheetData>
    <row r="1" spans="1:4" x14ac:dyDescent="0.25">
      <c r="A1" s="9" t="s">
        <v>86</v>
      </c>
      <c r="B1">
        <v>1</v>
      </c>
      <c r="C1" t="str">
        <f>+CONCATENATE("ws.Cells(1,",B1,")",".Value ","= ", "'",A1,"'")</f>
        <v>ws.Cells(1,1).Value = 'i'</v>
      </c>
      <c r="D1" t="str">
        <f>+CONCATENATE("ws.Cells(","i+2,",B1,").Value = ",A1)</f>
        <v>ws.Cells(i+2,1).Value = i</v>
      </c>
    </row>
    <row r="2" spans="1:4" x14ac:dyDescent="0.25">
      <c r="A2" s="9" t="s">
        <v>2</v>
      </c>
      <c r="B2">
        <v>2</v>
      </c>
      <c r="C2" s="45" t="str">
        <f t="shared" ref="C2:C37" si="0">+CONCATENATE("ws.Cells(1,",B2,")",".Value ","= ", "'",A2,"'")</f>
        <v>ws.Cells(1,2).Value = 'F0'</v>
      </c>
      <c r="D2" s="45" t="str">
        <f>+CONCATENATE("ws.Cells(","i+2,",B2,").Value = ","arrayModelo(i",").",A2)</f>
        <v>ws.Cells(i+2,2).Value = arrayModelo(i).F0</v>
      </c>
    </row>
    <row r="3" spans="1:4" x14ac:dyDescent="0.25">
      <c r="A3" s="9" t="s">
        <v>3</v>
      </c>
      <c r="B3" s="45">
        <v>3</v>
      </c>
      <c r="C3" s="45" t="str">
        <f t="shared" si="0"/>
        <v>ws.Cells(1,3).Value = 'F1'</v>
      </c>
      <c r="D3" s="45" t="str">
        <f t="shared" ref="D3:D37" si="1">+CONCATENATE("ws.Cells(","i+2,",B3,").Value = ","arrayModelo(i",").",A3)</f>
        <v>ws.Cells(i+2,3).Value = arrayModelo(i).F1</v>
      </c>
    </row>
    <row r="4" spans="1:4" x14ac:dyDescent="0.25">
      <c r="A4" s="9" t="s">
        <v>4</v>
      </c>
      <c r="B4" s="45">
        <v>4</v>
      </c>
      <c r="C4" s="45" t="str">
        <f t="shared" si="0"/>
        <v>ws.Cells(1,4).Value = 'F2'</v>
      </c>
      <c r="D4" s="45" t="str">
        <f t="shared" si="1"/>
        <v>ws.Cells(i+2,4).Value = arrayModelo(i).F2</v>
      </c>
    </row>
    <row r="5" spans="1:4" x14ac:dyDescent="0.25">
      <c r="A5" s="9" t="s">
        <v>5</v>
      </c>
      <c r="B5" s="45">
        <v>5</v>
      </c>
      <c r="C5" s="45" t="str">
        <f t="shared" si="0"/>
        <v>ws.Cells(1,5).Value = 'F3'</v>
      </c>
      <c r="D5" s="45" t="str">
        <f t="shared" si="1"/>
        <v>ws.Cells(i+2,5).Value = arrayModelo(i).F3</v>
      </c>
    </row>
    <row r="6" spans="1:4" x14ac:dyDescent="0.25">
      <c r="A6" s="9" t="s">
        <v>19</v>
      </c>
      <c r="B6" s="45">
        <v>6</v>
      </c>
      <c r="C6" s="45" t="str">
        <f t="shared" si="0"/>
        <v>ws.Cells(1,6).Value = 'F4'</v>
      </c>
      <c r="D6" s="45" t="str">
        <f t="shared" si="1"/>
        <v>ws.Cells(i+2,6).Value = arrayModelo(i).F4</v>
      </c>
    </row>
    <row r="7" spans="1:4" x14ac:dyDescent="0.25">
      <c r="A7" t="s">
        <v>87</v>
      </c>
      <c r="B7" s="45">
        <v>7</v>
      </c>
      <c r="C7" s="45" t="str">
        <f t="shared" si="0"/>
        <v>ws.Cells(1,7).Value = 'ccAcumulados'</v>
      </c>
      <c r="D7" s="45" t="str">
        <f t="shared" si="1"/>
        <v>ws.Cells(i+2,7).Value = arrayModelo(i).ccAcumulados</v>
      </c>
    </row>
    <row r="8" spans="1:4" x14ac:dyDescent="0.25">
      <c r="A8" s="9" t="s">
        <v>84</v>
      </c>
      <c r="B8" s="45">
        <v>8</v>
      </c>
      <c r="C8" s="45" t="str">
        <f t="shared" si="0"/>
        <v>ws.Cells(1,8).Value = 'Año'</v>
      </c>
      <c r="D8" s="45" t="str">
        <f t="shared" si="1"/>
        <v>ws.Cells(i+2,8).Value = arrayModelo(i).Año</v>
      </c>
    </row>
    <row r="9" spans="1:4" x14ac:dyDescent="0.25">
      <c r="A9" t="s">
        <v>111</v>
      </c>
      <c r="B9" s="45">
        <v>9</v>
      </c>
      <c r="C9" s="45" t="str">
        <f t="shared" si="0"/>
        <v>ws.Cells(1,9).Value = 'edadInicio'</v>
      </c>
      <c r="D9" s="45" t="str">
        <f t="shared" si="1"/>
        <v>ws.Cells(i+2,9).Value = arrayModelo(i).edadInicio</v>
      </c>
    </row>
    <row r="10" spans="1:4" x14ac:dyDescent="0.25">
      <c r="A10" s="9" t="s">
        <v>112</v>
      </c>
      <c r="B10" s="45">
        <v>10</v>
      </c>
      <c r="C10" s="45" t="str">
        <f t="shared" si="0"/>
        <v>ws.Cells(1,10).Value = 'CostoF0'</v>
      </c>
      <c r="D10" s="45" t="str">
        <f t="shared" si="1"/>
        <v>ws.Cells(i+2,10).Value = arrayModelo(i).CostoF0</v>
      </c>
    </row>
    <row r="11" spans="1:4" x14ac:dyDescent="0.25">
      <c r="A11" s="9" t="s">
        <v>113</v>
      </c>
      <c r="B11" s="45">
        <v>11</v>
      </c>
      <c r="C11" s="45" t="str">
        <f t="shared" si="0"/>
        <v>ws.Cells(1,11).Value = 'CostoF1'</v>
      </c>
      <c r="D11" s="45" t="str">
        <f t="shared" si="1"/>
        <v>ws.Cells(i+2,11).Value = arrayModelo(i).CostoF1</v>
      </c>
    </row>
    <row r="12" spans="1:4" x14ac:dyDescent="0.25">
      <c r="A12" s="9" t="s">
        <v>114</v>
      </c>
      <c r="B12" s="45">
        <v>12</v>
      </c>
      <c r="C12" s="45" t="str">
        <f t="shared" si="0"/>
        <v>ws.Cells(1,12).Value = 'CostoF2'</v>
      </c>
      <c r="D12" s="45" t="str">
        <f t="shared" si="1"/>
        <v>ws.Cells(i+2,12).Value = arrayModelo(i).CostoF2</v>
      </c>
    </row>
    <row r="13" spans="1:4" x14ac:dyDescent="0.25">
      <c r="A13" s="9" t="s">
        <v>115</v>
      </c>
      <c r="B13" s="45">
        <v>13</v>
      </c>
      <c r="C13" s="45" t="str">
        <f t="shared" si="0"/>
        <v>ws.Cells(1,13).Value = 'CostoF3'</v>
      </c>
      <c r="D13" s="45" t="str">
        <f t="shared" si="1"/>
        <v>ws.Cells(i+2,13).Value = arrayModelo(i).CostoF3</v>
      </c>
    </row>
    <row r="14" spans="1:4" x14ac:dyDescent="0.25">
      <c r="A14" s="9" t="s">
        <v>116</v>
      </c>
      <c r="B14" s="45">
        <v>14</v>
      </c>
      <c r="C14" s="45" t="str">
        <f t="shared" si="0"/>
        <v>ws.Cells(1,14).Value = 'CostoF4'</v>
      </c>
      <c r="D14" s="45" t="str">
        <f t="shared" si="1"/>
        <v>ws.Cells(i+2,14).Value = arrayModelo(i).CostoF4</v>
      </c>
    </row>
    <row r="15" spans="1:4" x14ac:dyDescent="0.25">
      <c r="A15" t="s">
        <v>118</v>
      </c>
      <c r="B15" s="45">
        <v>15</v>
      </c>
      <c r="C15" s="45" t="str">
        <f t="shared" si="0"/>
        <v>ws.Cells(1,15).Value = 'CostoCiclo'</v>
      </c>
      <c r="D15" s="45" t="str">
        <f t="shared" si="1"/>
        <v>ws.Cells(i+2,15).Value = arrayModelo(i).CostoCiclo</v>
      </c>
    </row>
    <row r="16" spans="1:4" x14ac:dyDescent="0.25">
      <c r="A16" t="s">
        <v>117</v>
      </c>
      <c r="B16" s="45">
        <v>16</v>
      </c>
      <c r="C16" s="45" t="str">
        <f t="shared" si="0"/>
        <v>ws.Cells(1,16).Value = 'costoAcumulado'</v>
      </c>
      <c r="D16" s="45" t="str">
        <f t="shared" si="1"/>
        <v>ws.Cells(i+2,16).Value = arrayModelo(i).costoAcumulado</v>
      </c>
    </row>
    <row r="17" spans="1:4" x14ac:dyDescent="0.25">
      <c r="A17" t="s">
        <v>110</v>
      </c>
      <c r="B17" s="45">
        <v>17</v>
      </c>
      <c r="C17" s="45" t="str">
        <f t="shared" si="0"/>
        <v>ws.Cells(1,17).Value = 'dCostoAcumulado'</v>
      </c>
      <c r="D17" s="45" t="str">
        <f t="shared" si="1"/>
        <v>ws.Cells(i+2,17).Value = arrayModelo(i).dCostoAcumulado</v>
      </c>
    </row>
    <row r="18" spans="1:4" x14ac:dyDescent="0.25">
      <c r="A18" t="s">
        <v>119</v>
      </c>
      <c r="B18" s="45">
        <v>18</v>
      </c>
      <c r="C18" s="45" t="str">
        <f t="shared" si="0"/>
        <v>ws.Cells(1,18).Value = 'utilidadCiclo'</v>
      </c>
      <c r="D18" s="45" t="str">
        <f t="shared" si="1"/>
        <v>ws.Cells(i+2,18).Value = arrayModelo(i).utilidadCiclo</v>
      </c>
    </row>
    <row r="19" spans="1:4" x14ac:dyDescent="0.25">
      <c r="A19" t="s">
        <v>120</v>
      </c>
      <c r="B19" s="45">
        <v>19</v>
      </c>
      <c r="C19" s="45" t="str">
        <f t="shared" si="0"/>
        <v>ws.Cells(1,19).Value = 'disutilidadCiclo'</v>
      </c>
      <c r="D19" s="45" t="str">
        <f t="shared" si="1"/>
        <v>ws.Cells(i+2,19).Value = arrayModelo(i).disutilidadCiclo</v>
      </c>
    </row>
    <row r="20" spans="1:4" x14ac:dyDescent="0.25">
      <c r="A20" t="s">
        <v>85</v>
      </c>
      <c r="B20" s="45">
        <v>20</v>
      </c>
      <c r="C20" s="45" t="str">
        <f t="shared" si="0"/>
        <v>ws.Cells(1,20).Value = 'bm_actual'</v>
      </c>
      <c r="D20" s="45" t="str">
        <f t="shared" si="1"/>
        <v>ws.Cells(i+2,20).Value = arrayModelo(i).bm_actual</v>
      </c>
    </row>
    <row r="21" spans="1:4" x14ac:dyDescent="0.25">
      <c r="A21" t="s">
        <v>87</v>
      </c>
      <c r="B21" s="45">
        <v>21</v>
      </c>
      <c r="C21" s="45" t="str">
        <f t="shared" si="0"/>
        <v>ws.Cells(1,21).Value = 'ccAcumulados'</v>
      </c>
      <c r="D21" s="45" t="str">
        <f t="shared" si="1"/>
        <v>ws.Cells(i+2,21).Value = arrayModelo(i).ccAcumulados</v>
      </c>
    </row>
    <row r="22" spans="1:4" x14ac:dyDescent="0.25">
      <c r="A22" t="s">
        <v>90</v>
      </c>
      <c r="B22" s="45">
        <v>22</v>
      </c>
      <c r="C22" s="45" t="str">
        <f t="shared" si="0"/>
        <v>ws.Cells(1,22).Value = 'addDC'</v>
      </c>
      <c r="D22" s="45" t="str">
        <f t="shared" si="1"/>
        <v>ws.Cells(i+2,22).Value = arrayModelo(i).addDC</v>
      </c>
    </row>
    <row r="23" spans="1:4" x14ac:dyDescent="0.25">
      <c r="A23" t="s">
        <v>91</v>
      </c>
      <c r="B23" s="45">
        <v>23</v>
      </c>
      <c r="C23" s="45" t="str">
        <f t="shared" si="0"/>
        <v>ws.Cells(1,23).Value = 'dcAcumulados'</v>
      </c>
      <c r="D23" s="45" t="str">
        <f t="shared" si="1"/>
        <v>ws.Cells(i+2,23).Value = arrayModelo(i).dcAcumulados</v>
      </c>
    </row>
    <row r="24" spans="1:4" x14ac:dyDescent="0.25">
      <c r="A24" s="9" t="s">
        <v>13</v>
      </c>
      <c r="B24" s="45">
        <v>24</v>
      </c>
      <c r="C24" s="45" t="str">
        <f t="shared" si="0"/>
        <v>ws.Cells(1,24).Value = 'DC'</v>
      </c>
      <c r="D24" s="45" t="str">
        <f t="shared" si="1"/>
        <v>ws.Cells(i+2,24).Value = arrayModelo(i).DC</v>
      </c>
    </row>
    <row r="25" spans="1:4" x14ac:dyDescent="0.25">
      <c r="A25" t="s">
        <v>92</v>
      </c>
      <c r="B25" s="45">
        <v>25</v>
      </c>
      <c r="C25" s="45" t="str">
        <f t="shared" si="0"/>
        <v>ws.Cells(1,25).Value = 'addDC1'</v>
      </c>
      <c r="D25" s="45" t="str">
        <f t="shared" si="1"/>
        <v>ws.Cells(i+2,25).Value = arrayModelo(i).addDC1</v>
      </c>
    </row>
    <row r="26" spans="1:4" x14ac:dyDescent="0.25">
      <c r="A26" s="9" t="s">
        <v>20</v>
      </c>
      <c r="B26" s="45">
        <v>26</v>
      </c>
      <c r="C26" s="45" t="str">
        <f t="shared" si="0"/>
        <v>ws.Cells(1,26).Value = 'DC1'</v>
      </c>
      <c r="D26" s="45" t="str">
        <f t="shared" si="1"/>
        <v>ws.Cells(i+2,26).Value = arrayModelo(i).DC1</v>
      </c>
    </row>
    <row r="27" spans="1:4" x14ac:dyDescent="0.25">
      <c r="A27" s="9" t="s">
        <v>21</v>
      </c>
      <c r="B27" s="45">
        <v>27</v>
      </c>
      <c r="C27" s="45" t="str">
        <f t="shared" si="0"/>
        <v>ws.Cells(1,27).Value = 'HCC'</v>
      </c>
      <c r="D27" s="45" t="str">
        <f t="shared" si="1"/>
        <v>ws.Cells(i+2,27).Value = arrayModelo(i).HCC</v>
      </c>
    </row>
    <row r="28" spans="1:4" x14ac:dyDescent="0.25">
      <c r="A28" t="s">
        <v>93</v>
      </c>
      <c r="B28" s="45">
        <v>28</v>
      </c>
      <c r="C28" s="45" t="str">
        <f t="shared" si="0"/>
        <v>ws.Cells(1,28).Value = 'hccAcumulados'</v>
      </c>
      <c r="D28" s="45" t="str">
        <f t="shared" si="1"/>
        <v>ws.Cells(i+2,28).Value = arrayModelo(i).hccAcumulados</v>
      </c>
    </row>
    <row r="29" spans="1:4" x14ac:dyDescent="0.25">
      <c r="A29" t="s">
        <v>22</v>
      </c>
      <c r="B29" s="45">
        <v>29</v>
      </c>
      <c r="C29" s="45" t="str">
        <f t="shared" si="0"/>
        <v>ws.Cells(1,29).Value = 'LDR'</v>
      </c>
      <c r="D29" s="45" t="str">
        <f t="shared" si="1"/>
        <v>ws.Cells(i+2,29).Value = arrayModelo(i).LDR</v>
      </c>
    </row>
    <row r="30" spans="1:4" x14ac:dyDescent="0.25">
      <c r="A30" s="9" t="s">
        <v>94</v>
      </c>
      <c r="B30" s="45">
        <v>30</v>
      </c>
      <c r="C30" s="45" t="str">
        <f t="shared" si="0"/>
        <v>ws.Cells(1,30).Value = 'BM'</v>
      </c>
      <c r="D30" s="45" t="str">
        <f t="shared" si="1"/>
        <v>ws.Cells(i+2,30).Value = arrayModelo(i).BM</v>
      </c>
    </row>
    <row r="31" spans="1:4" x14ac:dyDescent="0.25">
      <c r="A31" t="s">
        <v>95</v>
      </c>
      <c r="B31" s="45">
        <v>31</v>
      </c>
      <c r="C31" s="45" t="str">
        <f t="shared" si="0"/>
        <v>ws.Cells(1,31).Value = 'utilidadAcumuladoDescontado'</v>
      </c>
      <c r="D31" s="45" t="str">
        <f t="shared" si="1"/>
        <v>ws.Cells(i+2,31).Value = arrayModelo(i).utilidadAcumuladoDescontado</v>
      </c>
    </row>
    <row r="32" spans="1:4" x14ac:dyDescent="0.25">
      <c r="A32" t="s">
        <v>96</v>
      </c>
      <c r="B32" s="45">
        <v>32</v>
      </c>
      <c r="C32" s="45" t="str">
        <f t="shared" si="0"/>
        <v>ws.Cells(1,32).Value = 'añosVidaDescontados'</v>
      </c>
      <c r="D32" s="45" t="str">
        <f t="shared" si="1"/>
        <v>ws.Cells(i+2,32).Value = arrayModelo(i).añosVidaDescontados</v>
      </c>
    </row>
    <row r="33" spans="1:4" x14ac:dyDescent="0.25">
      <c r="A33" t="s">
        <v>97</v>
      </c>
      <c r="B33" s="45">
        <v>33</v>
      </c>
      <c r="C33" s="45" t="str">
        <f t="shared" si="0"/>
        <v>ws.Cells(1,33).Value = 'disutilidadAcumuladaDescontado'</v>
      </c>
      <c r="D33" s="45" t="str">
        <f t="shared" si="1"/>
        <v>ws.Cells(i+2,33).Value = arrayModelo(i).disutilidadAcumuladaDescontado</v>
      </c>
    </row>
    <row r="34" spans="1:4" x14ac:dyDescent="0.25">
      <c r="A34" t="s">
        <v>98</v>
      </c>
      <c r="B34" s="45">
        <v>34</v>
      </c>
      <c r="C34" s="45" t="str">
        <f t="shared" si="0"/>
        <v>ws.Cells(1,34).Value = 'utilidadAcumulado'</v>
      </c>
      <c r="D34" s="45" t="str">
        <f t="shared" si="1"/>
        <v>ws.Cells(i+2,34).Value = arrayModelo(i).utilidadAcumulado</v>
      </c>
    </row>
    <row r="35" spans="1:4" x14ac:dyDescent="0.25">
      <c r="A35" t="s">
        <v>99</v>
      </c>
      <c r="B35" s="45">
        <v>35</v>
      </c>
      <c r="C35" s="45" t="str">
        <f t="shared" si="0"/>
        <v>ws.Cells(1,35).Value = 'añosVida'</v>
      </c>
      <c r="D35" s="45" t="str">
        <f t="shared" si="1"/>
        <v>ws.Cells(i+2,35).Value = arrayModelo(i).añosVida</v>
      </c>
    </row>
    <row r="36" spans="1:4" x14ac:dyDescent="0.25">
      <c r="A36" t="s">
        <v>100</v>
      </c>
      <c r="B36" s="45">
        <v>36</v>
      </c>
      <c r="C36" s="45" t="str">
        <f t="shared" si="0"/>
        <v>ws.Cells(1,36).Value = 'disutilidadAcumulada'</v>
      </c>
      <c r="D36" s="45" t="str">
        <f t="shared" si="1"/>
        <v>ws.Cells(i+2,36).Value = arrayModelo(i).disutilidadAcumulada</v>
      </c>
    </row>
    <row r="37" spans="1:4" x14ac:dyDescent="0.25">
      <c r="A37" t="s">
        <v>96</v>
      </c>
      <c r="B37" s="45">
        <v>37</v>
      </c>
      <c r="C37" s="45" t="str">
        <f t="shared" si="0"/>
        <v>ws.Cells(1,37).Value = 'añosVidaDescontados'</v>
      </c>
      <c r="D37" s="45" t="str">
        <f t="shared" si="1"/>
        <v>ws.Cells(i+2,37).Value = arrayModelo(i).añosVidaDescontados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AQ482"/>
  <sheetViews>
    <sheetView zoomScale="85" zoomScaleNormal="85" workbookViewId="0">
      <pane xSplit="1" topLeftCell="B1" activePane="topRight" state="frozen"/>
      <selection pane="topRight" activeCell="G5" sqref="G5"/>
    </sheetView>
  </sheetViews>
  <sheetFormatPr baseColWidth="10" defaultRowHeight="13.2" x14ac:dyDescent="0.25"/>
  <cols>
    <col min="1" max="15" width="11.5546875" style="9"/>
    <col min="16" max="16" width="26.21875" style="9" customWidth="1"/>
    <col min="17" max="17" width="22.21875" style="9" customWidth="1"/>
    <col min="18" max="27" width="11.5546875" style="9"/>
    <col min="28" max="28" width="22.5546875" style="9" customWidth="1"/>
    <col min="29" max="29" width="11.5546875" style="95"/>
    <col min="30" max="16384" width="11.5546875" style="9"/>
  </cols>
  <sheetData>
    <row r="1" spans="1:38" x14ac:dyDescent="0.25">
      <c r="A1" s="9" t="s">
        <v>86</v>
      </c>
      <c r="B1" s="9" t="s">
        <v>84</v>
      </c>
      <c r="C1" s="9" t="s">
        <v>85</v>
      </c>
      <c r="D1" s="9" t="s">
        <v>2</v>
      </c>
      <c r="E1" s="9" t="s">
        <v>3</v>
      </c>
      <c r="F1" s="9" t="s">
        <v>4</v>
      </c>
      <c r="G1" s="9" t="s">
        <v>5</v>
      </c>
      <c r="H1" s="9" t="s">
        <v>19</v>
      </c>
      <c r="I1" s="9" t="s">
        <v>87</v>
      </c>
      <c r="J1" s="9" t="s">
        <v>88</v>
      </c>
      <c r="K1" s="9" t="s">
        <v>89</v>
      </c>
      <c r="L1" s="9" t="s">
        <v>32</v>
      </c>
      <c r="M1" s="9" t="s">
        <v>90</v>
      </c>
      <c r="N1" s="9" t="s">
        <v>91</v>
      </c>
      <c r="O1" s="9" t="s">
        <v>13</v>
      </c>
      <c r="P1" s="9" t="s">
        <v>92</v>
      </c>
      <c r="Q1" s="9" t="s">
        <v>13</v>
      </c>
      <c r="R1" s="9" t="s">
        <v>20</v>
      </c>
      <c r="S1" s="9" t="s">
        <v>21</v>
      </c>
      <c r="T1" s="9" t="s">
        <v>93</v>
      </c>
      <c r="U1" s="9" t="s">
        <v>22</v>
      </c>
      <c r="V1" s="9" t="s">
        <v>94</v>
      </c>
      <c r="W1" s="9" t="s">
        <v>95</v>
      </c>
      <c r="X1" s="9" t="s">
        <v>96</v>
      </c>
      <c r="Y1" s="9" t="s">
        <v>97</v>
      </c>
      <c r="Z1" s="9" t="s">
        <v>98</v>
      </c>
      <c r="AA1" s="9" t="s">
        <v>99</v>
      </c>
      <c r="AB1" s="9" t="s">
        <v>100</v>
      </c>
      <c r="AC1" s="9" t="s">
        <v>101</v>
      </c>
      <c r="AD1" s="9" t="s">
        <v>102</v>
      </c>
      <c r="AE1" s="9" t="s">
        <v>103</v>
      </c>
      <c r="AF1" s="9" t="s">
        <v>104</v>
      </c>
      <c r="AG1" s="9" t="s">
        <v>105</v>
      </c>
      <c r="AH1" s="9" t="s">
        <v>106</v>
      </c>
      <c r="AI1" s="9" t="s">
        <v>107</v>
      </c>
      <c r="AJ1" s="9" t="s">
        <v>108</v>
      </c>
      <c r="AK1" s="9" t="s">
        <v>109</v>
      </c>
      <c r="AL1" s="9" t="s">
        <v>110</v>
      </c>
    </row>
    <row r="2" spans="1:38" x14ac:dyDescent="0.25">
      <c r="A2" s="9">
        <v>0</v>
      </c>
      <c r="B2" s="9">
        <v>45</v>
      </c>
      <c r="C2" s="9">
        <v>7.6466666666666662E-3</v>
      </c>
      <c r="D2" s="9">
        <v>26.168499999999995</v>
      </c>
      <c r="E2" s="9">
        <v>27.163500000000113</v>
      </c>
      <c r="F2" s="9">
        <v>18.109000000000037</v>
      </c>
      <c r="G2" s="9">
        <v>29.253000000000156</v>
      </c>
      <c r="H2" s="9">
        <v>98.305999999999585</v>
      </c>
      <c r="I2" s="9">
        <v>4940</v>
      </c>
      <c r="J2" s="9">
        <v>3518.5589999999997</v>
      </c>
      <c r="K2" s="9">
        <v>1440.7469999999998</v>
      </c>
      <c r="L2" s="9">
        <v>4841.6940000000004</v>
      </c>
      <c r="M2" s="9">
        <v>0</v>
      </c>
      <c r="N2" s="9">
        <v>0</v>
      </c>
      <c r="O2" s="9">
        <v>0</v>
      </c>
      <c r="P2" s="9">
        <v>0</v>
      </c>
      <c r="Q2" s="9">
        <v>0</v>
      </c>
      <c r="R2" s="9">
        <v>0</v>
      </c>
      <c r="S2" s="9">
        <v>0</v>
      </c>
      <c r="T2" s="9">
        <v>0</v>
      </c>
      <c r="U2" s="9">
        <v>0</v>
      </c>
      <c r="V2" s="9">
        <v>0</v>
      </c>
      <c r="W2" s="9">
        <v>0</v>
      </c>
      <c r="X2" s="9">
        <v>0</v>
      </c>
      <c r="Y2" s="9">
        <v>0</v>
      </c>
      <c r="Z2" s="9">
        <v>0</v>
      </c>
      <c r="AA2" s="9">
        <v>0</v>
      </c>
      <c r="AB2" s="9">
        <v>0</v>
      </c>
      <c r="AC2" s="9">
        <v>142.53109666666663</v>
      </c>
      <c r="AD2" s="9">
        <v>147.95053000000061</v>
      </c>
      <c r="AE2" s="9">
        <v>98.633686666666861</v>
      </c>
      <c r="AF2" s="9">
        <v>148.87339250000079</v>
      </c>
      <c r="AG2" s="9">
        <v>1593.5402599999934</v>
      </c>
      <c r="AH2" s="9">
        <v>0</v>
      </c>
      <c r="AI2" s="9">
        <v>0</v>
      </c>
      <c r="AJ2" s="9">
        <v>54909907.528965838</v>
      </c>
      <c r="AK2" s="9">
        <v>54909907.528965838</v>
      </c>
      <c r="AL2" s="9">
        <v>54909907.528965838</v>
      </c>
    </row>
    <row r="3" spans="1:38" x14ac:dyDescent="0.25">
      <c r="A3" s="9">
        <v>1</v>
      </c>
      <c r="B3" s="9">
        <v>45</v>
      </c>
      <c r="C3" s="9">
        <v>2.2833333333333332E-4</v>
      </c>
      <c r="D3" s="9">
        <v>25.89258111573082</v>
      </c>
      <c r="E3" s="9">
        <v>27.226903281294611</v>
      </c>
      <c r="F3" s="9">
        <v>18.113315912399454</v>
      </c>
      <c r="G3" s="9">
        <v>29.139176549112822</v>
      </c>
      <c r="H3" s="9">
        <v>98.141799958040536</v>
      </c>
      <c r="I3" s="9">
        <v>4940.2990313447963</v>
      </c>
      <c r="J3" s="9">
        <v>3517.7555956949996</v>
      </c>
      <c r="K3" s="9">
        <v>1440.4180294349999</v>
      </c>
      <c r="L3" s="9">
        <v>4835.3267773038724</v>
      </c>
      <c r="M3" s="9">
        <v>3.5650440350723493</v>
      </c>
      <c r="N3" s="9">
        <v>3.5650440350723493</v>
      </c>
      <c r="O3" s="9">
        <v>3.5650440350000001</v>
      </c>
      <c r="P3" s="9">
        <v>0</v>
      </c>
      <c r="Q3" s="9">
        <v>3.5650440350000001</v>
      </c>
      <c r="R3" s="9">
        <v>0</v>
      </c>
      <c r="S3" s="9">
        <v>2.1374433811440037</v>
      </c>
      <c r="T3" s="9">
        <v>2.1374433811440037</v>
      </c>
      <c r="U3" s="9">
        <v>0</v>
      </c>
      <c r="V3" s="9">
        <v>2.2833333333333332</v>
      </c>
      <c r="W3" s="9">
        <v>0</v>
      </c>
      <c r="X3" s="9">
        <v>0</v>
      </c>
      <c r="Y3" s="9">
        <v>0</v>
      </c>
      <c r="Z3" s="9">
        <v>0</v>
      </c>
      <c r="AA3" s="9">
        <v>0</v>
      </c>
      <c r="AB3" s="9">
        <v>0</v>
      </c>
      <c r="AC3" s="9">
        <v>141.02825847701385</v>
      </c>
      <c r="AD3" s="9">
        <v>148.29586653878465</v>
      </c>
      <c r="AE3" s="9">
        <v>98.657194002869019</v>
      </c>
      <c r="AF3" s="9">
        <v>148.29412598785999</v>
      </c>
      <c r="AG3" s="9">
        <v>1590.8785773198372</v>
      </c>
      <c r="AH3" s="9">
        <v>973.41150679651673</v>
      </c>
      <c r="AI3" s="9">
        <v>170.12980592215698</v>
      </c>
      <c r="AJ3" s="9">
        <v>3270.6953350450385</v>
      </c>
      <c r="AK3" s="9">
        <v>54913178.224300884</v>
      </c>
      <c r="AL3" s="9">
        <v>54913164.652950943</v>
      </c>
    </row>
    <row r="4" spans="1:38" x14ac:dyDescent="0.25">
      <c r="A4" s="9">
        <v>2</v>
      </c>
      <c r="B4" s="9">
        <v>45</v>
      </c>
      <c r="C4" s="9">
        <v>2.2833333333333332E-4</v>
      </c>
      <c r="D4" s="9">
        <v>25.619571501412022</v>
      </c>
      <c r="E4" s="9">
        <v>27.286978200756003</v>
      </c>
      <c r="F4" s="9">
        <v>18.118052723162876</v>
      </c>
      <c r="G4" s="9">
        <v>29.026588351609185</v>
      </c>
      <c r="H4" s="9">
        <v>97.977210118005146</v>
      </c>
      <c r="I4" s="9">
        <v>4940.596899158345</v>
      </c>
      <c r="J4" s="9">
        <v>3516.9523748339825</v>
      </c>
      <c r="K4" s="9">
        <v>1440.0891339849456</v>
      </c>
      <c r="L4" s="9">
        <v>4828.9679280251603</v>
      </c>
      <c r="M4" s="9">
        <v>3.560240141816617</v>
      </c>
      <c r="N4" s="9">
        <v>7.1252841768889663</v>
      </c>
      <c r="O4" s="9">
        <v>7.0444239470000003</v>
      </c>
      <c r="P4" s="9">
        <v>0</v>
      </c>
      <c r="Q4" s="9">
        <v>7.0444239470000003</v>
      </c>
      <c r="R4" s="9">
        <v>0</v>
      </c>
      <c r="S4" s="9">
        <v>4.1954836611319122</v>
      </c>
      <c r="T4" s="9">
        <v>4.2928951756444826</v>
      </c>
      <c r="U4" s="9">
        <v>0.1561093470508399</v>
      </c>
      <c r="V4" s="9">
        <v>4.5661453055555388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139.54126611102413</v>
      </c>
      <c r="AD4" s="9">
        <v>148.62307460011769</v>
      </c>
      <c r="AE4" s="9">
        <v>98.682993832160463</v>
      </c>
      <c r="AF4" s="9">
        <v>147.72114588606439</v>
      </c>
      <c r="AG4" s="9">
        <v>1588.2105760128636</v>
      </c>
      <c r="AH4" s="9">
        <v>1923.432995902037</v>
      </c>
      <c r="AI4" s="9">
        <v>333.93952200779455</v>
      </c>
      <c r="AJ4" s="9">
        <v>4380.1515743520622</v>
      </c>
      <c r="AK4" s="9">
        <v>54917558.375875235</v>
      </c>
      <c r="AL4" s="9">
        <v>54917508.530134231</v>
      </c>
    </row>
    <row r="5" spans="1:38" x14ac:dyDescent="0.25">
      <c r="A5" s="9">
        <v>3</v>
      </c>
      <c r="B5" s="9">
        <v>45</v>
      </c>
      <c r="C5" s="9">
        <v>2.2833333333333332E-4</v>
      </c>
      <c r="D5" s="9">
        <v>25.349440481899101</v>
      </c>
      <c r="E5" s="9">
        <v>27.34378007678653</v>
      </c>
      <c r="F5" s="9">
        <v>18.123181328679571</v>
      </c>
      <c r="G5" s="9">
        <v>28.915226958317014</v>
      </c>
      <c r="H5" s="9">
        <v>97.812244943738776</v>
      </c>
      <c r="I5" s="9">
        <v>4940.8936160677085</v>
      </c>
      <c r="J5" s="9">
        <v>3516.1493373750623</v>
      </c>
      <c r="K5" s="9">
        <v>1439.7603136326857</v>
      </c>
      <c r="L5" s="9">
        <v>4822.617441152137</v>
      </c>
      <c r="M5" s="9">
        <v>3.5554405613433802</v>
      </c>
      <c r="N5" s="9">
        <v>10.680724738232346</v>
      </c>
      <c r="O5" s="9">
        <v>10.440087031999999</v>
      </c>
      <c r="P5" s="9">
        <v>0</v>
      </c>
      <c r="Q5" s="9">
        <v>10.440087031999999</v>
      </c>
      <c r="R5" s="9">
        <v>0</v>
      </c>
      <c r="S5" s="9">
        <v>6.1772413328913842</v>
      </c>
      <c r="T5" s="9">
        <v>6.4658571717612459</v>
      </c>
      <c r="U5" s="9">
        <v>0.46330529461270054</v>
      </c>
      <c r="V5" s="9">
        <v>6.8484003907431417</v>
      </c>
      <c r="W5" s="9">
        <v>0</v>
      </c>
      <c r="X5" s="9">
        <v>0</v>
      </c>
      <c r="Y5" s="9">
        <v>0</v>
      </c>
      <c r="Z5" s="9">
        <v>0</v>
      </c>
      <c r="AA5" s="9">
        <v>0</v>
      </c>
      <c r="AB5" s="9">
        <v>0</v>
      </c>
      <c r="AC5" s="9">
        <v>138.06995249141042</v>
      </c>
      <c r="AD5" s="9">
        <v>148.93245548489728</v>
      </c>
      <c r="AE5" s="9">
        <v>98.710927636874729</v>
      </c>
      <c r="AF5" s="9">
        <v>147.15440919536832</v>
      </c>
      <c r="AG5" s="9">
        <v>1585.5364905380056</v>
      </c>
      <c r="AH5" s="9">
        <v>2850.5961635073868</v>
      </c>
      <c r="AI5" s="9">
        <v>491.67752389148973</v>
      </c>
      <c r="AJ5" s="9">
        <v>5460.6779227454326</v>
      </c>
      <c r="AK5" s="9">
        <v>54923019.053797983</v>
      </c>
      <c r="AL5" s="9">
        <v>54922901.514477961</v>
      </c>
    </row>
    <row r="6" spans="1:38" x14ac:dyDescent="0.25">
      <c r="A6" s="9">
        <v>4</v>
      </c>
      <c r="B6" s="9">
        <v>45</v>
      </c>
      <c r="C6" s="9">
        <v>2.2833333333333332E-4</v>
      </c>
      <c r="D6" s="9">
        <v>25.0821577054842</v>
      </c>
      <c r="E6" s="9">
        <v>27.39736349073679</v>
      </c>
      <c r="F6" s="9">
        <v>18.128673348361119</v>
      </c>
      <c r="G6" s="9">
        <v>28.805083699973945</v>
      </c>
      <c r="H6" s="9">
        <v>97.646918744561631</v>
      </c>
      <c r="I6" s="9">
        <v>4941.189194613582</v>
      </c>
      <c r="J6" s="9">
        <v>3515.3464832763616</v>
      </c>
      <c r="K6" s="9">
        <v>1439.4315683610728</v>
      </c>
      <c r="L6" s="9">
        <v>4816.2753056875563</v>
      </c>
      <c r="M6" s="9">
        <v>3.5506453341537387</v>
      </c>
      <c r="N6" s="9">
        <v>14.231370072386085</v>
      </c>
      <c r="O6" s="9">
        <v>13.753936459</v>
      </c>
      <c r="P6" s="9">
        <v>0</v>
      </c>
      <c r="Q6" s="9">
        <v>13.753936459</v>
      </c>
      <c r="R6" s="9">
        <v>0</v>
      </c>
      <c r="S6" s="9">
        <v>8.0857060831875742</v>
      </c>
      <c r="T6" s="9">
        <v>8.6558425644543053</v>
      </c>
      <c r="U6" s="9">
        <v>0.91673892496938469</v>
      </c>
      <c r="V6" s="9">
        <v>9.1300642179448825</v>
      </c>
      <c r="W6" s="9">
        <v>0</v>
      </c>
      <c r="X6" s="9">
        <v>0</v>
      </c>
      <c r="Y6" s="9">
        <v>0</v>
      </c>
      <c r="Z6" s="9">
        <v>0</v>
      </c>
      <c r="AA6" s="9">
        <v>0</v>
      </c>
      <c r="AB6" s="9">
        <v>0</v>
      </c>
      <c r="AC6" s="9">
        <v>136.61415230253726</v>
      </c>
      <c r="AD6" s="9">
        <v>149.22430647954639</v>
      </c>
      <c r="AE6" s="9">
        <v>98.740840837406893</v>
      </c>
      <c r="AF6" s="9">
        <v>146.59387179645074</v>
      </c>
      <c r="AG6" s="9">
        <v>1582.8565528493441</v>
      </c>
      <c r="AH6" s="9">
        <v>3755.4206572202238</v>
      </c>
      <c r="AI6" s="9">
        <v>643.58177569131499</v>
      </c>
      <c r="AJ6" s="9">
        <v>6513.0321571768245</v>
      </c>
      <c r="AK6" s="9">
        <v>54929532.085955158</v>
      </c>
      <c r="AL6" s="9">
        <v>54929307.117479399</v>
      </c>
    </row>
    <row r="7" spans="1:38" x14ac:dyDescent="0.25">
      <c r="A7" s="9">
        <v>5</v>
      </c>
      <c r="B7" s="9">
        <v>45</v>
      </c>
      <c r="C7" s="9">
        <v>2.2833333333333332E-4</v>
      </c>
      <c r="D7" s="9">
        <v>24.817693140485801</v>
      </c>
      <c r="E7" s="9">
        <v>27.447782295846444</v>
      </c>
      <c r="F7" s="9">
        <v>18.134501111379052</v>
      </c>
      <c r="G7" s="9">
        <v>28.696149697188865</v>
      </c>
      <c r="H7" s="9">
        <v>97.481245673747111</v>
      </c>
      <c r="I7" s="9">
        <v>4941.4836472480383</v>
      </c>
      <c r="J7" s="9">
        <v>3514.5438124960133</v>
      </c>
      <c r="K7" s="9">
        <v>1439.1028981529637</v>
      </c>
      <c r="L7" s="9">
        <v>4809.9415106486349</v>
      </c>
      <c r="M7" s="9">
        <v>3.5458545002470676</v>
      </c>
      <c r="N7" s="9">
        <v>17.777224572633152</v>
      </c>
      <c r="O7" s="9">
        <v>16.987832270999998</v>
      </c>
      <c r="P7" s="9">
        <v>0</v>
      </c>
      <c r="Q7" s="9">
        <v>16.987832270999998</v>
      </c>
      <c r="R7" s="9">
        <v>0</v>
      </c>
      <c r="S7" s="9">
        <v>9.9237424955849463</v>
      </c>
      <c r="T7" s="9">
        <v>10.862375697005847</v>
      </c>
      <c r="U7" s="9">
        <v>1.5117284851715416</v>
      </c>
      <c r="V7" s="9">
        <v>11.41110353122707</v>
      </c>
      <c r="W7" s="9">
        <v>0</v>
      </c>
      <c r="X7" s="9">
        <v>0</v>
      </c>
      <c r="Y7" s="9">
        <v>0</v>
      </c>
      <c r="Z7" s="9">
        <v>0</v>
      </c>
      <c r="AA7" s="9">
        <v>0</v>
      </c>
      <c r="AB7" s="9">
        <v>0</v>
      </c>
      <c r="AC7" s="9">
        <v>135.17370197184599</v>
      </c>
      <c r="AD7" s="9">
        <v>149.4989209047103</v>
      </c>
      <c r="AE7" s="9">
        <v>98.772582719977891</v>
      </c>
      <c r="AF7" s="9">
        <v>146.03948850061033</v>
      </c>
      <c r="AG7" s="9">
        <v>1580.1709923714407</v>
      </c>
      <c r="AH7" s="9">
        <v>4638.4143493814099</v>
      </c>
      <c r="AI7" s="9">
        <v>789.88028393608374</v>
      </c>
      <c r="AJ7" s="9">
        <v>7537.9503197860786</v>
      </c>
      <c r="AK7" s="9">
        <v>54937070.036274947</v>
      </c>
      <c r="AL7" s="9">
        <v>54936689.971248478</v>
      </c>
    </row>
    <row r="8" spans="1:38" x14ac:dyDescent="0.25">
      <c r="A8" s="9">
        <v>6</v>
      </c>
      <c r="B8" s="9">
        <v>45</v>
      </c>
      <c r="C8" s="9">
        <v>2.2833333333333332E-4</v>
      </c>
      <c r="D8" s="9">
        <v>24.556017071874397</v>
      </c>
      <c r="E8" s="9">
        <v>27.495089626081747</v>
      </c>
      <c r="F8" s="9">
        <v>18.140637643611996</v>
      </c>
      <c r="G8" s="9">
        <v>28.58841587015867</v>
      </c>
      <c r="H8" s="9">
        <v>97.315239727109116</v>
      </c>
      <c r="I8" s="9">
        <v>4941.7769863323856</v>
      </c>
      <c r="J8" s="9">
        <v>3513.7413249921601</v>
      </c>
      <c r="K8" s="9">
        <v>1438.7743029912187</v>
      </c>
      <c r="L8" s="9">
        <v>4803.6160450670322</v>
      </c>
      <c r="M8" s="9">
        <v>3.5410680991159698</v>
      </c>
      <c r="N8" s="9">
        <v>21.31829267174912</v>
      </c>
      <c r="O8" s="9">
        <v>20.143592361</v>
      </c>
      <c r="P8" s="9">
        <v>0</v>
      </c>
      <c r="Q8" s="9">
        <v>20.143592361</v>
      </c>
      <c r="R8" s="9">
        <v>0</v>
      </c>
      <c r="S8" s="9">
        <v>11.694095499358607</v>
      </c>
      <c r="T8" s="9">
        <v>13.084991808497612</v>
      </c>
      <c r="U8" s="9">
        <v>2.2437529982019422</v>
      </c>
      <c r="V8" s="9">
        <v>13.691486151249819</v>
      </c>
      <c r="W8" s="9">
        <v>0</v>
      </c>
      <c r="X8" s="9">
        <v>0</v>
      </c>
      <c r="Y8" s="9">
        <v>0</v>
      </c>
      <c r="Z8" s="9">
        <v>0</v>
      </c>
      <c r="AA8" s="9">
        <v>0</v>
      </c>
      <c r="AB8" s="9">
        <v>0</v>
      </c>
      <c r="AC8" s="9">
        <v>133.74843965147588</v>
      </c>
      <c r="AD8" s="9">
        <v>149.75658816339191</v>
      </c>
      <c r="AE8" s="9">
        <v>98.80600636554</v>
      </c>
      <c r="AF8" s="9">
        <v>145.49121309921583</v>
      </c>
      <c r="AG8" s="9">
        <v>1577.4800359764388</v>
      </c>
      <c r="AH8" s="9">
        <v>5500.07360355531</v>
      </c>
      <c r="AI8" s="9">
        <v>930.79153127144832</v>
      </c>
      <c r="AJ8" s="9">
        <v>8536.1474180828209</v>
      </c>
      <c r="AK8" s="9">
        <v>54945606.183693029</v>
      </c>
      <c r="AL8" s="9">
        <v>54945015.792860389</v>
      </c>
    </row>
    <row r="9" spans="1:38" x14ac:dyDescent="0.25">
      <c r="A9" s="9">
        <v>7</v>
      </c>
      <c r="B9" s="9">
        <v>45</v>
      </c>
      <c r="C9" s="9">
        <v>2.2833333333333332E-4</v>
      </c>
      <c r="D9" s="9">
        <v>24.297100097933729</v>
      </c>
      <c r="E9" s="9">
        <v>27.539337904871054</v>
      </c>
      <c r="F9" s="9">
        <v>18.147056654799268</v>
      </c>
      <c r="G9" s="9">
        <v>28.481872948145163</v>
      </c>
      <c r="H9" s="9">
        <v>97.148914741695393</v>
      </c>
      <c r="I9" s="9">
        <v>4942.0692241351153</v>
      </c>
      <c r="J9" s="9">
        <v>3512.9390207229535</v>
      </c>
      <c r="K9" s="9">
        <v>1438.4457828587024</v>
      </c>
      <c r="L9" s="9">
        <v>4797.2988979888332</v>
      </c>
      <c r="M9" s="9">
        <v>3.5362861697415866</v>
      </c>
      <c r="N9" s="9">
        <v>24.854578841490707</v>
      </c>
      <c r="O9" s="9">
        <v>23.222993429999999</v>
      </c>
      <c r="P9" s="9">
        <v>0</v>
      </c>
      <c r="Q9" s="9">
        <v>23.222993429999999</v>
      </c>
      <c r="R9" s="9">
        <v>0</v>
      </c>
      <c r="S9" s="9">
        <v>13.399395575787032</v>
      </c>
      <c r="T9" s="9">
        <v>15.323236786997532</v>
      </c>
      <c r="U9" s="9">
        <v>3.1084461374277148</v>
      </c>
      <c r="V9" s="9">
        <v>15.971180938310479</v>
      </c>
      <c r="W9" s="9">
        <v>0</v>
      </c>
      <c r="X9" s="9">
        <v>0</v>
      </c>
      <c r="Y9" s="9">
        <v>0</v>
      </c>
      <c r="Z9" s="9">
        <v>0</v>
      </c>
      <c r="AA9" s="9">
        <v>0</v>
      </c>
      <c r="AB9" s="9">
        <v>0</v>
      </c>
      <c r="AC9" s="9">
        <v>132.33820520007905</v>
      </c>
      <c r="AD9" s="9">
        <v>149.99759378853099</v>
      </c>
      <c r="AE9" s="9">
        <v>98.84096857980667</v>
      </c>
      <c r="AF9" s="9">
        <v>144.94899841193541</v>
      </c>
      <c r="AG9" s="9">
        <v>1574.7839079628825</v>
      </c>
      <c r="AH9" s="9">
        <v>6340.8835361052998</v>
      </c>
      <c r="AI9" s="9">
        <v>1066.5248908547687</v>
      </c>
      <c r="AJ9" s="9">
        <v>9508.3181009033033</v>
      </c>
      <c r="AK9" s="9">
        <v>54955114.501793936</v>
      </c>
      <c r="AL9" s="9">
        <v>54954251.349935882</v>
      </c>
    </row>
    <row r="10" spans="1:38" x14ac:dyDescent="0.25">
      <c r="A10" s="9">
        <v>8</v>
      </c>
      <c r="B10" s="9">
        <v>45</v>
      </c>
      <c r="C10" s="9">
        <v>2.2833333333333332E-4</v>
      </c>
      <c r="D10" s="9">
        <v>24.040913126957239</v>
      </c>
      <c r="E10" s="9">
        <v>27.580578853739503</v>
      </c>
      <c r="F10" s="9">
        <v>18.153732525897979</v>
      </c>
      <c r="G10" s="9">
        <v>28.376511478716786</v>
      </c>
      <c r="H10" s="9">
        <v>96.982284394583843</v>
      </c>
      <c r="I10" s="9">
        <v>4942.3603728299495</v>
      </c>
      <c r="J10" s="9">
        <v>3512.1368996465549</v>
      </c>
      <c r="K10" s="9">
        <v>1438.1173377382829</v>
      </c>
      <c r="L10" s="9">
        <v>4790.9900584745255</v>
      </c>
      <c r="M10" s="9">
        <v>3.5315087505892619</v>
      </c>
      <c r="N10" s="9">
        <v>28.386087592079967</v>
      </c>
      <c r="O10" s="9">
        <v>26.227771917999998</v>
      </c>
      <c r="P10" s="9">
        <v>0</v>
      </c>
      <c r="Q10" s="9">
        <v>26.227771917999998</v>
      </c>
      <c r="R10" s="9">
        <v>0</v>
      </c>
      <c r="S10" s="9">
        <v>15.042163732778086</v>
      </c>
      <c r="T10" s="9">
        <v>17.576666928350409</v>
      </c>
      <c r="U10" s="9">
        <v>4.1015903530390432</v>
      </c>
      <c r="V10" s="9">
        <v>18.250157756794728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130.94284016482709</v>
      </c>
      <c r="AD10" s="9">
        <v>150.22221949003449</v>
      </c>
      <c r="AE10" s="9">
        <v>98.877329824390984</v>
      </c>
      <c r="AF10" s="9">
        <v>144.41279633376951</v>
      </c>
      <c r="AG10" s="9">
        <v>1572.0828300362041</v>
      </c>
      <c r="AH10" s="9">
        <v>7161.3182703971133</v>
      </c>
      <c r="AI10" s="9">
        <v>1197.2810223104718</v>
      </c>
      <c r="AJ10" s="9">
        <v>10455.137308556812</v>
      </c>
      <c r="AK10" s="9">
        <v>54965569.639102496</v>
      </c>
      <c r="AL10" s="9">
        <v>54964364.427401513</v>
      </c>
    </row>
    <row r="11" spans="1:38" x14ac:dyDescent="0.25">
      <c r="A11" s="9">
        <v>9</v>
      </c>
      <c r="B11" s="9">
        <v>45</v>
      </c>
      <c r="C11" s="9">
        <v>2.2833333333333332E-4</v>
      </c>
      <c r="D11" s="9">
        <v>23.787427373979341</v>
      </c>
      <c r="E11" s="9">
        <v>27.618863500843933</v>
      </c>
      <c r="F11" s="9">
        <v>18.160640296640654</v>
      </c>
      <c r="G11" s="9">
        <v>28.272321836759808</v>
      </c>
      <c r="H11" s="9">
        <v>96.815362201779038</v>
      </c>
      <c r="I11" s="9">
        <v>4942.6504444939874</v>
      </c>
      <c r="J11" s="9">
        <v>3511.3349617211356</v>
      </c>
      <c r="K11" s="9">
        <v>1437.7889676128327</v>
      </c>
      <c r="L11" s="9">
        <v>4784.689515598986</v>
      </c>
      <c r="M11" s="9">
        <v>3.5267358796045434</v>
      </c>
      <c r="N11" s="9">
        <v>31.912823471684511</v>
      </c>
      <c r="O11" s="9">
        <v>29.159624917999999</v>
      </c>
      <c r="P11" s="9">
        <v>0</v>
      </c>
      <c r="Q11" s="9">
        <v>29.159624917999999</v>
      </c>
      <c r="R11" s="9">
        <v>0</v>
      </c>
      <c r="S11" s="9">
        <v>16.624816258228368</v>
      </c>
      <c r="T11" s="9">
        <v>19.844848700414804</v>
      </c>
      <c r="U11" s="9">
        <v>5.2191112395210366</v>
      </c>
      <c r="V11" s="9">
        <v>20.528387440976285</v>
      </c>
      <c r="W11" s="9">
        <v>0</v>
      </c>
      <c r="X11" s="9">
        <v>0</v>
      </c>
      <c r="Y11" s="9">
        <v>0</v>
      </c>
      <c r="Z11" s="9">
        <v>0</v>
      </c>
      <c r="AA11" s="9">
        <v>0</v>
      </c>
      <c r="AB11" s="9">
        <v>0</v>
      </c>
      <c r="AC11" s="9">
        <v>129.56218776360748</v>
      </c>
      <c r="AD11" s="9">
        <v>150.43074320126328</v>
      </c>
      <c r="AE11" s="9">
        <v>98.914954149036092</v>
      </c>
      <c r="AF11" s="9">
        <v>143.88255788091013</v>
      </c>
      <c r="AG11" s="9">
        <v>1569.3770212908382</v>
      </c>
      <c r="AH11" s="9">
        <v>7961.841186360447</v>
      </c>
      <c r="AI11" s="9">
        <v>1323.2522500736868</v>
      </c>
      <c r="AJ11" s="9">
        <v>11377.26090071979</v>
      </c>
      <c r="AK11" s="9">
        <v>54976946.900003217</v>
      </c>
      <c r="AL11" s="9">
        <v>54975323.795386478</v>
      </c>
    </row>
    <row r="12" spans="1:38" x14ac:dyDescent="0.25">
      <c r="A12" s="9">
        <v>10</v>
      </c>
      <c r="B12" s="9">
        <v>45</v>
      </c>
      <c r="C12" s="9">
        <v>2.2833333333333332E-4</v>
      </c>
      <c r="D12" s="9">
        <v>23.536614357541168</v>
      </c>
      <c r="E12" s="9">
        <v>27.654242189409192</v>
      </c>
      <c r="F12" s="9">
        <v>18.167755653290488</v>
      </c>
      <c r="G12" s="9">
        <v>28.169294233263496</v>
      </c>
      <c r="H12" s="9">
        <v>96.648161517205978</v>
      </c>
      <c r="I12" s="9">
        <v>4942.9394511059363</v>
      </c>
      <c r="J12" s="9">
        <v>3510.5332069048759</v>
      </c>
      <c r="K12" s="9">
        <v>1437.4606724652278</v>
      </c>
      <c r="L12" s="9">
        <v>4778.3972584514568</v>
      </c>
      <c r="M12" s="9">
        <v>3.5219675942095212</v>
      </c>
      <c r="N12" s="9">
        <v>35.434791065894032</v>
      </c>
      <c r="O12" s="9">
        <v>32.020211068999998</v>
      </c>
      <c r="P12" s="9">
        <v>0</v>
      </c>
      <c r="Q12" s="9">
        <v>32.020211068999998</v>
      </c>
      <c r="R12" s="9">
        <v>0</v>
      </c>
      <c r="S12" s="9">
        <v>18.149669262100549</v>
      </c>
      <c r="T12" s="9">
        <v>22.12735851264673</v>
      </c>
      <c r="U12" s="9">
        <v>6.4570721338430914</v>
      </c>
      <c r="V12" s="9">
        <v>22.805841762110834</v>
      </c>
      <c r="W12" s="9">
        <v>0</v>
      </c>
      <c r="X12" s="9">
        <v>0</v>
      </c>
      <c r="Y12" s="9">
        <v>0</v>
      </c>
      <c r="Z12" s="9">
        <v>0</v>
      </c>
      <c r="AA12" s="9">
        <v>0</v>
      </c>
      <c r="AB12" s="9">
        <v>0</v>
      </c>
      <c r="AC12" s="9">
        <v>128.19609286740754</v>
      </c>
      <c r="AD12" s="9">
        <v>150.62343912498207</v>
      </c>
      <c r="AE12" s="9">
        <v>98.953709124922185</v>
      </c>
      <c r="AF12" s="9">
        <v>143.35823323545014</v>
      </c>
      <c r="AG12" s="9">
        <v>1566.666698193909</v>
      </c>
      <c r="AH12" s="9">
        <v>8742.9051643166567</v>
      </c>
      <c r="AI12" s="9">
        <v>1444.6229249168932</v>
      </c>
      <c r="AJ12" s="9">
        <v>12275.326261780221</v>
      </c>
      <c r="AK12" s="9">
        <v>54989222.226264998</v>
      </c>
      <c r="AL12" s="9">
        <v>54987099.178213365</v>
      </c>
    </row>
    <row r="13" spans="1:38" x14ac:dyDescent="0.25">
      <c r="A13" s="9">
        <v>11</v>
      </c>
      <c r="B13" s="9">
        <v>45</v>
      </c>
      <c r="C13" s="9">
        <v>2.2833333333333332E-4</v>
      </c>
      <c r="D13" s="9">
        <v>23.288445896490419</v>
      </c>
      <c r="E13" s="9">
        <v>27.686764586066957</v>
      </c>
      <c r="F13" s="9">
        <v>18.175054916591375</v>
      </c>
      <c r="G13" s="9">
        <v>28.06741872388373</v>
      </c>
      <c r="H13" s="9">
        <v>96.480695531798474</v>
      </c>
      <c r="I13" s="9">
        <v>4943.2274045444392</v>
      </c>
      <c r="J13" s="9">
        <v>3509.7316351559662</v>
      </c>
      <c r="K13" s="9">
        <v>1437.1324522783482</v>
      </c>
      <c r="L13" s="9">
        <v>4772.1132761355302</v>
      </c>
      <c r="M13" s="9">
        <v>3.5172039312994814</v>
      </c>
      <c r="N13" s="9">
        <v>38.951994997193516</v>
      </c>
      <c r="O13" s="9">
        <v>34.811151426999999</v>
      </c>
      <c r="P13" s="9">
        <v>0</v>
      </c>
      <c r="Q13" s="9">
        <v>34.811151426999999</v>
      </c>
      <c r="R13" s="9">
        <v>0</v>
      </c>
      <c r="S13" s="9">
        <v>19.618943016724828</v>
      </c>
      <c r="T13" s="9">
        <v>24.423782490907435</v>
      </c>
      <c r="U13" s="9">
        <v>7.8116689344364145</v>
      </c>
      <c r="V13" s="9">
        <v>25.082493396771103</v>
      </c>
      <c r="W13" s="9">
        <v>0</v>
      </c>
      <c r="X13" s="9">
        <v>0</v>
      </c>
      <c r="Y13" s="9">
        <v>0</v>
      </c>
      <c r="Z13" s="9">
        <v>0</v>
      </c>
      <c r="AA13" s="9">
        <v>0</v>
      </c>
      <c r="AB13" s="9">
        <v>0</v>
      </c>
      <c r="AC13" s="9">
        <v>126.84440198288448</v>
      </c>
      <c r="AD13" s="9">
        <v>150.80057777877801</v>
      </c>
      <c r="AE13" s="9">
        <v>98.993465779034352</v>
      </c>
      <c r="AF13" s="9">
        <v>142.83977178896495</v>
      </c>
      <c r="AG13" s="9">
        <v>1563.9520745704533</v>
      </c>
      <c r="AH13" s="9">
        <v>9504.9528227995033</v>
      </c>
      <c r="AI13" s="9">
        <v>1561.5697694162127</v>
      </c>
      <c r="AJ13" s="9">
        <v>13149.952884115832</v>
      </c>
      <c r="AK13" s="9">
        <v>55002372.179149114</v>
      </c>
      <c r="AL13" s="9">
        <v>54999661.224441521</v>
      </c>
    </row>
    <row r="14" spans="1:38" x14ac:dyDescent="0.25">
      <c r="A14" s="9">
        <v>12</v>
      </c>
      <c r="B14" s="9">
        <v>46</v>
      </c>
      <c r="C14" s="9">
        <v>2.2833333333333332E-4</v>
      </c>
      <c r="D14" s="9">
        <v>23.042894106814945</v>
      </c>
      <c r="E14" s="9">
        <v>27.716479689098108</v>
      </c>
      <c r="F14" s="9">
        <v>18.182515029909862</v>
      </c>
      <c r="G14" s="9">
        <v>27.966685217289434</v>
      </c>
      <c r="H14" s="9">
        <v>96.312977272679319</v>
      </c>
      <c r="I14" s="9">
        <v>4943.5143165864847</v>
      </c>
      <c r="J14" s="9">
        <v>3508.9302464326056</v>
      </c>
      <c r="K14" s="9">
        <v>1436.804307035078</v>
      </c>
      <c r="L14" s="9">
        <v>4765.8375577691268</v>
      </c>
      <c r="M14" s="9">
        <v>3.5124449272398794</v>
      </c>
      <c r="N14" s="9">
        <v>42.464439924433393</v>
      </c>
      <c r="O14" s="9">
        <v>37.534030315000003</v>
      </c>
      <c r="P14" s="9">
        <v>0</v>
      </c>
      <c r="Q14" s="9">
        <v>37.534030315000003</v>
      </c>
      <c r="R14" s="9">
        <v>0</v>
      </c>
      <c r="S14" s="9">
        <v>21.034766104391622</v>
      </c>
      <c r="T14" s="9">
        <v>26.733716257366627</v>
      </c>
      <c r="U14" s="9">
        <v>9.2792251314448464</v>
      </c>
      <c r="V14" s="9">
        <v>27.358315896372051</v>
      </c>
      <c r="W14" s="9">
        <v>9950.6233889378582</v>
      </c>
      <c r="X14" s="9">
        <v>9963.362458971993</v>
      </c>
      <c r="Y14" s="9">
        <v>12.739070034134791</v>
      </c>
      <c r="Z14" s="9">
        <v>9950.6233889378582</v>
      </c>
      <c r="AA14" s="9">
        <v>9963.362458971993</v>
      </c>
      <c r="AB14" s="9">
        <v>12.739070034134791</v>
      </c>
      <c r="AC14" s="9">
        <v>125.50696323511872</v>
      </c>
      <c r="AD14" s="9">
        <v>150.96242603995435</v>
      </c>
      <c r="AE14" s="9">
        <v>99.034098529575701</v>
      </c>
      <c r="AF14" s="9">
        <v>142.32712218498881</v>
      </c>
      <c r="AG14" s="9">
        <v>1561.2333615901318</v>
      </c>
      <c r="AH14" s="9">
        <v>10248.416750641985</v>
      </c>
      <c r="AI14" s="9">
        <v>1674.2622080790511</v>
      </c>
      <c r="AJ14" s="9">
        <v>14001.742930300807</v>
      </c>
      <c r="AK14" s="9">
        <v>55016373.922079414</v>
      </c>
      <c r="AL14" s="9">
        <v>55012981.477923423</v>
      </c>
    </row>
    <row r="15" spans="1:38" x14ac:dyDescent="0.25">
      <c r="A15" s="9">
        <v>13</v>
      </c>
      <c r="B15" s="9">
        <v>46</v>
      </c>
      <c r="C15" s="9">
        <v>2.5083333333333332E-4</v>
      </c>
      <c r="D15" s="9">
        <v>22.799412933392325</v>
      </c>
      <c r="E15" s="9">
        <v>27.742812215786785</v>
      </c>
      <c r="F15" s="9">
        <v>18.189704440978094</v>
      </c>
      <c r="G15" s="9">
        <v>27.866454232878748</v>
      </c>
      <c r="H15" s="9">
        <v>96.142852560441014</v>
      </c>
      <c r="I15" s="9">
        <v>4943.8001989059057</v>
      </c>
      <c r="J15" s="9">
        <v>3508.0500897624588</v>
      </c>
      <c r="K15" s="9">
        <v>1436.4439086213968</v>
      </c>
      <c r="L15" s="9">
        <v>4759.4628611394292</v>
      </c>
      <c r="M15" s="9">
        <v>3.5076906178636116</v>
      </c>
      <c r="N15" s="9">
        <v>45.972130542297002</v>
      </c>
      <c r="O15" s="9">
        <v>37.525536836351833</v>
      </c>
      <c r="P15" s="9">
        <v>2.6640148056481636</v>
      </c>
      <c r="Q15" s="9">
        <v>37.525536836351833</v>
      </c>
      <c r="R15" s="9">
        <v>2.6640148056481636</v>
      </c>
      <c r="S15" s="9">
        <v>22.398706098657833</v>
      </c>
      <c r="T15" s="9">
        <v>29.056764715378378</v>
      </c>
      <c r="U15" s="9">
        <v>10.856187039161862</v>
      </c>
      <c r="V15" s="9">
        <v>29.857459313164192</v>
      </c>
      <c r="W15" s="9">
        <v>9950.6233889378582</v>
      </c>
      <c r="X15" s="9">
        <v>9963.362458971993</v>
      </c>
      <c r="Y15" s="9">
        <v>12.739070034134791</v>
      </c>
      <c r="Z15" s="9">
        <v>9950.6233889378582</v>
      </c>
      <c r="AA15" s="9">
        <v>9963.362458971993</v>
      </c>
      <c r="AB15" s="9">
        <v>12.739070034134791</v>
      </c>
      <c r="AC15" s="9">
        <v>124.18080244387686</v>
      </c>
      <c r="AD15" s="9">
        <v>151.10585053531867</v>
      </c>
      <c r="AE15" s="9">
        <v>99.073256855194018</v>
      </c>
      <c r="AF15" s="9">
        <v>141.81703000015875</v>
      </c>
      <c r="AG15" s="9">
        <v>1558.4756400047488</v>
      </c>
      <c r="AH15" s="9">
        <v>10973.48914550382</v>
      </c>
      <c r="AI15" s="9">
        <v>1782.8250119226702</v>
      </c>
      <c r="AJ15" s="9">
        <v>14830.966737265788</v>
      </c>
      <c r="AK15" s="9">
        <v>55031204.888816677</v>
      </c>
      <c r="AL15" s="9">
        <v>55027032.051375486</v>
      </c>
    </row>
    <row r="16" spans="1:38" x14ac:dyDescent="0.25">
      <c r="A16" s="9">
        <v>14</v>
      </c>
      <c r="B16" s="9">
        <v>46</v>
      </c>
      <c r="C16" s="9">
        <v>2.5083333333333332E-4</v>
      </c>
      <c r="D16" s="9">
        <v>22.558504487229417</v>
      </c>
      <c r="E16" s="9">
        <v>27.76643227385701</v>
      </c>
      <c r="F16" s="9">
        <v>18.19701007744743</v>
      </c>
      <c r="G16" s="9">
        <v>27.767349156192275</v>
      </c>
      <c r="H16" s="9">
        <v>95.972508741321221</v>
      </c>
      <c r="I16" s="9">
        <v>4944.0850566396066</v>
      </c>
      <c r="J16" s="9">
        <v>3507.1701538649436</v>
      </c>
      <c r="K16" s="9">
        <v>1436.0836006076509</v>
      </c>
      <c r="L16" s="9">
        <v>4753.0966911866544</v>
      </c>
      <c r="M16" s="9">
        <v>3.5028621154296848</v>
      </c>
      <c r="N16" s="9">
        <v>49.474992657726688</v>
      </c>
      <c r="O16" s="9">
        <v>37.515997447626113</v>
      </c>
      <c r="P16" s="9">
        <v>2.6604250483738854</v>
      </c>
      <c r="Q16" s="9">
        <v>37.515997447626113</v>
      </c>
      <c r="R16" s="9">
        <v>5.281943533483183</v>
      </c>
      <c r="S16" s="9">
        <v>23.713131810903139</v>
      </c>
      <c r="T16" s="9">
        <v>31.392489570649879</v>
      </c>
      <c r="U16" s="9">
        <v>12.521096505398699</v>
      </c>
      <c r="V16" s="9">
        <v>32.355580306870756</v>
      </c>
      <c r="W16" s="9">
        <v>9950.6233889378582</v>
      </c>
      <c r="X16" s="9">
        <v>9963.362458971993</v>
      </c>
      <c r="Y16" s="9">
        <v>12.739070034134791</v>
      </c>
      <c r="Z16" s="9">
        <v>9950.6233889378582</v>
      </c>
      <c r="AA16" s="9">
        <v>9963.362458971993</v>
      </c>
      <c r="AB16" s="9">
        <v>12.739070034134791</v>
      </c>
      <c r="AC16" s="9">
        <v>122.86865444044288</v>
      </c>
      <c r="AD16" s="9">
        <v>151.23450111827449</v>
      </c>
      <c r="AE16" s="9">
        <v>99.113048221830326</v>
      </c>
      <c r="AF16" s="9">
        <v>141.3126677473885</v>
      </c>
      <c r="AG16" s="9">
        <v>1555.714366696817</v>
      </c>
      <c r="AH16" s="9">
        <v>11685.692465285354</v>
      </c>
      <c r="AI16" s="9">
        <v>1887.4467264888353</v>
      </c>
      <c r="AJ16" s="9">
        <v>15643.382429998943</v>
      </c>
      <c r="AK16" s="9">
        <v>55046848.271246679</v>
      </c>
      <c r="AL16" s="9">
        <v>55041790.797100127</v>
      </c>
    </row>
    <row r="17" spans="1:38" x14ac:dyDescent="0.25">
      <c r="A17" s="9">
        <v>15</v>
      </c>
      <c r="B17" s="9">
        <v>46</v>
      </c>
      <c r="C17" s="9">
        <v>2.5083333333333332E-4</v>
      </c>
      <c r="D17" s="9">
        <v>22.320141583778604</v>
      </c>
      <c r="E17" s="9">
        <v>27.787387088094924</v>
      </c>
      <c r="F17" s="9">
        <v>18.204410673425571</v>
      </c>
      <c r="G17" s="9">
        <v>27.669359427062126</v>
      </c>
      <c r="H17" s="9">
        <v>95.801958362016663</v>
      </c>
      <c r="I17" s="9">
        <v>4944.3689012968925</v>
      </c>
      <c r="J17" s="9">
        <v>3506.2904386846826</v>
      </c>
      <c r="K17" s="9">
        <v>1435.7233829711652</v>
      </c>
      <c r="L17" s="9">
        <v>4746.7390365056763</v>
      </c>
      <c r="M17" s="9">
        <v>3.4980385932446172</v>
      </c>
      <c r="N17" s="9">
        <v>52.973031250971303</v>
      </c>
      <c r="O17" s="9">
        <v>37.505437653130549</v>
      </c>
      <c r="P17" s="9">
        <v>2.6568385138694541</v>
      </c>
      <c r="Q17" s="9">
        <v>37.505437653130549</v>
      </c>
      <c r="R17" s="9">
        <v>7.8545245706332159</v>
      </c>
      <c r="S17" s="9">
        <v>24.980028429237123</v>
      </c>
      <c r="T17" s="9">
        <v>33.740618340978294</v>
      </c>
      <c r="U17" s="9">
        <v>14.27123697721416</v>
      </c>
      <c r="V17" s="9">
        <v>34.852657073770239</v>
      </c>
      <c r="W17" s="9">
        <v>9950.6233889378582</v>
      </c>
      <c r="X17" s="9">
        <v>9963.362458971993</v>
      </c>
      <c r="Y17" s="9">
        <v>12.739070034134791</v>
      </c>
      <c r="Z17" s="9">
        <v>9950.6233889378582</v>
      </c>
      <c r="AA17" s="9">
        <v>9963.362458971993</v>
      </c>
      <c r="AB17" s="9">
        <v>12.739070034134791</v>
      </c>
      <c r="AC17" s="9">
        <v>121.57037115964745</v>
      </c>
      <c r="AD17" s="9">
        <v>151.34863500649035</v>
      </c>
      <c r="AE17" s="9">
        <v>99.153356801257928</v>
      </c>
      <c r="AF17" s="9">
        <v>140.81398168422368</v>
      </c>
      <c r="AG17" s="9">
        <v>1552.9497450482902</v>
      </c>
      <c r="AH17" s="9">
        <v>12385.235285450539</v>
      </c>
      <c r="AI17" s="9">
        <v>1988.2853628251287</v>
      </c>
      <c r="AJ17" s="9">
        <v>16439.356737975577</v>
      </c>
      <c r="AK17" s="9">
        <v>55063287.627984658</v>
      </c>
      <c r="AL17" s="9">
        <v>55057236.14897833</v>
      </c>
    </row>
    <row r="18" spans="1:38" x14ac:dyDescent="0.25">
      <c r="A18" s="9">
        <v>16</v>
      </c>
      <c r="B18" s="9">
        <v>46</v>
      </c>
      <c r="C18" s="9">
        <v>2.5083333333333332E-4</v>
      </c>
      <c r="D18" s="9">
        <v>22.084297325735939</v>
      </c>
      <c r="E18" s="9">
        <v>27.80572324272071</v>
      </c>
      <c r="F18" s="9">
        <v>18.211885541988451</v>
      </c>
      <c r="G18" s="9">
        <v>27.572474370579375</v>
      </c>
      <c r="H18" s="9">
        <v>95.631213801871354</v>
      </c>
      <c r="I18" s="9">
        <v>4944.651744279121</v>
      </c>
      <c r="J18" s="9">
        <v>3505.4109441663127</v>
      </c>
      <c r="K18" s="9">
        <v>1435.3632556892699</v>
      </c>
      <c r="L18" s="9">
        <v>4740.3898857066233</v>
      </c>
      <c r="M18" s="9">
        <v>3.4932200852013118</v>
      </c>
      <c r="N18" s="9">
        <v>56.466251336172618</v>
      </c>
      <c r="O18" s="9">
        <v>37.493882380600276</v>
      </c>
      <c r="P18" s="9">
        <v>2.6532552323997227</v>
      </c>
      <c r="Q18" s="9">
        <v>37.493882380600276</v>
      </c>
      <c r="R18" s="9">
        <v>10.382484555751901</v>
      </c>
      <c r="S18" s="9">
        <v>26.201295104213905</v>
      </c>
      <c r="T18" s="9">
        <v>36.10088302392834</v>
      </c>
      <c r="U18" s="9">
        <v>16.103989617418158</v>
      </c>
      <c r="V18" s="9">
        <v>37.348668497012419</v>
      </c>
      <c r="W18" s="9">
        <v>9950.6233889378582</v>
      </c>
      <c r="X18" s="9">
        <v>9963.362458971993</v>
      </c>
      <c r="Y18" s="9">
        <v>12.739070034134791</v>
      </c>
      <c r="Z18" s="9">
        <v>9950.6233889378582</v>
      </c>
      <c r="AA18" s="9">
        <v>9963.362458971993</v>
      </c>
      <c r="AB18" s="9">
        <v>12.739070034134791</v>
      </c>
      <c r="AC18" s="9">
        <v>120.28580610084174</v>
      </c>
      <c r="AD18" s="9">
        <v>151.44850592868545</v>
      </c>
      <c r="AE18" s="9">
        <v>99.194069918697096</v>
      </c>
      <c r="AF18" s="9">
        <v>140.32091748427354</v>
      </c>
      <c r="AG18" s="9">
        <v>1550.1819757283347</v>
      </c>
      <c r="AH18" s="9">
        <v>13072.322816191387</v>
      </c>
      <c r="AI18" s="9">
        <v>2085.4920838199059</v>
      </c>
      <c r="AJ18" s="9">
        <v>17219.246175172124</v>
      </c>
      <c r="AK18" s="9">
        <v>55080506.874159828</v>
      </c>
      <c r="AL18" s="9">
        <v>55073347.1053342</v>
      </c>
    </row>
    <row r="19" spans="1:38" x14ac:dyDescent="0.25">
      <c r="A19" s="9">
        <v>17</v>
      </c>
      <c r="B19" s="9">
        <v>46</v>
      </c>
      <c r="C19" s="9">
        <v>2.5083333333333332E-4</v>
      </c>
      <c r="D19" s="9">
        <v>21.850945100006015</v>
      </c>
      <c r="E19" s="9">
        <v>27.821486689236714</v>
      </c>
      <c r="F19" s="9">
        <v>18.219414564175786</v>
      </c>
      <c r="G19" s="9">
        <v>27.476683204430614</v>
      </c>
      <c r="H19" s="9">
        <v>95.460287272496089</v>
      </c>
      <c r="I19" s="9">
        <v>4944.9335968785253</v>
      </c>
      <c r="J19" s="9">
        <v>3504.5316702544842</v>
      </c>
      <c r="K19" s="9">
        <v>1435.0032187393012</v>
      </c>
      <c r="L19" s="9">
        <v>4734.0492274148601</v>
      </c>
      <c r="M19" s="9">
        <v>3.488406624649012</v>
      </c>
      <c r="N19" s="9">
        <v>59.954657960821628</v>
      </c>
      <c r="O19" s="9">
        <v>37.481355996145375</v>
      </c>
      <c r="P19" s="9">
        <v>2.6496752338546239</v>
      </c>
      <c r="Q19" s="9">
        <v>37.481355996145375</v>
      </c>
      <c r="R19" s="9">
        <v>12.866538566054912</v>
      </c>
      <c r="S19" s="9">
        <v>27.378748799521922</v>
      </c>
      <c r="T19" s="9">
        <v>38.473020024523962</v>
      </c>
      <c r="U19" s="9">
        <v>18.016829277862495</v>
      </c>
      <c r="V19" s="9">
        <v>39.843594121935404</v>
      </c>
      <c r="W19" s="9">
        <v>9950.6233889378582</v>
      </c>
      <c r="X19" s="9">
        <v>9963.362458971993</v>
      </c>
      <c r="Y19" s="9">
        <v>12.739070034134791</v>
      </c>
      <c r="Z19" s="9">
        <v>9950.6233889378582</v>
      </c>
      <c r="AA19" s="9">
        <v>9963.362458971993</v>
      </c>
      <c r="AB19" s="9">
        <v>12.739070034134791</v>
      </c>
      <c r="AC19" s="9">
        <v>119.0148143113661</v>
      </c>
      <c r="AD19" s="9">
        <v>151.53436416737597</v>
      </c>
      <c r="AE19" s="9">
        <v>99.235077992877436</v>
      </c>
      <c r="AF19" s="9">
        <v>139.83342027454813</v>
      </c>
      <c r="AG19" s="9">
        <v>1547.4112566871618</v>
      </c>
      <c r="AH19" s="9">
        <v>13747.156957578376</v>
      </c>
      <c r="AI19" s="9">
        <v>2179.2115106979472</v>
      </c>
      <c r="AJ19" s="9">
        <v>17983.397401709652</v>
      </c>
      <c r="AK19" s="9">
        <v>55098490.271561541</v>
      </c>
      <c r="AL19" s="9">
        <v>55090103.212406568</v>
      </c>
    </row>
    <row r="20" spans="1:38" x14ac:dyDescent="0.25">
      <c r="A20" s="9">
        <v>18</v>
      </c>
      <c r="B20" s="9">
        <v>46</v>
      </c>
      <c r="C20" s="9">
        <v>2.5083333333333332E-4</v>
      </c>
      <c r="D20" s="9">
        <v>21.620058574698881</v>
      </c>
      <c r="E20" s="9">
        <v>27.834722754184394</v>
      </c>
      <c r="F20" s="9">
        <v>18.226978178163847</v>
      </c>
      <c r="G20" s="9">
        <v>27.381975046041102</v>
      </c>
      <c r="H20" s="9">
        <v>95.289190817464629</v>
      </c>
      <c r="I20" s="9">
        <v>4945.214470277122</v>
      </c>
      <c r="J20" s="9">
        <v>3503.6526168938622</v>
      </c>
      <c r="K20" s="9">
        <v>1434.6432720986008</v>
      </c>
      <c r="L20" s="9">
        <v>4727.717050270965</v>
      </c>
      <c r="M20" s="9">
        <v>3.4835982443920273</v>
      </c>
      <c r="N20" s="9">
        <v>63.438256205213655</v>
      </c>
      <c r="O20" s="9">
        <v>37.467882315254599</v>
      </c>
      <c r="P20" s="9">
        <v>2.6460985477453995</v>
      </c>
      <c r="Q20" s="9">
        <v>37.467882315254599</v>
      </c>
      <c r="R20" s="9">
        <v>15.30739030136913</v>
      </c>
      <c r="S20" s="9">
        <v>28.514127968277748</v>
      </c>
      <c r="T20" s="9">
        <v>40.856770084121408</v>
      </c>
      <c r="U20" s="9">
        <v>20.007320649433574</v>
      </c>
      <c r="V20" s="9">
        <v>42.337414132399417</v>
      </c>
      <c r="W20" s="9">
        <v>9950.6233889378582</v>
      </c>
      <c r="X20" s="9">
        <v>9963.362458971993</v>
      </c>
      <c r="Y20" s="9">
        <v>12.739070034134791</v>
      </c>
      <c r="Z20" s="9">
        <v>9950.6233889378582</v>
      </c>
      <c r="AA20" s="9">
        <v>9963.362458971993</v>
      </c>
      <c r="AB20" s="9">
        <v>12.739070034134791</v>
      </c>
      <c r="AC20" s="9">
        <v>117.75725237019323</v>
      </c>
      <c r="AD20" s="9">
        <v>151.60645660112434</v>
      </c>
      <c r="AE20" s="9">
        <v>99.276274477065755</v>
      </c>
      <c r="AF20" s="9">
        <v>139.35143467181084</v>
      </c>
      <c r="AG20" s="9">
        <v>1544.6377831511018</v>
      </c>
      <c r="AH20" s="9">
        <v>14409.936352818333</v>
      </c>
      <c r="AI20" s="9">
        <v>2269.5820156350674</v>
      </c>
      <c r="AJ20" s="9">
        <v>18732.147569724697</v>
      </c>
      <c r="AK20" s="9">
        <v>55117222.419131264</v>
      </c>
      <c r="AL20" s="9">
        <v>55107484.548401602</v>
      </c>
    </row>
    <row r="21" spans="1:38" x14ac:dyDescent="0.25">
      <c r="A21" s="9">
        <v>19</v>
      </c>
      <c r="B21" s="9">
        <v>46</v>
      </c>
      <c r="C21" s="9">
        <v>2.5083333333333332E-4</v>
      </c>
      <c r="D21" s="9">
        <v>21.391611696158716</v>
      </c>
      <c r="E21" s="9">
        <v>27.845476146811141</v>
      </c>
      <c r="F21" s="9">
        <v>18.234557368612926</v>
      </c>
      <c r="G21" s="9">
        <v>27.288338919528364</v>
      </c>
      <c r="H21" s="9">
        <v>95.117936312084439</v>
      </c>
      <c r="I21" s="9">
        <v>4945.4943755456816</v>
      </c>
      <c r="J21" s="9">
        <v>3502.7737840291247</v>
      </c>
      <c r="K21" s="9">
        <v>1434.2834157445161</v>
      </c>
      <c r="L21" s="9">
        <v>4721.3933429307108</v>
      </c>
      <c r="M21" s="9">
        <v>3.4787949766887154</v>
      </c>
      <c r="N21" s="9">
        <v>66.917051181902366</v>
      </c>
      <c r="O21" s="9">
        <v>37.453484615798907</v>
      </c>
      <c r="P21" s="9">
        <v>2.6425252032010982</v>
      </c>
      <c r="Q21" s="9">
        <v>37.453484615798907</v>
      </c>
      <c r="R21" s="9">
        <v>17.705732265242382</v>
      </c>
      <c r="S21" s="9">
        <v>29.609096062835295</v>
      </c>
      <c r="T21" s="9">
        <v>43.2518782104233</v>
      </c>
      <c r="U21" s="9">
        <v>22.073114580744054</v>
      </c>
      <c r="V21" s="9">
        <v>44.830109328091822</v>
      </c>
      <c r="W21" s="9">
        <v>9950.6233889378582</v>
      </c>
      <c r="X21" s="9">
        <v>9963.362458971993</v>
      </c>
      <c r="Y21" s="9">
        <v>12.739070034134791</v>
      </c>
      <c r="Z21" s="9">
        <v>9950.6233889378582</v>
      </c>
      <c r="AA21" s="9">
        <v>9963.362458971993</v>
      </c>
      <c r="AB21" s="9">
        <v>12.739070034134791</v>
      </c>
      <c r="AC21" s="9">
        <v>116.51297837174447</v>
      </c>
      <c r="AD21" s="9">
        <v>151.665026746298</v>
      </c>
      <c r="AE21" s="9">
        <v>99.31755580104506</v>
      </c>
      <c r="AF21" s="9">
        <v>138.87490481796644</v>
      </c>
      <c r="AG21" s="9">
        <v>1541.8617476188888</v>
      </c>
      <c r="AH21" s="9">
        <v>15060.856441255784</v>
      </c>
      <c r="AI21" s="9">
        <v>2356.7360011213755</v>
      </c>
      <c r="AJ21" s="9">
        <v>19465.824655733104</v>
      </c>
      <c r="AK21" s="9">
        <v>55136688.243786998</v>
      </c>
      <c r="AL21" s="9">
        <v>55125471.708103016</v>
      </c>
    </row>
    <row r="22" spans="1:38" x14ac:dyDescent="0.25">
      <c r="A22" s="9">
        <v>20</v>
      </c>
      <c r="B22" s="9">
        <v>46</v>
      </c>
      <c r="C22" s="9">
        <v>2.5083333333333332E-4</v>
      </c>
      <c r="D22" s="9">
        <v>21.165578686023874</v>
      </c>
      <c r="E22" s="9">
        <v>27.853790966647971</v>
      </c>
      <c r="F22" s="9">
        <v>18.242133656186855</v>
      </c>
      <c r="G22" s="9">
        <v>27.195763762470079</v>
      </c>
      <c r="H22" s="9">
        <v>94.946535463239556</v>
      </c>
      <c r="I22" s="9">
        <v>4945.7733236427775</v>
      </c>
      <c r="J22" s="9">
        <v>3501.8951716049642</v>
      </c>
      <c r="K22" s="9">
        <v>1433.9236496544002</v>
      </c>
      <c r="L22" s="9">
        <v>4715.0780940650429</v>
      </c>
      <c r="M22" s="9">
        <v>3.4739968532507097</v>
      </c>
      <c r="N22" s="9">
        <v>70.391048035153077</v>
      </c>
      <c r="O22" s="9">
        <v>37.438185652034669</v>
      </c>
      <c r="P22" s="9">
        <v>2.6389552289653317</v>
      </c>
      <c r="Q22" s="9">
        <v>37.438185652034669</v>
      </c>
      <c r="R22" s="9">
        <v>20.062245943160846</v>
      </c>
      <c r="S22" s="9">
        <v>30.665244885696122</v>
      </c>
      <c r="T22" s="9">
        <v>45.658093608628221</v>
      </c>
      <c r="U22" s="9">
        <v>24.211944557978391</v>
      </c>
      <c r="V22" s="9">
        <v>47.321661102761425</v>
      </c>
      <c r="W22" s="9">
        <v>9950.6233889378582</v>
      </c>
      <c r="X22" s="9">
        <v>9963.362458971993</v>
      </c>
      <c r="Y22" s="9">
        <v>12.739070034134791</v>
      </c>
      <c r="Z22" s="9">
        <v>9950.6233889378582</v>
      </c>
      <c r="AA22" s="9">
        <v>9963.362458971993</v>
      </c>
      <c r="AB22" s="9">
        <v>12.739070034134791</v>
      </c>
      <c r="AC22" s="9">
        <v>115.28185190987669</v>
      </c>
      <c r="AD22" s="9">
        <v>151.71031479834261</v>
      </c>
      <c r="AE22" s="9">
        <v>99.358821314031061</v>
      </c>
      <c r="AF22" s="9">
        <v>138.40377441450397</v>
      </c>
      <c r="AG22" s="9">
        <v>1539.0833398591133</v>
      </c>
      <c r="AH22" s="9">
        <v>15700.109510857503</v>
      </c>
      <c r="AI22" s="9">
        <v>2440.8001666769828</v>
      </c>
      <c r="AJ22" s="9">
        <v>20184.747779830352</v>
      </c>
      <c r="AK22" s="9">
        <v>55156872.991566829</v>
      </c>
      <c r="AL22" s="9">
        <v>55144045.78801734</v>
      </c>
    </row>
    <row r="23" spans="1:38" x14ac:dyDescent="0.25">
      <c r="A23" s="9">
        <v>21</v>
      </c>
      <c r="B23" s="9">
        <v>46</v>
      </c>
      <c r="C23" s="9">
        <v>2.5083333333333332E-4</v>
      </c>
      <c r="D23" s="9">
        <v>20.941934038318021</v>
      </c>
      <c r="E23" s="9">
        <v>27.859710710999121</v>
      </c>
      <c r="F23" s="9">
        <v>18.249689087242125</v>
      </c>
      <c r="G23" s="9">
        <v>27.10423843249005</v>
      </c>
      <c r="H23" s="9">
        <v>94.774999809303367</v>
      </c>
      <c r="I23" s="9">
        <v>4946.0513254138996</v>
      </c>
      <c r="J23" s="9">
        <v>3501.0167795660864</v>
      </c>
      <c r="K23" s="9">
        <v>1433.5639738056118</v>
      </c>
      <c r="L23" s="9">
        <v>4708.7712923600629</v>
      </c>
      <c r="M23" s="9">
        <v>3.4692039052423849</v>
      </c>
      <c r="N23" s="9">
        <v>73.860251940395457</v>
      </c>
      <c r="O23" s="9">
        <v>37.422007661606706</v>
      </c>
      <c r="P23" s="9">
        <v>2.6353886533932909</v>
      </c>
      <c r="Q23" s="9">
        <v>37.422007661606706</v>
      </c>
      <c r="R23" s="9">
        <v>22.377601977920584</v>
      </c>
      <c r="S23" s="9">
        <v>31.684097788754997</v>
      </c>
      <c r="T23" s="9">
        <v>48.075169613704873</v>
      </c>
      <c r="U23" s="9">
        <v>26.421623338674991</v>
      </c>
      <c r="V23" s="9">
        <v>49.812051423341671</v>
      </c>
      <c r="W23" s="9">
        <v>9950.6233889378582</v>
      </c>
      <c r="X23" s="9">
        <v>9963.362458971993</v>
      </c>
      <c r="Y23" s="9">
        <v>12.739070034134791</v>
      </c>
      <c r="Z23" s="9">
        <v>9950.6233889378582</v>
      </c>
      <c r="AA23" s="9">
        <v>9963.362458971993</v>
      </c>
      <c r="AB23" s="9">
        <v>12.739070034134791</v>
      </c>
      <c r="AC23" s="9">
        <v>114.0637340620388</v>
      </c>
      <c r="AD23" s="9">
        <v>151.7425576725752</v>
      </c>
      <c r="AE23" s="9">
        <v>99.399973228512096</v>
      </c>
      <c r="AF23" s="9">
        <v>137.93798675601394</v>
      </c>
      <c r="AG23" s="9">
        <v>1536.3027469088076</v>
      </c>
      <c r="AH23" s="9">
        <v>16327.884748008664</v>
      </c>
      <c r="AI23" s="9">
        <v>2521.8957634959538</v>
      </c>
      <c r="AJ23" s="9">
        <v>20889.227510132565</v>
      </c>
      <c r="AK23" s="9">
        <v>55177762.219076961</v>
      </c>
      <c r="AL23" s="9">
        <v>55163188.372030638</v>
      </c>
    </row>
    <row r="24" spans="1:38" x14ac:dyDescent="0.25">
      <c r="A24" s="9">
        <v>22</v>
      </c>
      <c r="B24" s="9">
        <v>46</v>
      </c>
      <c r="C24" s="9">
        <v>2.5083333333333332E-4</v>
      </c>
      <c r="D24" s="9">
        <v>20.720652516571985</v>
      </c>
      <c r="E24" s="9">
        <v>27.863278282344496</v>
      </c>
      <c r="F24" s="9">
        <v>18.257206223684069</v>
      </c>
      <c r="G24" s="9">
        <v>27.013751713665926</v>
      </c>
      <c r="H24" s="9">
        <v>94.603340720119121</v>
      </c>
      <c r="I24" s="9">
        <v>4946.3283915906386</v>
      </c>
      <c r="J24" s="9">
        <v>3500.1386078572118</v>
      </c>
      <c r="K24" s="9">
        <v>1433.2043881755155</v>
      </c>
      <c r="L24" s="9">
        <v>4702.4729265170035</v>
      </c>
      <c r="M24" s="9">
        <v>3.4644161632805552</v>
      </c>
      <c r="N24" s="9">
        <v>77.324668103676018</v>
      </c>
      <c r="O24" s="9">
        <v>37.404972381550998</v>
      </c>
      <c r="P24" s="9">
        <v>2.6318255044490066</v>
      </c>
      <c r="Q24" s="9">
        <v>37.404972381550998</v>
      </c>
      <c r="R24" s="9">
        <v>24.652460342198793</v>
      </c>
      <c r="S24" s="9">
        <v>32.667112727738612</v>
      </c>
      <c r="T24" s="9">
        <v>50.502863623733241</v>
      </c>
      <c r="U24" s="9">
        <v>28.700039732423434</v>
      </c>
      <c r="V24" s="9">
        <v>52.301262809922306</v>
      </c>
      <c r="W24" s="9">
        <v>9950.6233889378582</v>
      </c>
      <c r="X24" s="9">
        <v>9963.362458971993</v>
      </c>
      <c r="Y24" s="9">
        <v>12.739070034134791</v>
      </c>
      <c r="Z24" s="9">
        <v>9950.6233889378582</v>
      </c>
      <c r="AA24" s="9">
        <v>9963.362458971993</v>
      </c>
      <c r="AB24" s="9">
        <v>12.739070034134791</v>
      </c>
      <c r="AC24" s="9">
        <v>112.85848737359541</v>
      </c>
      <c r="AD24" s="9">
        <v>151.761989044503</v>
      </c>
      <c r="AE24" s="9">
        <v>99.440916564999227</v>
      </c>
      <c r="AF24" s="9">
        <v>137.47748476279816</v>
      </c>
      <c r="AG24" s="9">
        <v>1533.520153073131</v>
      </c>
      <c r="AH24" s="9">
        <v>16944.368289001723</v>
      </c>
      <c r="AI24" s="9">
        <v>2600.1388375643546</v>
      </c>
      <c r="AJ24" s="9">
        <v>21579.566157385103</v>
      </c>
      <c r="AK24" s="9">
        <v>55199341.785234347</v>
      </c>
      <c r="AL24" s="9">
        <v>55182881.517558239</v>
      </c>
    </row>
    <row r="25" spans="1:38" x14ac:dyDescent="0.25">
      <c r="A25" s="9">
        <v>23</v>
      </c>
      <c r="B25" s="9">
        <v>46</v>
      </c>
      <c r="C25" s="9">
        <v>2.5083333333333332E-4</v>
      </c>
      <c r="D25" s="9">
        <v>20.501709150976026</v>
      </c>
      <c r="E25" s="9">
        <v>27.864535995656002</v>
      </c>
      <c r="F25" s="9">
        <v>18.264668132987669</v>
      </c>
      <c r="G25" s="9">
        <v>26.924292322762341</v>
      </c>
      <c r="H25" s="9">
        <v>94.43156939704609</v>
      </c>
      <c r="I25" s="9">
        <v>4946.6045327899319</v>
      </c>
      <c r="J25" s="9">
        <v>3499.2606564230741</v>
      </c>
      <c r="K25" s="9">
        <v>1432.8448927414815</v>
      </c>
      <c r="L25" s="9">
        <v>4696.1829852522105</v>
      </c>
      <c r="M25" s="9">
        <v>3.4596336574343964</v>
      </c>
      <c r="N25" s="9">
        <v>80.784301761110413</v>
      </c>
      <c r="O25" s="9">
        <v>37.387101058297148</v>
      </c>
      <c r="P25" s="9">
        <v>2.6282658097028504</v>
      </c>
      <c r="Q25" s="9">
        <v>37.387101058297148</v>
      </c>
      <c r="R25" s="9">
        <v>26.887470508369709</v>
      </c>
      <c r="S25" s="9">
        <v>33.615685178476411</v>
      </c>
      <c r="T25" s="9">
        <v>52.940937034349197</v>
      </c>
      <c r="U25" s="9">
        <v>31.04515552203226</v>
      </c>
      <c r="V25" s="9">
        <v>54.789278316534592</v>
      </c>
      <c r="W25" s="9">
        <v>9950.6233889378582</v>
      </c>
      <c r="X25" s="9">
        <v>9963.362458971993</v>
      </c>
      <c r="Y25" s="9">
        <v>12.739070034134791</v>
      </c>
      <c r="Z25" s="9">
        <v>9950.6233889378582</v>
      </c>
      <c r="AA25" s="9">
        <v>9963.362458971993</v>
      </c>
      <c r="AB25" s="9">
        <v>12.739070034134791</v>
      </c>
      <c r="AC25" s="9">
        <v>111.66597584231609</v>
      </c>
      <c r="AD25" s="9">
        <v>151.76883938967302</v>
      </c>
      <c r="AE25" s="9">
        <v>99.481559097672829</v>
      </c>
      <c r="AF25" s="9">
        <v>137.02221101259133</v>
      </c>
      <c r="AG25" s="9">
        <v>1530.7357399261173</v>
      </c>
      <c r="AH25" s="9">
        <v>17549.743269134608</v>
      </c>
      <c r="AI25" s="9">
        <v>2675.6404617808298</v>
      </c>
      <c r="AJ25" s="9">
        <v>22256.058056183807</v>
      </c>
      <c r="AK25" s="9">
        <v>55221597.84329053</v>
      </c>
      <c r="AL25" s="9">
        <v>55203107.742166013</v>
      </c>
    </row>
    <row r="26" spans="1:38" x14ac:dyDescent="0.25">
      <c r="A26" s="9">
        <v>24</v>
      </c>
      <c r="B26" s="9">
        <v>47</v>
      </c>
      <c r="C26" s="9">
        <v>2.5083333333333332E-4</v>
      </c>
      <c r="D26" s="9">
        <v>20.285079235562208</v>
      </c>
      <c r="E26" s="9">
        <v>27.863525585628683</v>
      </c>
      <c r="F26" s="9">
        <v>18.272058378380589</v>
      </c>
      <c r="G26" s="9">
        <v>26.835848915293028</v>
      </c>
      <c r="H26" s="9">
        <v>94.25969687306916</v>
      </c>
      <c r="I26" s="9">
        <v>4946.8797595133774</v>
      </c>
      <c r="J26" s="9">
        <v>3498.3829252084215</v>
      </c>
      <c r="K26" s="9">
        <v>1432.4854874808855</v>
      </c>
      <c r="L26" s="9">
        <v>4689.9014572971237</v>
      </c>
      <c r="M26" s="9">
        <v>3.4548564172255847</v>
      </c>
      <c r="N26" s="9">
        <v>84.239158178335998</v>
      </c>
      <c r="O26" s="9">
        <v>37.369362817801083</v>
      </c>
      <c r="P26" s="9">
        <v>2.6237612361989173</v>
      </c>
      <c r="Q26" s="9">
        <v>37.369362817801083</v>
      </c>
      <c r="R26" s="9">
        <v>29.082323255478983</v>
      </c>
      <c r="S26" s="9">
        <v>34.531150921252383</v>
      </c>
      <c r="T26" s="9">
        <v>55.389155174241246</v>
      </c>
      <c r="U26" s="9">
        <v>33.455002518775245</v>
      </c>
      <c r="V26" s="9">
        <v>57.27608151271339</v>
      </c>
      <c r="W26" s="9">
        <v>19367.285812159316</v>
      </c>
      <c r="X26" s="9">
        <v>19400.761426561417</v>
      </c>
      <c r="Y26" s="9">
        <v>33.475614402101023</v>
      </c>
      <c r="Z26" s="9">
        <v>19838.118933320391</v>
      </c>
      <c r="AA26" s="9">
        <v>19872.631374940891</v>
      </c>
      <c r="AB26" s="9">
        <v>34.512441620499331</v>
      </c>
      <c r="AC26" s="9">
        <v>110.48606490302882</v>
      </c>
      <c r="AD26" s="9">
        <v>151.76333602305755</v>
      </c>
      <c r="AE26" s="9">
        <v>99.52181130091293</v>
      </c>
      <c r="AF26" s="9">
        <v>136.57210777141208</v>
      </c>
      <c r="AG26" s="9">
        <v>1527.9496863124511</v>
      </c>
      <c r="AH26" s="9">
        <v>18144.189871068636</v>
      </c>
      <c r="AI26" s="9">
        <v>2748.5069575770835</v>
      </c>
      <c r="AJ26" s="9">
        <v>22918.989834956581</v>
      </c>
      <c r="AK26" s="9">
        <v>55244516.833125487</v>
      </c>
      <c r="AL26" s="9">
        <v>55223850.010644346</v>
      </c>
    </row>
    <row r="27" spans="1:38" x14ac:dyDescent="0.25">
      <c r="A27" s="9">
        <v>25</v>
      </c>
      <c r="B27" s="9">
        <v>47</v>
      </c>
      <c r="C27" s="9">
        <v>2.7500000000000002E-4</v>
      </c>
      <c r="D27" s="9">
        <v>20.070248102668323</v>
      </c>
      <c r="E27" s="9">
        <v>27.859614845292679</v>
      </c>
      <c r="F27" s="9">
        <v>18.278919434441853</v>
      </c>
      <c r="G27" s="9">
        <v>26.747761558399958</v>
      </c>
      <c r="H27" s="9">
        <v>94.085456070295493</v>
      </c>
      <c r="I27" s="9">
        <v>4947.1540821466078</v>
      </c>
      <c r="J27" s="9">
        <v>3497.4208699039891</v>
      </c>
      <c r="K27" s="9">
        <v>1432.0915539718283</v>
      </c>
      <c r="L27" s="9">
        <v>4683.514992113036</v>
      </c>
      <c r="M27" s="9">
        <v>3.4500844716286463</v>
      </c>
      <c r="N27" s="9">
        <v>87.68924264996464</v>
      </c>
      <c r="O27" s="9">
        <v>37.349903687362058</v>
      </c>
      <c r="P27" s="9">
        <v>2.6202098146379393</v>
      </c>
      <c r="Q27" s="9">
        <v>37.349903687362058</v>
      </c>
      <c r="R27" s="9">
        <v>31.23790950314859</v>
      </c>
      <c r="S27" s="9">
        <v>35.413954196423056</v>
      </c>
      <c r="T27" s="9">
        <v>57.847287241683773</v>
      </c>
      <c r="U27" s="9">
        <v>35.927686148966458</v>
      </c>
      <c r="V27" s="9">
        <v>60.001130464604842</v>
      </c>
      <c r="W27" s="9">
        <v>19367.285812159316</v>
      </c>
      <c r="X27" s="9">
        <v>19400.761426561417</v>
      </c>
      <c r="Y27" s="9">
        <v>33.475614402101023</v>
      </c>
      <c r="Z27" s="9">
        <v>19838.118933320391</v>
      </c>
      <c r="AA27" s="9">
        <v>19872.631374940891</v>
      </c>
      <c r="AB27" s="9">
        <v>34.512441620499331</v>
      </c>
      <c r="AC27" s="9">
        <v>109.31595133253346</v>
      </c>
      <c r="AD27" s="9">
        <v>151.74203552402744</v>
      </c>
      <c r="AE27" s="9">
        <v>99.559181186259949</v>
      </c>
      <c r="AF27" s="9">
        <v>136.1238165309571</v>
      </c>
      <c r="AG27" s="9">
        <v>1525.1252428994901</v>
      </c>
      <c r="AH27" s="9">
        <v>18727.445139580996</v>
      </c>
      <c r="AI27" s="9">
        <v>2818.773684264293</v>
      </c>
      <c r="AJ27" s="9">
        <v>23568.085051318558</v>
      </c>
      <c r="AK27" s="9">
        <v>55268084.918176807</v>
      </c>
      <c r="AL27" s="9">
        <v>55245091.221749395</v>
      </c>
    </row>
    <row r="28" spans="1:38" x14ac:dyDescent="0.25">
      <c r="A28" s="9">
        <v>26</v>
      </c>
      <c r="B28" s="9">
        <v>47</v>
      </c>
      <c r="C28" s="9">
        <v>2.7500000000000002E-4</v>
      </c>
      <c r="D28" s="9">
        <v>19.857692160081783</v>
      </c>
      <c r="E28" s="9">
        <v>27.853517911427897</v>
      </c>
      <c r="F28" s="9">
        <v>18.285677059545492</v>
      </c>
      <c r="G28" s="9">
        <v>26.660671577512943</v>
      </c>
      <c r="H28" s="9">
        <v>93.911143994796831</v>
      </c>
      <c r="I28" s="9">
        <v>4947.4275043292591</v>
      </c>
      <c r="J28" s="9">
        <v>3496.4590791647656</v>
      </c>
      <c r="K28" s="9">
        <v>1431.697728794486</v>
      </c>
      <c r="L28" s="9">
        <v>4677.1372236868483</v>
      </c>
      <c r="M28" s="9">
        <v>3.4452344720301125</v>
      </c>
      <c r="N28" s="9">
        <v>91.134477121994749</v>
      </c>
      <c r="O28" s="9">
        <v>37.329643669395182</v>
      </c>
      <c r="P28" s="9">
        <v>2.6166029716048205</v>
      </c>
      <c r="Q28" s="9">
        <v>37.329643669395182</v>
      </c>
      <c r="R28" s="9">
        <v>33.355450937939892</v>
      </c>
      <c r="S28" s="9">
        <v>36.266111024639201</v>
      </c>
      <c r="T28" s="9">
        <v>60.31504679976684</v>
      </c>
      <c r="U28" s="9">
        <v>38.46130997945896</v>
      </c>
      <c r="V28" s="9">
        <v>62.724750040036234</v>
      </c>
      <c r="W28" s="9">
        <v>19367.285812159316</v>
      </c>
      <c r="X28" s="9">
        <v>19400.761426561417</v>
      </c>
      <c r="Y28" s="9">
        <v>33.475614402101023</v>
      </c>
      <c r="Z28" s="9">
        <v>19838.118933320391</v>
      </c>
      <c r="AA28" s="9">
        <v>19872.631374940891</v>
      </c>
      <c r="AB28" s="9">
        <v>34.512441620499331</v>
      </c>
      <c r="AC28" s="9">
        <v>108.15822996524544</v>
      </c>
      <c r="AD28" s="9">
        <v>151.70882755757728</v>
      </c>
      <c r="AE28" s="9">
        <v>99.595987717657778</v>
      </c>
      <c r="AF28" s="9">
        <v>135.68060110322628</v>
      </c>
      <c r="AG28" s="9">
        <v>1522.2996441556568</v>
      </c>
      <c r="AH28" s="9">
        <v>19300.093848568795</v>
      </c>
      <c r="AI28" s="9">
        <v>2886.6011070061572</v>
      </c>
      <c r="AJ28" s="9">
        <v>24204.138246074315</v>
      </c>
      <c r="AK28" s="9">
        <v>55292289.056422882</v>
      </c>
      <c r="AL28" s="9">
        <v>55266815.172140732</v>
      </c>
    </row>
    <row r="29" spans="1:38" x14ac:dyDescent="0.25">
      <c r="A29" s="9">
        <v>27</v>
      </c>
      <c r="B29" s="9">
        <v>47</v>
      </c>
      <c r="C29" s="9">
        <v>2.7500000000000002E-4</v>
      </c>
      <c r="D29" s="9">
        <v>19.647387312175177</v>
      </c>
      <c r="E29" s="9">
        <v>27.845274978953814</v>
      </c>
      <c r="F29" s="9">
        <v>18.292316254348194</v>
      </c>
      <c r="G29" s="9">
        <v>26.574567406951932</v>
      </c>
      <c r="H29" s="9">
        <v>93.736771181168393</v>
      </c>
      <c r="I29" s="9">
        <v>4947.7000362567533</v>
      </c>
      <c r="J29" s="9">
        <v>3495.4975529179951</v>
      </c>
      <c r="K29" s="9">
        <v>1431.3040119190675</v>
      </c>
      <c r="L29" s="9">
        <v>4670.7681401757654</v>
      </c>
      <c r="M29" s="9">
        <v>3.4403900557551634</v>
      </c>
      <c r="N29" s="9">
        <v>94.574867177749908</v>
      </c>
      <c r="O29" s="9">
        <v>37.3086028292322</v>
      </c>
      <c r="P29" s="9">
        <v>2.6129998487677968</v>
      </c>
      <c r="Q29" s="9">
        <v>37.3086028292322</v>
      </c>
      <c r="R29" s="9">
        <v>35.435559089697094</v>
      </c>
      <c r="S29" s="9">
        <v>37.088795760914003</v>
      </c>
      <c r="T29" s="9">
        <v>62.792210096896106</v>
      </c>
      <c r="U29" s="9">
        <v>41.054096301587954</v>
      </c>
      <c r="V29" s="9">
        <v>65.446923873531134</v>
      </c>
      <c r="W29" s="9">
        <v>19367.285812159316</v>
      </c>
      <c r="X29" s="9">
        <v>19400.761426561417</v>
      </c>
      <c r="Y29" s="9">
        <v>33.475614402101023</v>
      </c>
      <c r="Z29" s="9">
        <v>19838.118933320391</v>
      </c>
      <c r="AA29" s="9">
        <v>19872.631374940891</v>
      </c>
      <c r="AB29" s="9">
        <v>34.512441620499331</v>
      </c>
      <c r="AC29" s="9">
        <v>107.01276956031413</v>
      </c>
      <c r="AD29" s="9">
        <v>151.66393105203511</v>
      </c>
      <c r="AE29" s="9">
        <v>99.632149198683152</v>
      </c>
      <c r="AF29" s="9">
        <v>135.24240262854619</v>
      </c>
      <c r="AG29" s="9">
        <v>1519.4730608467398</v>
      </c>
      <c r="AH29" s="9">
        <v>19862.308450884186</v>
      </c>
      <c r="AI29" s="9">
        <v>2952.0826985899498</v>
      </c>
      <c r="AJ29" s="9">
        <v>24827.415462760455</v>
      </c>
      <c r="AK29" s="9">
        <v>55317116.471885644</v>
      </c>
      <c r="AL29" s="9">
        <v>55289006.070717394</v>
      </c>
    </row>
    <row r="30" spans="1:38" x14ac:dyDescent="0.25">
      <c r="A30" s="9">
        <v>28</v>
      </c>
      <c r="B30" s="9">
        <v>47</v>
      </c>
      <c r="C30" s="9">
        <v>2.7500000000000002E-4</v>
      </c>
      <c r="D30" s="9">
        <v>19.439309718508209</v>
      </c>
      <c r="E30" s="9">
        <v>27.834925686727125</v>
      </c>
      <c r="F30" s="9">
        <v>18.298822479016486</v>
      </c>
      <c r="G30" s="9">
        <v>26.489437443507995</v>
      </c>
      <c r="H30" s="9">
        <v>93.562347995646135</v>
      </c>
      <c r="I30" s="9">
        <v>4947.9716880062861</v>
      </c>
      <c r="J30" s="9">
        <v>3494.5362910909425</v>
      </c>
      <c r="K30" s="9">
        <v>1430.9104033157898</v>
      </c>
      <c r="L30" s="9">
        <v>4664.4077297531194</v>
      </c>
      <c r="M30" s="9">
        <v>3.4355512497446301</v>
      </c>
      <c r="N30" s="9">
        <v>98.010418427494542</v>
      </c>
      <c r="O30" s="9">
        <v>37.28680077755547</v>
      </c>
      <c r="P30" s="9">
        <v>2.6094004714445278</v>
      </c>
      <c r="Q30" s="9">
        <v>37.28680077755547</v>
      </c>
      <c r="R30" s="9">
        <v>37.478835743689373</v>
      </c>
      <c r="S30" s="9">
        <v>37.883132888693495</v>
      </c>
      <c r="T30" s="9">
        <v>65.278557084587305</v>
      </c>
      <c r="U30" s="9">
        <v>43.704327014982695</v>
      </c>
      <c r="V30" s="9">
        <v>68.167636092983344</v>
      </c>
      <c r="W30" s="9">
        <v>19367.285812159316</v>
      </c>
      <c r="X30" s="9">
        <v>19400.761426561417</v>
      </c>
      <c r="Y30" s="9">
        <v>33.475614402101023</v>
      </c>
      <c r="Z30" s="9">
        <v>19838.118933320391</v>
      </c>
      <c r="AA30" s="9">
        <v>19872.631374940891</v>
      </c>
      <c r="AB30" s="9">
        <v>34.512441620499331</v>
      </c>
      <c r="AC30" s="9">
        <v>105.87944026680803</v>
      </c>
      <c r="AD30" s="9">
        <v>151.60756190704041</v>
      </c>
      <c r="AE30" s="9">
        <v>99.667586435709794</v>
      </c>
      <c r="AF30" s="9">
        <v>134.80916205625277</v>
      </c>
      <c r="AG30" s="9">
        <v>1516.645661009424</v>
      </c>
      <c r="AH30" s="9">
        <v>20414.258614549097</v>
      </c>
      <c r="AI30" s="9">
        <v>3015.3079622755586</v>
      </c>
      <c r="AJ30" s="9">
        <v>25438.17598849989</v>
      </c>
      <c r="AK30" s="9">
        <v>55342554.647874147</v>
      </c>
      <c r="AL30" s="9">
        <v>55311648.527287006</v>
      </c>
    </row>
    <row r="31" spans="1:38" x14ac:dyDescent="0.25">
      <c r="A31" s="9">
        <v>29</v>
      </c>
      <c r="B31" s="9">
        <v>47</v>
      </c>
      <c r="C31" s="9">
        <v>2.7500000000000002E-4</v>
      </c>
      <c r="D31" s="9">
        <v>19.233435791125125</v>
      </c>
      <c r="E31" s="9">
        <v>27.822509124428176</v>
      </c>
      <c r="F31" s="9">
        <v>18.305181644130176</v>
      </c>
      <c r="G31" s="9">
        <v>26.405270051706356</v>
      </c>
      <c r="H31" s="9">
        <v>93.387884636524248</v>
      </c>
      <c r="I31" s="9">
        <v>4948.2424695364407</v>
      </c>
      <c r="J31" s="9">
        <v>3493.5752936108925</v>
      </c>
      <c r="K31" s="9">
        <v>1430.5169029548781</v>
      </c>
      <c r="L31" s="9">
        <v>4658.0559806083465</v>
      </c>
      <c r="M31" s="9">
        <v>3.4307180803929338</v>
      </c>
      <c r="N31" s="9">
        <v>101.44113650788748</v>
      </c>
      <c r="O31" s="9">
        <v>37.264256682453436</v>
      </c>
      <c r="P31" s="9">
        <v>2.6058048645465655</v>
      </c>
      <c r="Q31" s="9">
        <v>37.264256682453436</v>
      </c>
      <c r="R31" s="9">
        <v>39.485873095885545</v>
      </c>
      <c r="S31" s="9">
        <v>38.650199235152797</v>
      </c>
      <c r="T31" s="9">
        <v>67.773871357596036</v>
      </c>
      <c r="U31" s="9">
        <v>46.41034126258468</v>
      </c>
      <c r="V31" s="9">
        <v>70.886871303128984</v>
      </c>
      <c r="W31" s="9">
        <v>19367.285812159316</v>
      </c>
      <c r="X31" s="9">
        <v>19400.761426561417</v>
      </c>
      <c r="Y31" s="9">
        <v>33.475614402101023</v>
      </c>
      <c r="Z31" s="9">
        <v>19838.118933320391</v>
      </c>
      <c r="AA31" s="9">
        <v>19872.631374940891</v>
      </c>
      <c r="AB31" s="9">
        <v>34.512441620499331</v>
      </c>
      <c r="AC31" s="9">
        <v>104.75811360899483</v>
      </c>
      <c r="AD31" s="9">
        <v>151.53993303105213</v>
      </c>
      <c r="AE31" s="9">
        <v>99.702222688362355</v>
      </c>
      <c r="AF31" s="9">
        <v>134.38082017147559</v>
      </c>
      <c r="AG31" s="9">
        <v>1513.817609958058</v>
      </c>
      <c r="AH31" s="9">
        <v>20956.111268443605</v>
      </c>
      <c r="AI31" s="9">
        <v>3076.3626081219868</v>
      </c>
      <c r="AJ31" s="9">
        <v>26036.672576023535</v>
      </c>
      <c r="AK31" s="9">
        <v>55368591.320450172</v>
      </c>
      <c r="AL31" s="9">
        <v>55334727.541606627</v>
      </c>
    </row>
    <row r="32" spans="1:38" x14ac:dyDescent="0.25">
      <c r="A32" s="9">
        <v>30</v>
      </c>
      <c r="B32" s="9">
        <v>47</v>
      </c>
      <c r="C32" s="9">
        <v>2.7500000000000002E-4</v>
      </c>
      <c r="D32" s="9">
        <v>19.029742191880739</v>
      </c>
      <c r="E32" s="9">
        <v>27.808063839366845</v>
      </c>
      <c r="F32" s="9">
        <v>18.31138010173548</v>
      </c>
      <c r="G32" s="9">
        <v>26.322053568917781</v>
      </c>
      <c r="H32" s="9">
        <v>93.213391134624572</v>
      </c>
      <c r="I32" s="9">
        <v>4948.5123906868612</v>
      </c>
      <c r="J32" s="9">
        <v>3492.6145604051494</v>
      </c>
      <c r="K32" s="9">
        <v>1430.1235108065655</v>
      </c>
      <c r="L32" s="9">
        <v>4651.7128809469668</v>
      </c>
      <c r="M32" s="9">
        <v>3.4258905735494558</v>
      </c>
      <c r="N32" s="9">
        <v>104.86702708143693</v>
      </c>
      <c r="O32" s="9">
        <v>37.240989276421601</v>
      </c>
      <c r="P32" s="9">
        <v>2.6022130525784006</v>
      </c>
      <c r="Q32" s="9">
        <v>37.240989276421601</v>
      </c>
      <c r="R32" s="9">
        <v>41.45725390574713</v>
      </c>
      <c r="S32" s="9">
        <v>39.391026086408978</v>
      </c>
      <c r="T32" s="9">
        <v>70.277940095027134</v>
      </c>
      <c r="U32" s="9">
        <v>49.170533167849129</v>
      </c>
      <c r="V32" s="9">
        <v>73.604614569673743</v>
      </c>
      <c r="W32" s="9">
        <v>19367.285812159316</v>
      </c>
      <c r="X32" s="9">
        <v>19400.761426561417</v>
      </c>
      <c r="Y32" s="9">
        <v>33.475614402101023</v>
      </c>
      <c r="Z32" s="9">
        <v>19838.118933320391</v>
      </c>
      <c r="AA32" s="9">
        <v>19872.631374940891</v>
      </c>
      <c r="AB32" s="9">
        <v>34.512441620499331</v>
      </c>
      <c r="AC32" s="9">
        <v>103.64866247177709</v>
      </c>
      <c r="AD32" s="9">
        <v>151.46125437841806</v>
      </c>
      <c r="AE32" s="9">
        <v>99.735983620785916</v>
      </c>
      <c r="AF32" s="9">
        <v>133.95731762115074</v>
      </c>
      <c r="AG32" s="9">
        <v>1510.9890702922644</v>
      </c>
      <c r="AH32" s="9">
        <v>21488.030645936626</v>
      </c>
      <c r="AI32" s="9">
        <v>3135.3287213477224</v>
      </c>
      <c r="AJ32" s="9">
        <v>26623.151655668746</v>
      </c>
      <c r="AK32" s="9">
        <v>55395214.472105838</v>
      </c>
      <c r="AL32" s="9">
        <v>55358228.492779598</v>
      </c>
    </row>
    <row r="33" spans="1:43" x14ac:dyDescent="0.25">
      <c r="A33" s="9">
        <v>31</v>
      </c>
      <c r="B33" s="9">
        <v>47</v>
      </c>
      <c r="C33" s="9">
        <v>2.7500000000000002E-4</v>
      </c>
      <c r="D33" s="9">
        <v>18.828205829794797</v>
      </c>
      <c r="E33" s="9">
        <v>27.791627843208769</v>
      </c>
      <c r="F33" s="9">
        <v>18.317404636545596</v>
      </c>
      <c r="G33" s="9">
        <v>26.23977631032151</v>
      </c>
      <c r="H33" s="9">
        <v>93.038877353815977</v>
      </c>
      <c r="I33" s="9">
        <v>4948.7814611779731</v>
      </c>
      <c r="J33" s="9">
        <v>3491.6540914010379</v>
      </c>
      <c r="K33" s="9">
        <v>1429.7302268410938</v>
      </c>
      <c r="L33" s="9">
        <v>4645.3784189905618</v>
      </c>
      <c r="M33" s="9">
        <v>3.4210687545200744</v>
      </c>
      <c r="N33" s="9">
        <v>108.28809583595701</v>
      </c>
      <c r="O33" s="9">
        <v>37.217016867363299</v>
      </c>
      <c r="P33" s="9">
        <v>2.5986250596367033</v>
      </c>
      <c r="Q33" s="9">
        <v>37.217016867363299</v>
      </c>
      <c r="R33" s="9">
        <v>43.393551646579581</v>
      </c>
      <c r="S33" s="9">
        <v>40.106601207172375</v>
      </c>
      <c r="T33" s="9">
        <v>72.790554002379608</v>
      </c>
      <c r="U33" s="9">
        <v>51.983349669483104</v>
      </c>
      <c r="V33" s="9">
        <v>76.32085140404628</v>
      </c>
      <c r="W33" s="9">
        <v>19367.285812159316</v>
      </c>
      <c r="X33" s="9">
        <v>19400.761426561417</v>
      </c>
      <c r="Y33" s="9">
        <v>33.475614402101023</v>
      </c>
      <c r="Z33" s="9">
        <v>19838.118933320391</v>
      </c>
      <c r="AA33" s="9">
        <v>19872.631374940891</v>
      </c>
      <c r="AB33" s="9">
        <v>34.512441620499331</v>
      </c>
      <c r="AC33" s="9">
        <v>102.55096108628233</v>
      </c>
      <c r="AD33" s="9">
        <v>151.37173298601041</v>
      </c>
      <c r="AE33" s="9">
        <v>99.768797253718347</v>
      </c>
      <c r="AF33" s="9">
        <v>133.53859493927789</v>
      </c>
      <c r="AG33" s="9">
        <v>1508.1602019053571</v>
      </c>
      <c r="AH33" s="9">
        <v>22010.178328942013</v>
      </c>
      <c r="AI33" s="9">
        <v>3192.2849230848851</v>
      </c>
      <c r="AJ33" s="9">
        <v>27197.853540197542</v>
      </c>
      <c r="AK33" s="9">
        <v>55422412.325646035</v>
      </c>
      <c r="AL33" s="9">
        <v>55382137.128995582</v>
      </c>
    </row>
    <row r="34" spans="1:43" x14ac:dyDescent="0.25">
      <c r="A34" s="9">
        <v>32</v>
      </c>
      <c r="B34" s="9">
        <v>47</v>
      </c>
      <c r="C34" s="9">
        <v>2.7500000000000002E-4</v>
      </c>
      <c r="D34" s="9">
        <v>18.628803858434345</v>
      </c>
      <c r="E34" s="9">
        <v>27.773238618622813</v>
      </c>
      <c r="F34" s="9">
        <v>18.323242457286572</v>
      </c>
      <c r="G34" s="9">
        <v>26.158426573722846</v>
      </c>
      <c r="H34" s="9">
        <v>92.864352991581995</v>
      </c>
      <c r="I34" s="9">
        <v>4949.0496906107564</v>
      </c>
      <c r="J34" s="9">
        <v>3490.6938865259026</v>
      </c>
      <c r="K34" s="9">
        <v>1429.3370510287125</v>
      </c>
      <c r="L34" s="9">
        <v>4639.0525829767512</v>
      </c>
      <c r="M34" s="9">
        <v>3.4162526480688711</v>
      </c>
      <c r="N34" s="9">
        <v>111.70434848402589</v>
      </c>
      <c r="O34" s="9">
        <v>37.192357349590253</v>
      </c>
      <c r="P34" s="9">
        <v>2.5950409094097475</v>
      </c>
      <c r="Q34" s="9">
        <v>37.192357349590253</v>
      </c>
      <c r="R34" s="9">
        <v>45.295330653480903</v>
      </c>
      <c r="S34" s="9">
        <v>40.797870769205126</v>
      </c>
      <c r="T34" s="9">
        <v>75.311507254536295</v>
      </c>
      <c r="U34" s="9">
        <v>54.847288449429307</v>
      </c>
      <c r="V34" s="9">
        <v>79.035567748751333</v>
      </c>
      <c r="W34" s="9">
        <v>19367.285812159316</v>
      </c>
      <c r="X34" s="9">
        <v>19400.761426561417</v>
      </c>
      <c r="Y34" s="9">
        <v>33.475614402101023</v>
      </c>
      <c r="Z34" s="9">
        <v>19838.118933320391</v>
      </c>
      <c r="AA34" s="9">
        <v>19872.631374940891</v>
      </c>
      <c r="AB34" s="9">
        <v>34.512441620499331</v>
      </c>
      <c r="AC34" s="9">
        <v>101.46488501560573</v>
      </c>
      <c r="AD34" s="9">
        <v>151.27157300943225</v>
      </c>
      <c r="AE34" s="9">
        <v>99.800593917354192</v>
      </c>
      <c r="AF34" s="9">
        <v>133.12459257143783</v>
      </c>
      <c r="AG34" s="9">
        <v>1505.3311619935441</v>
      </c>
      <c r="AH34" s="9">
        <v>22522.71329131856</v>
      </c>
      <c r="AI34" s="9">
        <v>3247.3065238748818</v>
      </c>
      <c r="AJ34" s="9">
        <v>27761.012621700815</v>
      </c>
      <c r="AK34" s="9">
        <v>55450173.338267736</v>
      </c>
      <c r="AL34" s="9">
        <v>55406439.557600528</v>
      </c>
    </row>
    <row r="35" spans="1:43" x14ac:dyDescent="0.25">
      <c r="A35" s="9">
        <v>33</v>
      </c>
      <c r="B35" s="9">
        <v>47</v>
      </c>
      <c r="C35" s="9">
        <v>2.7500000000000002E-4</v>
      </c>
      <c r="D35" s="9">
        <v>18.431513673323835</v>
      </c>
      <c r="E35" s="9">
        <v>27.752933125850703</v>
      </c>
      <c r="F35" s="9">
        <v>18.328881188186248</v>
      </c>
      <c r="G35" s="9">
        <v>26.07799264422848</v>
      </c>
      <c r="H35" s="9">
        <v>92.689827579635036</v>
      </c>
      <c r="I35" s="9">
        <v>4949.3170884665687</v>
      </c>
      <c r="J35" s="9">
        <v>3489.733945707108</v>
      </c>
      <c r="K35" s="9">
        <v>1428.9439833396796</v>
      </c>
      <c r="L35" s="9">
        <v>4632.7353611591725</v>
      </c>
      <c r="M35" s="9">
        <v>3.4114422784199916</v>
      </c>
      <c r="N35" s="9">
        <v>115.11579076244588</v>
      </c>
      <c r="O35" s="9">
        <v>37.167028209822995</v>
      </c>
      <c r="P35" s="9">
        <v>2.5914606251770089</v>
      </c>
      <c r="Q35" s="9">
        <v>37.167028209822995</v>
      </c>
      <c r="R35" s="9">
        <v>47.163146268926255</v>
      </c>
      <c r="S35" s="9">
        <v>41.465741192733148</v>
      </c>
      <c r="T35" s="9">
        <v>77.840597439684245</v>
      </c>
      <c r="U35" s="9">
        <v>57.76089594993671</v>
      </c>
      <c r="V35" s="9">
        <v>81.748749963297243</v>
      </c>
      <c r="W35" s="9">
        <v>19367.285812159316</v>
      </c>
      <c r="X35" s="9">
        <v>19400.761426561417</v>
      </c>
      <c r="Y35" s="9">
        <v>33.475614402101023</v>
      </c>
      <c r="Z35" s="9">
        <v>19838.118933320391</v>
      </c>
      <c r="AA35" s="9">
        <v>19872.631374940891</v>
      </c>
      <c r="AB35" s="9">
        <v>34.512441620499331</v>
      </c>
      <c r="AC35" s="9">
        <v>100.39031114070382</v>
      </c>
      <c r="AD35" s="9">
        <v>151.16097575880016</v>
      </c>
      <c r="AE35" s="9">
        <v>99.831306204987754</v>
      </c>
      <c r="AF35" s="9">
        <v>132.71525089858611</v>
      </c>
      <c r="AG35" s="9">
        <v>1502.5021050658841</v>
      </c>
      <c r="AH35" s="9">
        <v>23025.791940259292</v>
      </c>
      <c r="AI35" s="9">
        <v>3300.4656702355951</v>
      </c>
      <c r="AJ35" s="9">
        <v>28312.85755956385</v>
      </c>
      <c r="AK35" s="9">
        <v>55478486.195827298</v>
      </c>
      <c r="AL35" s="9">
        <v>55431122.235482752</v>
      </c>
    </row>
    <row r="36" spans="1:43" x14ac:dyDescent="0.25">
      <c r="A36" s="9">
        <v>34</v>
      </c>
      <c r="B36" s="9">
        <v>47</v>
      </c>
      <c r="C36" s="9">
        <v>2.7500000000000002E-4</v>
      </c>
      <c r="D36" s="9">
        <v>18.236312909382647</v>
      </c>
      <c r="E36" s="9">
        <v>27.730747809199656</v>
      </c>
      <c r="F36" s="9">
        <v>18.334308860604214</v>
      </c>
      <c r="G36" s="9">
        <v>25.998462798782551</v>
      </c>
      <c r="H36" s="9">
        <v>92.515310484575437</v>
      </c>
      <c r="I36" s="9">
        <v>4949.5836641070155</v>
      </c>
      <c r="J36" s="9">
        <v>3488.7742688720386</v>
      </c>
      <c r="K36" s="9">
        <v>1428.5510237442611</v>
      </c>
      <c r="L36" s="9">
        <v>4626.4267418074596</v>
      </c>
      <c r="M36" s="9">
        <v>3.4066376692596672</v>
      </c>
      <c r="N36" s="9">
        <v>118.52242843170555</v>
      </c>
      <c r="O36" s="9">
        <v>37.141046538191056</v>
      </c>
      <c r="P36" s="9">
        <v>2.5878842298089419</v>
      </c>
      <c r="Q36" s="9">
        <v>37.141046538191056</v>
      </c>
      <c r="R36" s="9">
        <v>48.997544986026398</v>
      </c>
      <c r="S36" s="9">
        <v>42.111080904739659</v>
      </c>
      <c r="T36" s="9">
        <v>80.37762550412279</v>
      </c>
      <c r="U36" s="9">
        <v>60.722765475664545</v>
      </c>
      <c r="V36" s="9">
        <v>84.460384810671627</v>
      </c>
      <c r="W36" s="9">
        <v>19367.285812159316</v>
      </c>
      <c r="X36" s="9">
        <v>19400.761426561417</v>
      </c>
      <c r="Y36" s="9">
        <v>33.475614402101023</v>
      </c>
      <c r="Z36" s="9">
        <v>19838.118933320391</v>
      </c>
      <c r="AA36" s="9">
        <v>19872.631374940891</v>
      </c>
      <c r="AB36" s="9">
        <v>34.512441620499331</v>
      </c>
      <c r="AC36" s="9">
        <v>99.327117646437486</v>
      </c>
      <c r="AD36" s="9">
        <v>151.04013973410744</v>
      </c>
      <c r="AE36" s="9">
        <v>99.860868927424278</v>
      </c>
      <c r="AF36" s="9">
        <v>132.31051026013753</v>
      </c>
      <c r="AG36" s="9">
        <v>1499.6731829549678</v>
      </c>
      <c r="AH36" s="9">
        <v>23519.568158410748</v>
      </c>
      <c r="AI36" s="9">
        <v>3351.8314846127532</v>
      </c>
      <c r="AJ36" s="9">
        <v>28853.611462546574</v>
      </c>
      <c r="AK36" s="9">
        <v>55507339.807289846</v>
      </c>
      <c r="AL36" s="9">
        <v>55456171.959764227</v>
      </c>
    </row>
    <row r="37" spans="1:43" x14ac:dyDescent="0.25">
      <c r="A37" s="9">
        <v>35</v>
      </c>
      <c r="B37" s="9">
        <v>47</v>
      </c>
      <c r="C37" s="9">
        <v>2.7500000000000002E-4</v>
      </c>
      <c r="D37" s="9">
        <v>18.04317943838975</v>
      </c>
      <c r="E37" s="9">
        <v>27.706718603458928</v>
      </c>
      <c r="F37" s="9">
        <v>18.339513904800615</v>
      </c>
      <c r="G37" s="9">
        <v>25.919825310566392</v>
      </c>
      <c r="H37" s="9">
        <v>92.340810908593781</v>
      </c>
      <c r="I37" s="9">
        <v>4949.8494267738652</v>
      </c>
      <c r="J37" s="9">
        <v>3487.8148559480987</v>
      </c>
      <c r="K37" s="9">
        <v>1428.1581722127314</v>
      </c>
      <c r="L37" s="9">
        <v>4620.1267132072189</v>
      </c>
      <c r="M37" s="9">
        <v>3.4018388437383806</v>
      </c>
      <c r="N37" s="9">
        <v>121.92426727544392</v>
      </c>
      <c r="O37" s="9">
        <v>37.11442903923308</v>
      </c>
      <c r="P37" s="9">
        <v>2.5843117457669198</v>
      </c>
      <c r="Q37" s="9">
        <v>37.11442903923308</v>
      </c>
      <c r="R37" s="9">
        <v>50.799064589497398</v>
      </c>
      <c r="S37" s="9">
        <v>42.734722017947824</v>
      </c>
      <c r="T37" s="9">
        <v>82.922395697974991</v>
      </c>
      <c r="U37" s="9">
        <v>63.731535377110703</v>
      </c>
      <c r="V37" s="9">
        <v>87.170459444343322</v>
      </c>
      <c r="W37" s="9">
        <v>19367.285812159316</v>
      </c>
      <c r="X37" s="9">
        <v>19400.761426561417</v>
      </c>
      <c r="Y37" s="9">
        <v>33.475614402101023</v>
      </c>
      <c r="Z37" s="9">
        <v>19838.118933320391</v>
      </c>
      <c r="AA37" s="9">
        <v>19872.631374940891</v>
      </c>
      <c r="AB37" s="9">
        <v>34.512441620499331</v>
      </c>
      <c r="AC37" s="9">
        <v>98.275184007762832</v>
      </c>
      <c r="AD37" s="9">
        <v>150.90926066017295</v>
      </c>
      <c r="AE37" s="9">
        <v>99.889219068147341</v>
      </c>
      <c r="AF37" s="9">
        <v>131.91031097635747</v>
      </c>
      <c r="AG37" s="9">
        <v>1496.8445448283053</v>
      </c>
      <c r="AH37" s="9">
        <v>24004.193345367334</v>
      </c>
      <c r="AI37" s="9">
        <v>3401.4701990185572</v>
      </c>
      <c r="AJ37" s="9">
        <v>29383.492063926638</v>
      </c>
      <c r="AK37" s="9">
        <v>55536723.299353771</v>
      </c>
      <c r="AL37" s="9">
        <v>55481575.858785547</v>
      </c>
    </row>
    <row r="38" spans="1:43" s="95" customFormat="1" x14ac:dyDescent="0.25">
      <c r="A38" s="9">
        <v>36</v>
      </c>
      <c r="B38" s="9">
        <v>48</v>
      </c>
      <c r="C38" s="9">
        <v>2.7500000000000002E-4</v>
      </c>
      <c r="D38" s="9">
        <v>17.852091366475225</v>
      </c>
      <c r="E38" s="9">
        <v>27.68088094024111</v>
      </c>
      <c r="F38" s="9">
        <v>18.344485141841776</v>
      </c>
      <c r="G38" s="9">
        <v>25.842068453264876</v>
      </c>
      <c r="H38" s="9">
        <v>92.166337890214791</v>
      </c>
      <c r="I38" s="9">
        <v>4950.1143855890123</v>
      </c>
      <c r="J38" s="9">
        <v>3486.8557068627129</v>
      </c>
      <c r="K38" s="9">
        <v>1427.765428715373</v>
      </c>
      <c r="L38" s="9">
        <v>4613.8352636600093</v>
      </c>
      <c r="M38" s="9">
        <v>3.3970458244731732</v>
      </c>
      <c r="N38" s="9">
        <v>125.32131309991709</v>
      </c>
      <c r="O38" s="9">
        <v>37.088193944257654</v>
      </c>
      <c r="P38" s="9">
        <v>2.5797412867423439</v>
      </c>
      <c r="Q38" s="9">
        <v>37.088193944257654</v>
      </c>
      <c r="R38" s="9">
        <v>52.567232386017281</v>
      </c>
      <c r="S38" s="9">
        <v>43.337461934097398</v>
      </c>
      <c r="T38" s="9">
        <v>85.47471552178915</v>
      </c>
      <c r="U38" s="9">
        <v>66.78588731174564</v>
      </c>
      <c r="V38" s="9">
        <v>89.878961395767973</v>
      </c>
      <c r="W38" s="9">
        <v>28269.685173946797</v>
      </c>
      <c r="X38" s="9">
        <v>28328.956575127861</v>
      </c>
      <c r="Y38" s="9">
        <v>59.271401181066096</v>
      </c>
      <c r="Z38" s="9">
        <v>29653.014229691089</v>
      </c>
      <c r="AA38" s="9">
        <v>29715.966526235396</v>
      </c>
      <c r="AB38" s="9">
        <v>62.952296544308325</v>
      </c>
      <c r="AC38" s="9">
        <v>97.234390976068383</v>
      </c>
      <c r="AD38" s="9">
        <v>150.76853152117991</v>
      </c>
      <c r="AE38" s="9">
        <v>99.916295739231529</v>
      </c>
      <c r="AF38" s="9">
        <v>131.51459337007381</v>
      </c>
      <c r="AG38" s="9">
        <v>1494.0163372003819</v>
      </c>
      <c r="AH38" s="9">
        <v>24479.816456639372</v>
      </c>
      <c r="AI38" s="9">
        <v>3449.4452826444822</v>
      </c>
      <c r="AJ38" s="9">
        <v>29902.711888090791</v>
      </c>
      <c r="AK38" s="9">
        <v>55566626.011241861</v>
      </c>
      <c r="AL38" s="9">
        <v>55507321.383371837</v>
      </c>
      <c r="AM38" s="9"/>
      <c r="AN38" s="9"/>
      <c r="AO38" s="9"/>
      <c r="AP38" s="9"/>
      <c r="AQ38" s="9"/>
    </row>
    <row r="39" spans="1:43" x14ac:dyDescent="0.25">
      <c r="A39" s="9">
        <v>37</v>
      </c>
      <c r="B39" s="9">
        <v>48</v>
      </c>
      <c r="C39" s="9">
        <v>3.0083333333333335E-4</v>
      </c>
      <c r="D39" s="9">
        <v>17.662565852611376</v>
      </c>
      <c r="E39" s="9">
        <v>27.652554664824752</v>
      </c>
      <c r="F39" s="9">
        <v>18.348737876441096</v>
      </c>
      <c r="G39" s="9">
        <v>25.764512918433834</v>
      </c>
      <c r="H39" s="9">
        <v>91.989519341352519</v>
      </c>
      <c r="I39" s="9">
        <v>4950.3785495544817</v>
      </c>
      <c r="J39" s="9">
        <v>3485.8067444375652</v>
      </c>
      <c r="K39" s="9">
        <v>1427.3359092822345</v>
      </c>
      <c r="L39" s="9">
        <v>4607.4331907390097</v>
      </c>
      <c r="M39" s="9">
        <v>3.392258633550095</v>
      </c>
      <c r="N39" s="9">
        <v>128.71357173346718</v>
      </c>
      <c r="O39" s="9">
        <v>37.060373032034889</v>
      </c>
      <c r="P39" s="9">
        <v>2.5761780749651102</v>
      </c>
      <c r="Q39" s="9">
        <v>37.060373032034889</v>
      </c>
      <c r="R39" s="9">
        <v>54.302230469476882</v>
      </c>
      <c r="S39" s="9">
        <v>43.918945323815066</v>
      </c>
      <c r="T39" s="9">
        <v>88.034395673976292</v>
      </c>
      <c r="U39" s="9">
        <v>69.884551344093026</v>
      </c>
      <c r="V39" s="9">
        <v>92.840164720449067</v>
      </c>
      <c r="W39" s="9">
        <v>28269.685173946797</v>
      </c>
      <c r="X39" s="9">
        <v>28328.956575127861</v>
      </c>
      <c r="Y39" s="9">
        <v>59.271401181066096</v>
      </c>
      <c r="Z39" s="9">
        <v>29653.014229691089</v>
      </c>
      <c r="AA39" s="9">
        <v>29715.966526235396</v>
      </c>
      <c r="AB39" s="9">
        <v>62.952296544308325</v>
      </c>
      <c r="AC39" s="9">
        <v>96.202108677223293</v>
      </c>
      <c r="AD39" s="9">
        <v>150.6142477410788</v>
      </c>
      <c r="AE39" s="9">
        <v>99.939458967015824</v>
      </c>
      <c r="AF39" s="9">
        <v>131.11990032739618</v>
      </c>
      <c r="AG39" s="9">
        <v>1491.1501085233244</v>
      </c>
      <c r="AH39" s="9">
        <v>24945.949802064446</v>
      </c>
      <c r="AI39" s="9">
        <v>3495.7284530490601</v>
      </c>
      <c r="AJ39" s="9">
        <v>30410.704079349543</v>
      </c>
      <c r="AK39" s="9">
        <v>55597036.715321213</v>
      </c>
      <c r="AL39" s="9">
        <v>55533395.634454429</v>
      </c>
    </row>
    <row r="40" spans="1:43" x14ac:dyDescent="0.25">
      <c r="A40" s="9">
        <v>38</v>
      </c>
      <c r="B40" s="9">
        <v>48</v>
      </c>
      <c r="C40" s="9">
        <v>3.0083333333333335E-4</v>
      </c>
      <c r="D40" s="9">
        <v>17.475052423475752</v>
      </c>
      <c r="E40" s="9">
        <v>27.622490755671667</v>
      </c>
      <c r="F40" s="9">
        <v>18.352735354763656</v>
      </c>
      <c r="G40" s="9">
        <v>25.687818569603188</v>
      </c>
      <c r="H40" s="9">
        <v>91.812754013436191</v>
      </c>
      <c r="I40" s="9">
        <v>4950.6419207282424</v>
      </c>
      <c r="J40" s="9">
        <v>3484.7580975752803</v>
      </c>
      <c r="K40" s="9">
        <v>1426.9065190628587</v>
      </c>
      <c r="L40" s="9">
        <v>4601.0400012166019</v>
      </c>
      <c r="M40" s="9">
        <v>3.3873896591787527</v>
      </c>
      <c r="N40" s="9">
        <v>132.10096139264593</v>
      </c>
      <c r="O40" s="9">
        <v>37.031937674735111</v>
      </c>
      <c r="P40" s="9">
        <v>2.5725565802648851</v>
      </c>
      <c r="Q40" s="9">
        <v>37.031937674735111</v>
      </c>
      <c r="R40" s="9">
        <v>56.005843647326785</v>
      </c>
      <c r="S40" s="9">
        <v>44.48099413010182</v>
      </c>
      <c r="T40" s="9">
        <v>90.601183834468003</v>
      </c>
      <c r="U40" s="9">
        <v>73.026210543803757</v>
      </c>
      <c r="V40" s="9">
        <v>95.799545035033688</v>
      </c>
      <c r="W40" s="9">
        <v>28269.685173946797</v>
      </c>
      <c r="X40" s="9">
        <v>28328.956575127861</v>
      </c>
      <c r="Y40" s="9">
        <v>59.271401181066096</v>
      </c>
      <c r="Z40" s="9">
        <v>29653.014229691089</v>
      </c>
      <c r="AA40" s="9">
        <v>29715.966526235396</v>
      </c>
      <c r="AB40" s="9">
        <v>62.952296544308325</v>
      </c>
      <c r="AC40" s="9">
        <v>95.18078553319792</v>
      </c>
      <c r="AD40" s="9">
        <v>150.45049964922501</v>
      </c>
      <c r="AE40" s="9">
        <v>99.961231898946039</v>
      </c>
      <c r="AF40" s="9">
        <v>130.72959000380555</v>
      </c>
      <c r="AG40" s="9">
        <v>1488.2847425578007</v>
      </c>
      <c r="AH40" s="9">
        <v>25403.345938113522</v>
      </c>
      <c r="AI40" s="9">
        <v>3540.4647277854542</v>
      </c>
      <c r="AJ40" s="9">
        <v>30908.417515541951</v>
      </c>
      <c r="AK40" s="9">
        <v>55627945.132836752</v>
      </c>
      <c r="AL40" s="9">
        <v>55559786.664269015</v>
      </c>
    </row>
    <row r="41" spans="1:43" x14ac:dyDescent="0.25">
      <c r="A41" s="9">
        <v>39</v>
      </c>
      <c r="B41" s="9">
        <v>48</v>
      </c>
      <c r="C41" s="9">
        <v>3.0083333333333335E-4</v>
      </c>
      <c r="D41" s="9">
        <v>17.289529717907676</v>
      </c>
      <c r="E41" s="9">
        <v>27.590723306895409</v>
      </c>
      <c r="F41" s="9">
        <v>18.356467542839209</v>
      </c>
      <c r="G41" s="9">
        <v>25.611973639687818</v>
      </c>
      <c r="H41" s="9">
        <v>91.636050455077523</v>
      </c>
      <c r="I41" s="9">
        <v>4950.9045079135476</v>
      </c>
      <c r="J41" s="9">
        <v>3483.7097661809266</v>
      </c>
      <c r="K41" s="9">
        <v>1426.477258018374</v>
      </c>
      <c r="L41" s="9">
        <v>4594.6556827663462</v>
      </c>
      <c r="M41" s="9">
        <v>3.3825268050389274</v>
      </c>
      <c r="N41" s="9">
        <v>135.48348819768486</v>
      </c>
      <c r="O41" s="9">
        <v>37.00290380436762</v>
      </c>
      <c r="P41" s="9">
        <v>2.5689392546323804</v>
      </c>
      <c r="Q41" s="9">
        <v>37.00290380436762</v>
      </c>
      <c r="R41" s="9">
        <v>57.678578309380143</v>
      </c>
      <c r="S41" s="9">
        <v>45.024312003608102</v>
      </c>
      <c r="T41" s="9">
        <v>93.174896536203946</v>
      </c>
      <c r="U41" s="9">
        <v>76.209664303913897</v>
      </c>
      <c r="V41" s="9">
        <v>98.757089953564531</v>
      </c>
      <c r="W41" s="9">
        <v>28269.685173946797</v>
      </c>
      <c r="X41" s="9">
        <v>28328.956575127861</v>
      </c>
      <c r="Y41" s="9">
        <v>59.271401181066096</v>
      </c>
      <c r="Z41" s="9">
        <v>29653.014229691089</v>
      </c>
      <c r="AA41" s="9">
        <v>29715.966526235396</v>
      </c>
      <c r="AB41" s="9">
        <v>62.952296544308325</v>
      </c>
      <c r="AC41" s="9">
        <v>94.170305196870473</v>
      </c>
      <c r="AD41" s="9">
        <v>150.27747294489032</v>
      </c>
      <c r="AE41" s="9">
        <v>99.981559883330888</v>
      </c>
      <c r="AF41" s="9">
        <v>130.34360251464457</v>
      </c>
      <c r="AG41" s="9">
        <v>1485.4203778768067</v>
      </c>
      <c r="AH41" s="9">
        <v>25852.147481278069</v>
      </c>
      <c r="AI41" s="9">
        <v>3583.7101139271867</v>
      </c>
      <c r="AJ41" s="9">
        <v>31396.050913621799</v>
      </c>
      <c r="AK41" s="9">
        <v>55659341.183750376</v>
      </c>
      <c r="AL41" s="9">
        <v>55586482.823929615</v>
      </c>
    </row>
    <row r="42" spans="1:43" x14ac:dyDescent="0.25">
      <c r="A42" s="9">
        <v>40</v>
      </c>
      <c r="B42" s="9">
        <v>48</v>
      </c>
      <c r="C42" s="9">
        <v>3.0083333333333335E-4</v>
      </c>
      <c r="D42" s="9">
        <v>17.105976601525786</v>
      </c>
      <c r="E42" s="9">
        <v>27.557285930546449</v>
      </c>
      <c r="F42" s="9">
        <v>18.359924767491695</v>
      </c>
      <c r="G42" s="9">
        <v>25.536966379106193</v>
      </c>
      <c r="H42" s="9">
        <v>91.459417053700165</v>
      </c>
      <c r="I42" s="9">
        <v>4951.1663197933667</v>
      </c>
      <c r="J42" s="9">
        <v>3482.6617501596006</v>
      </c>
      <c r="K42" s="9">
        <v>1426.0481261099201</v>
      </c>
      <c r="L42" s="9">
        <v>4588.2802230789057</v>
      </c>
      <c r="M42" s="9">
        <v>3.377670091175053</v>
      </c>
      <c r="N42" s="9">
        <v>138.86115828885991</v>
      </c>
      <c r="O42" s="9">
        <v>36.973286990815687</v>
      </c>
      <c r="P42" s="9">
        <v>2.5653261181843154</v>
      </c>
      <c r="Q42" s="9">
        <v>36.973286990815687</v>
      </c>
      <c r="R42" s="9">
        <v>59.320932762325334</v>
      </c>
      <c r="S42" s="9">
        <v>45.549573537082836</v>
      </c>
      <c r="T42" s="9">
        <v>95.755353373302952</v>
      </c>
      <c r="U42" s="9">
        <v>79.433749177194798</v>
      </c>
      <c r="V42" s="9">
        <v>101.71278745499295</v>
      </c>
      <c r="W42" s="9">
        <v>28269.685173946797</v>
      </c>
      <c r="X42" s="9">
        <v>28328.956575127861</v>
      </c>
      <c r="Y42" s="9">
        <v>59.271401181066096</v>
      </c>
      <c r="Z42" s="9">
        <v>29653.014229691089</v>
      </c>
      <c r="AA42" s="9">
        <v>29715.966526235396</v>
      </c>
      <c r="AB42" s="9">
        <v>62.952296544308325</v>
      </c>
      <c r="AC42" s="9">
        <v>93.17055255631044</v>
      </c>
      <c r="AD42" s="9">
        <v>150.09535070170966</v>
      </c>
      <c r="AE42" s="9">
        <v>100.00039023360476</v>
      </c>
      <c r="AF42" s="9">
        <v>129.9618780643346</v>
      </c>
      <c r="AG42" s="9">
        <v>1482.5571504404797</v>
      </c>
      <c r="AH42" s="9">
        <v>26292.494742130137</v>
      </c>
      <c r="AI42" s="9">
        <v>3625.5183056841083</v>
      </c>
      <c r="AJ42" s="9">
        <v>31873.798369810684</v>
      </c>
      <c r="AK42" s="9">
        <v>55691214.982120186</v>
      </c>
      <c r="AL42" s="9">
        <v>55613472.7556879</v>
      </c>
    </row>
    <row r="43" spans="1:43" x14ac:dyDescent="0.25">
      <c r="A43" s="9">
        <v>41</v>
      </c>
      <c r="B43" s="9">
        <v>48</v>
      </c>
      <c r="C43" s="9">
        <v>3.0083333333333335E-4</v>
      </c>
      <c r="D43" s="9">
        <v>16.924372164320438</v>
      </c>
      <c r="E43" s="9">
        <v>27.52221176265191</v>
      </c>
      <c r="F43" s="9">
        <v>18.363097708852298</v>
      </c>
      <c r="G43" s="9">
        <v>25.462785059419254</v>
      </c>
      <c r="H43" s="9">
        <v>91.282862036489888</v>
      </c>
      <c r="I43" s="9">
        <v>4951.4273649305615</v>
      </c>
      <c r="J43" s="9">
        <v>3481.6140494164274</v>
      </c>
      <c r="K43" s="9">
        <v>1425.6191232986487</v>
      </c>
      <c r="L43" s="9">
        <v>4581.9136098620238</v>
      </c>
      <c r="M43" s="9">
        <v>3.3728195371095415</v>
      </c>
      <c r="N43" s="9">
        <v>142.23397782596945</v>
      </c>
      <c r="O43" s="9">
        <v>36.943102448370595</v>
      </c>
      <c r="P43" s="9">
        <v>2.5617171906294036</v>
      </c>
      <c r="Q43" s="9">
        <v>36.943102448370595</v>
      </c>
      <c r="R43" s="9">
        <v>60.933397358663981</v>
      </c>
      <c r="S43" s="9">
        <v>46.057425542162157</v>
      </c>
      <c r="T43" s="9">
        <v>98.342376951464828</v>
      </c>
      <c r="U43" s="9">
        <v>82.697337472878615</v>
      </c>
      <c r="V43" s="9">
        <v>104.66662587189039</v>
      </c>
      <c r="W43" s="9">
        <v>28269.685173946797</v>
      </c>
      <c r="X43" s="9">
        <v>28328.956575127861</v>
      </c>
      <c r="Y43" s="9">
        <v>59.271401181066096</v>
      </c>
      <c r="Z43" s="9">
        <v>29653.014229691089</v>
      </c>
      <c r="AA43" s="9">
        <v>29715.966526235396</v>
      </c>
      <c r="AB43" s="9">
        <v>62.952296544308325</v>
      </c>
      <c r="AC43" s="9">
        <v>92.181413721665308</v>
      </c>
      <c r="AD43" s="9">
        <v>149.90431340057739</v>
      </c>
      <c r="AE43" s="9">
        <v>100.01767218754884</v>
      </c>
      <c r="AF43" s="9">
        <v>129.58435696489448</v>
      </c>
      <c r="AG43" s="9">
        <v>1479.6951936115011</v>
      </c>
      <c r="AH43" s="9">
        <v>26724.525762312078</v>
      </c>
      <c r="AI43" s="9">
        <v>3665.9407860283968</v>
      </c>
      <c r="AJ43" s="9">
        <v>32341.84949822666</v>
      </c>
      <c r="AK43" s="9">
        <v>55723556.831618413</v>
      </c>
      <c r="AL43" s="9">
        <v>55640745.385426581</v>
      </c>
    </row>
    <row r="44" spans="1:43" x14ac:dyDescent="0.25">
      <c r="A44" s="9">
        <v>42</v>
      </c>
      <c r="B44" s="9">
        <v>48</v>
      </c>
      <c r="C44" s="9">
        <v>3.0083333333333335E-4</v>
      </c>
      <c r="D44" s="9">
        <v>16.744695718271686</v>
      </c>
      <c r="E44" s="9">
        <v>27.485533469184102</v>
      </c>
      <c r="F44" s="9">
        <v>18.365977392998634</v>
      </c>
      <c r="G44" s="9">
        <v>25.389417976851647</v>
      </c>
      <c r="H44" s="9">
        <v>91.106393471377388</v>
      </c>
      <c r="I44" s="9">
        <v>4951.6876517681021</v>
      </c>
      <c r="J44" s="9">
        <v>3480.5666638565613</v>
      </c>
      <c r="K44" s="9">
        <v>1425.190249545723</v>
      </c>
      <c r="L44" s="9">
        <v>4575.5558308405016</v>
      </c>
      <c r="M44" s="9">
        <v>3.3679751618459131</v>
      </c>
      <c r="N44" s="9">
        <v>145.60195298781537</v>
      </c>
      <c r="O44" s="9">
        <v>36.912365046730621</v>
      </c>
      <c r="P44" s="9">
        <v>2.5581124912693785</v>
      </c>
      <c r="Q44" s="9">
        <v>36.912365046730621</v>
      </c>
      <c r="R44" s="9">
        <v>62.516454623586746</v>
      </c>
      <c r="S44" s="9">
        <v>46.548488268671242</v>
      </c>
      <c r="T44" s="9">
        <v>100.93579283916583</v>
      </c>
      <c r="U44" s="9">
        <v>85.99933591265895</v>
      </c>
      <c r="V44" s="9">
        <v>107.61859387958501</v>
      </c>
      <c r="W44" s="9">
        <v>28269.685173946797</v>
      </c>
      <c r="X44" s="9">
        <v>28328.956575127861</v>
      </c>
      <c r="Y44" s="9">
        <v>59.271401181066096</v>
      </c>
      <c r="Z44" s="9">
        <v>29653.014229691089</v>
      </c>
      <c r="AA44" s="9">
        <v>29715.966526235396</v>
      </c>
      <c r="AB44" s="9">
        <v>62.952296544308325</v>
      </c>
      <c r="AC44" s="9">
        <v>91.202776012186447</v>
      </c>
      <c r="AD44" s="9">
        <v>149.70453896215605</v>
      </c>
      <c r="AE44" s="9">
        <v>100.03335686719922</v>
      </c>
      <c r="AF44" s="9">
        <v>129.21097965386082</v>
      </c>
      <c r="AG44" s="9">
        <v>1476.8346381710276</v>
      </c>
      <c r="AH44" s="9">
        <v>27148.376352182357</v>
      </c>
      <c r="AI44" s="9">
        <v>3705.0269237448874</v>
      </c>
      <c r="AJ44" s="9">
        <v>32800.389565593672</v>
      </c>
      <c r="AK44" s="9">
        <v>55756357.221184008</v>
      </c>
      <c r="AL44" s="9">
        <v>55668289.915379323</v>
      </c>
    </row>
    <row r="45" spans="1:43" x14ac:dyDescent="0.25">
      <c r="A45" s="9">
        <v>43</v>
      </c>
      <c r="B45" s="9">
        <v>48</v>
      </c>
      <c r="C45" s="9">
        <v>3.0083333333333335E-4</v>
      </c>
      <c r="D45" s="9">
        <v>16.56692679499254</v>
      </c>
      <c r="E45" s="9">
        <v>27.447283251958662</v>
      </c>
      <c r="F45" s="9">
        <v>18.368555184718165</v>
      </c>
      <c r="G45" s="9">
        <v>25.316853455697931</v>
      </c>
      <c r="H45" s="9">
        <v>90.930019268052362</v>
      </c>
      <c r="I45" s="9">
        <v>4951.9471886293195</v>
      </c>
      <c r="J45" s="9">
        <v>3479.5195933851846</v>
      </c>
      <c r="K45" s="9">
        <v>1424.761504812318</v>
      </c>
      <c r="L45" s="9">
        <v>4569.2068737561713</v>
      </c>
      <c r="M45" s="9">
        <v>3.3631369838720326</v>
      </c>
      <c r="N45" s="9">
        <v>148.96508997168741</v>
      </c>
      <c r="O45" s="9">
        <v>36.881089315999866</v>
      </c>
      <c r="P45" s="9">
        <v>2.5545120390001395</v>
      </c>
      <c r="Q45" s="9">
        <v>36.881089315999866</v>
      </c>
      <c r="R45" s="9">
        <v>64.070579379820003</v>
      </c>
      <c r="S45" s="9">
        <v>47.023356569077329</v>
      </c>
      <c r="T45" s="9">
        <v>103.53542951966213</v>
      </c>
      <c r="U45" s="9">
        <v>89.338684343413632</v>
      </c>
      <c r="V45" s="9">
        <v>110.56868048570665</v>
      </c>
      <c r="W45" s="9">
        <v>28269.685173946797</v>
      </c>
      <c r="X45" s="9">
        <v>28328.956575127861</v>
      </c>
      <c r="Y45" s="9">
        <v>59.271401181066096</v>
      </c>
      <c r="Z45" s="9">
        <v>29653.014229691089</v>
      </c>
      <c r="AA45" s="9">
        <v>29715.966526235396</v>
      </c>
      <c r="AB45" s="9">
        <v>62.952296544308325</v>
      </c>
      <c r="AC45" s="9">
        <v>90.234527943392692</v>
      </c>
      <c r="AD45" s="9">
        <v>149.49620277900149</v>
      </c>
      <c r="AE45" s="9">
        <v>100.0473972394316</v>
      </c>
      <c r="AF45" s="9">
        <v>128.84168671162271</v>
      </c>
      <c r="AG45" s="9">
        <v>1473.975612335129</v>
      </c>
      <c r="AH45" s="9">
        <v>27564.180126268977</v>
      </c>
      <c r="AI45" s="9">
        <v>3742.8240661157101</v>
      </c>
      <c r="AJ45" s="9">
        <v>33249.599619393266</v>
      </c>
      <c r="AK45" s="9">
        <v>55789606.820803404</v>
      </c>
      <c r="AL45" s="9">
        <v>55696095.817067698</v>
      </c>
    </row>
    <row r="46" spans="1:43" x14ac:dyDescent="0.25">
      <c r="A46" s="9">
        <v>44</v>
      </c>
      <c r="B46" s="9">
        <v>48</v>
      </c>
      <c r="C46" s="9">
        <v>3.0083333333333335E-4</v>
      </c>
      <c r="D46" s="9">
        <v>16.391045143397246</v>
      </c>
      <c r="E46" s="9">
        <v>27.407492854463126</v>
      </c>
      <c r="F46" s="9">
        <v>18.370822780393969</v>
      </c>
      <c r="G46" s="9">
        <v>25.245079851616232</v>
      </c>
      <c r="H46" s="9">
        <v>90.753747179007604</v>
      </c>
      <c r="I46" s="9">
        <v>4952.2059837181941</v>
      </c>
      <c r="J46" s="9">
        <v>3478.4728379075077</v>
      </c>
      <c r="K46" s="9">
        <v>1424.3328890596204</v>
      </c>
      <c r="L46" s="9">
        <v>4562.8667263678753</v>
      </c>
      <c r="M46" s="9">
        <v>3.3583050211634511</v>
      </c>
      <c r="N46" s="9">
        <v>152.32339499285087</v>
      </c>
      <c r="O46" s="9">
        <v>36.849289453686971</v>
      </c>
      <c r="P46" s="9">
        <v>2.5509158523130262</v>
      </c>
      <c r="Q46" s="9">
        <v>36.849289453686971</v>
      </c>
      <c r="R46" s="9">
        <v>65.596238870475958</v>
      </c>
      <c r="S46" s="9">
        <v>47.482601010550674</v>
      </c>
      <c r="T46" s="9">
        <v>106.1411183437542</v>
      </c>
      <c r="U46" s="9">
        <v>92.714354504042987</v>
      </c>
      <c r="V46" s="9">
        <v>113.5168750201215</v>
      </c>
      <c r="W46" s="9">
        <v>28269.685173946797</v>
      </c>
      <c r="X46" s="9">
        <v>28328.956575127861</v>
      </c>
      <c r="Y46" s="9">
        <v>59.271401181066096</v>
      </c>
      <c r="Z46" s="9">
        <v>29653.014229691089</v>
      </c>
      <c r="AA46" s="9">
        <v>29715.966526235396</v>
      </c>
      <c r="AB46" s="9">
        <v>62.952296544308325</v>
      </c>
      <c r="AC46" s="9">
        <v>89.276559214370323</v>
      </c>
      <c r="AD46" s="9">
        <v>149.27947774730916</v>
      </c>
      <c r="AE46" s="9">
        <v>100.05974807721248</v>
      </c>
      <c r="AF46" s="9">
        <v>128.47641887818361</v>
      </c>
      <c r="AG46" s="9">
        <v>1471.1182417717134</v>
      </c>
      <c r="AH46" s="9">
        <v>27972.068538723863</v>
      </c>
      <c r="AI46" s="9">
        <v>3779.3776274347811</v>
      </c>
      <c r="AJ46" s="9">
        <v>33689.656611847429</v>
      </c>
      <c r="AK46" s="9">
        <v>55823296.477415249</v>
      </c>
      <c r="AL46" s="9">
        <v>55724152.824447781</v>
      </c>
    </row>
    <row r="47" spans="1:43" x14ac:dyDescent="0.25">
      <c r="A47" s="9">
        <v>45</v>
      </c>
      <c r="B47" s="9">
        <v>48</v>
      </c>
      <c r="C47" s="9">
        <v>3.0083333333333335E-4</v>
      </c>
      <c r="D47" s="9">
        <v>16.217030727394327</v>
      </c>
      <c r="E47" s="9">
        <v>27.366193567616676</v>
      </c>
      <c r="F47" s="9">
        <v>18.372772201011028</v>
      </c>
      <c r="G47" s="9">
        <v>25.174085554811882</v>
      </c>
      <c r="H47" s="9">
        <v>90.577584800611703</v>
      </c>
      <c r="I47" s="9">
        <v>4952.4640451196747</v>
      </c>
      <c r="J47" s="9">
        <v>3477.4263973287707</v>
      </c>
      <c r="K47" s="9">
        <v>1423.9044022488283</v>
      </c>
      <c r="L47" s="9">
        <v>4556.5353764514421</v>
      </c>
      <c r="M47" s="9">
        <v>3.3534792911868436</v>
      </c>
      <c r="N47" s="9">
        <v>155.67687428403769</v>
      </c>
      <c r="O47" s="9">
        <v>36.816979335703792</v>
      </c>
      <c r="P47" s="9">
        <v>2.5473239492962079</v>
      </c>
      <c r="Q47" s="9">
        <v>36.816979335703792</v>
      </c>
      <c r="R47" s="9">
        <v>67.093892879938352</v>
      </c>
      <c r="S47" s="9">
        <v>47.926768937025017</v>
      </c>
      <c r="T47" s="9">
        <v>108.7526934833122</v>
      </c>
      <c r="U47" s="9">
        <v>96.125348844061236</v>
      </c>
      <c r="V47" s="9">
        <v>116.46316712524049</v>
      </c>
      <c r="W47" s="9">
        <v>28269.685173946797</v>
      </c>
      <c r="X47" s="9">
        <v>28328.956575127861</v>
      </c>
      <c r="Y47" s="9">
        <v>59.271401181066096</v>
      </c>
      <c r="Z47" s="9">
        <v>29653.014229691089</v>
      </c>
      <c r="AA47" s="9">
        <v>29715.966526235396</v>
      </c>
      <c r="AB47" s="9">
        <v>62.952296544308325</v>
      </c>
      <c r="AC47" s="9">
        <v>88.328760695207762</v>
      </c>
      <c r="AD47" s="9">
        <v>149.05453429828549</v>
      </c>
      <c r="AE47" s="9">
        <v>100.07036592150672</v>
      </c>
      <c r="AF47" s="9">
        <v>128.11511706936346</v>
      </c>
      <c r="AG47" s="9">
        <v>1468.2626496179157</v>
      </c>
      <c r="AH47" s="9">
        <v>28372.170919332984</v>
      </c>
      <c r="AI47" s="9">
        <v>3814.731173542506</v>
      </c>
      <c r="AJ47" s="9">
        <v>34120.73352047777</v>
      </c>
      <c r="AK47" s="9">
        <v>55857417.210935727</v>
      </c>
      <c r="AL47" s="9">
        <v>55752450.927259818</v>
      </c>
    </row>
    <row r="48" spans="1:43" x14ac:dyDescent="0.25">
      <c r="A48" s="9">
        <v>46</v>
      </c>
      <c r="B48" s="9">
        <v>48</v>
      </c>
      <c r="C48" s="9">
        <v>3.0083333333333335E-4</v>
      </c>
      <c r="D48" s="9">
        <v>16.044863723604109</v>
      </c>
      <c r="E48" s="9">
        <v>27.323416235461917</v>
      </c>
      <c r="F48" s="9">
        <v>18.374395785281198</v>
      </c>
      <c r="G48" s="9">
        <v>25.103858993113423</v>
      </c>
      <c r="H48" s="9">
        <v>90.401539574209195</v>
      </c>
      <c r="I48" s="9">
        <v>4952.7213808000306</v>
      </c>
      <c r="J48" s="9">
        <v>3476.3802715542411</v>
      </c>
      <c r="K48" s="9">
        <v>1423.4760443411517</v>
      </c>
      <c r="L48" s="9">
        <v>4550.2128117996608</v>
      </c>
      <c r="M48" s="9">
        <v>3.3486598109035453</v>
      </c>
      <c r="N48" s="9">
        <v>159.02553409494124</v>
      </c>
      <c r="O48" s="9">
        <v>36.784172521363807</v>
      </c>
      <c r="P48" s="9">
        <v>2.5437363476361936</v>
      </c>
      <c r="Q48" s="9">
        <v>36.784172521363807</v>
      </c>
      <c r="R48" s="9">
        <v>68.563993852815301</v>
      </c>
      <c r="S48" s="9">
        <v>48.356385483551797</v>
      </c>
      <c r="T48" s="9">
        <v>111.36999188557431</v>
      </c>
      <c r="U48" s="9">
        <v>99.57069939172095</v>
      </c>
      <c r="V48" s="9">
        <v>119.40754674668713</v>
      </c>
      <c r="W48" s="9">
        <v>28269.685173946797</v>
      </c>
      <c r="X48" s="9">
        <v>28328.956575127861</v>
      </c>
      <c r="Y48" s="9">
        <v>59.271401181066096</v>
      </c>
      <c r="Z48" s="9">
        <v>29653.014229691089</v>
      </c>
      <c r="AA48" s="9">
        <v>29715.966526235396</v>
      </c>
      <c r="AB48" s="9">
        <v>62.952296544308325</v>
      </c>
      <c r="AC48" s="9">
        <v>87.391024414563717</v>
      </c>
      <c r="AD48" s="9">
        <v>148.82154042914922</v>
      </c>
      <c r="AE48" s="9">
        <v>100.07920904383158</v>
      </c>
      <c r="AF48" s="9">
        <v>127.75772239245306</v>
      </c>
      <c r="AG48" s="9">
        <v>1465.4089564979311</v>
      </c>
      <c r="AH48" s="9">
        <v>28764.614507360446</v>
      </c>
      <c r="AI48" s="9">
        <v>3848.9265025633053</v>
      </c>
      <c r="AJ48" s="9">
        <v>34542.999462701679</v>
      </c>
      <c r="AK48" s="9">
        <v>55891960.210398428</v>
      </c>
      <c r="AL48" s="9">
        <v>55780980.364572391</v>
      </c>
    </row>
    <row r="49" spans="1:38" x14ac:dyDescent="0.25">
      <c r="A49" s="9">
        <v>47</v>
      </c>
      <c r="B49" s="9">
        <v>48</v>
      </c>
      <c r="C49" s="9">
        <v>3.0083333333333335E-4</v>
      </c>
      <c r="D49" s="9">
        <v>15.874524519100479</v>
      </c>
      <c r="E49" s="9">
        <v>27.279191260789375</v>
      </c>
      <c r="F49" s="9">
        <v>18.37568618288509</v>
      </c>
      <c r="G49" s="9">
        <v>25.034388634943422</v>
      </c>
      <c r="H49" s="9">
        <v>90.22561878724693</v>
      </c>
      <c r="I49" s="9">
        <v>4952.977998607239</v>
      </c>
      <c r="J49" s="9">
        <v>3475.334460489215</v>
      </c>
      <c r="K49" s="9">
        <v>1423.0478152978123</v>
      </c>
      <c r="L49" s="9">
        <v>4543.8990202222603</v>
      </c>
      <c r="M49" s="9">
        <v>3.343846596773175</v>
      </c>
      <c r="N49" s="9">
        <v>162.36938069171441</v>
      </c>
      <c r="O49" s="9">
        <v>36.750882258380557</v>
      </c>
      <c r="P49" s="9">
        <v>2.540153064619449</v>
      </c>
      <c r="Q49" s="9">
        <v>36.750882258380557</v>
      </c>
      <c r="R49" s="9">
        <v>70.00698701099013</v>
      </c>
      <c r="S49" s="9">
        <v>48.771954545079367</v>
      </c>
      <c r="T49" s="9">
        <v>113.99285322817164</v>
      </c>
      <c r="U49" s="9">
        <v>103.04946666938851</v>
      </c>
      <c r="V49" s="9">
        <v>122.35000412430801</v>
      </c>
      <c r="W49" s="9">
        <v>28269.685173946797</v>
      </c>
      <c r="X49" s="9">
        <v>28328.956575127861</v>
      </c>
      <c r="Y49" s="9">
        <v>59.271401181066096</v>
      </c>
      <c r="Z49" s="9">
        <v>29653.014229691089</v>
      </c>
      <c r="AA49" s="9">
        <v>29715.966526235396</v>
      </c>
      <c r="AB49" s="9">
        <v>62.952296544308325</v>
      </c>
      <c r="AC49" s="9">
        <v>86.46324354736727</v>
      </c>
      <c r="AD49" s="9">
        <v>148.58066173376611</v>
      </c>
      <c r="AE49" s="9">
        <v>100.08623740944745</v>
      </c>
      <c r="AF49" s="9">
        <v>127.4041761613329</v>
      </c>
      <c r="AG49" s="9">
        <v>1462.5572805412728</v>
      </c>
      <c r="AH49" s="9">
        <v>29149.524484873207</v>
      </c>
      <c r="AI49" s="9">
        <v>3882.0037220155923</v>
      </c>
      <c r="AJ49" s="9">
        <v>34956.619806281989</v>
      </c>
      <c r="AK49" s="9">
        <v>55926916.83020471</v>
      </c>
      <c r="AL49" s="9">
        <v>55809731.618514277</v>
      </c>
    </row>
    <row r="50" spans="1:38" x14ac:dyDescent="0.25">
      <c r="A50" s="9">
        <v>48</v>
      </c>
      <c r="B50" s="9">
        <v>49</v>
      </c>
      <c r="C50" s="9">
        <v>3.0083333333333335E-4</v>
      </c>
      <c r="D50" s="9">
        <v>15.705993709176621</v>
      </c>
      <c r="E50" s="9">
        <v>27.233548610695568</v>
      </c>
      <c r="F50" s="9">
        <v>18.376636347829056</v>
      </c>
      <c r="G50" s="9">
        <v>24.965662992186378</v>
      </c>
      <c r="H50" s="9">
        <v>90.049829574425345</v>
      </c>
      <c r="I50" s="9">
        <v>4953.2339062713982</v>
      </c>
      <c r="J50" s="9">
        <v>3474.2889640390176</v>
      </c>
      <c r="K50" s="9">
        <v>1422.6197150800435</v>
      </c>
      <c r="L50" s="9">
        <v>4537.5939895458841</v>
      </c>
      <c r="M50" s="9">
        <v>3.3390396647573493</v>
      </c>
      <c r="N50" s="9">
        <v>165.70842035647175</v>
      </c>
      <c r="O50" s="9">
        <v>36.718174579071473</v>
      </c>
      <c r="P50" s="9">
        <v>2.5355210329285316</v>
      </c>
      <c r="Q50" s="9">
        <v>36.718174579071473</v>
      </c>
      <c r="R50" s="9">
        <v>71.422257384595468</v>
      </c>
      <c r="S50" s="9">
        <v>49.17395970172646</v>
      </c>
      <c r="T50" s="9">
        <v>116.62111987486863</v>
      </c>
      <c r="U50" s="9">
        <v>106.56073865408527</v>
      </c>
      <c r="V50" s="9">
        <v>125.29052978351163</v>
      </c>
      <c r="W50" s="9">
        <v>36678.917554278094</v>
      </c>
      <c r="X50" s="9">
        <v>36767.050717500955</v>
      </c>
      <c r="Y50" s="9">
        <v>88.133163222858514</v>
      </c>
      <c r="Z50" s="9">
        <v>39387.751863972109</v>
      </c>
      <c r="AA50" s="9">
        <v>39484.115257800047</v>
      </c>
      <c r="AB50" s="9">
        <v>96.363393827938268</v>
      </c>
      <c r="AC50" s="9">
        <v>85.545312402648662</v>
      </c>
      <c r="AD50" s="9">
        <v>148.33206143292185</v>
      </c>
      <c r="AE50" s="9">
        <v>100.09141264117558</v>
      </c>
      <c r="AF50" s="9">
        <v>127.05441991106849</v>
      </c>
      <c r="AG50" s="9">
        <v>1459.707737401435</v>
      </c>
      <c r="AH50" s="9">
        <v>29527.024011466168</v>
      </c>
      <c r="AI50" s="9">
        <v>3914.0013224589175</v>
      </c>
      <c r="AJ50" s="9">
        <v>35361.756277714332</v>
      </c>
      <c r="AK50" s="9">
        <v>55962278.586482428</v>
      </c>
      <c r="AL50" s="9">
        <v>55838695.408188924</v>
      </c>
    </row>
    <row r="51" spans="1:38" x14ac:dyDescent="0.25">
      <c r="A51" s="9">
        <v>49</v>
      </c>
      <c r="B51" s="9">
        <v>49</v>
      </c>
      <c r="C51" s="9">
        <v>3.2916666666666668E-4</v>
      </c>
      <c r="D51" s="9">
        <v>15.538807091979374</v>
      </c>
      <c r="E51" s="9">
        <v>27.185746204864696</v>
      </c>
      <c r="F51" s="9">
        <v>18.376718860552391</v>
      </c>
      <c r="G51" s="9">
        <v>24.896963262504649</v>
      </c>
      <c r="H51" s="9">
        <v>89.87162750703564</v>
      </c>
      <c r="I51" s="9">
        <v>4953.4891114051716</v>
      </c>
      <c r="J51" s="9">
        <v>3473.145343921688</v>
      </c>
      <c r="K51" s="9">
        <v>1422.1514360904964</v>
      </c>
      <c r="L51" s="9">
        <v>4531.16914245103</v>
      </c>
      <c r="M51" s="9">
        <v>3.334239030323475</v>
      </c>
      <c r="N51" s="9">
        <v>169.04265938679524</v>
      </c>
      <c r="O51" s="9">
        <v>36.683943256504541</v>
      </c>
      <c r="P51" s="9">
        <v>2.5319479214954552</v>
      </c>
      <c r="Q51" s="9">
        <v>36.683943256504541</v>
      </c>
      <c r="R51" s="9">
        <v>72.809283882807804</v>
      </c>
      <c r="S51" s="9">
        <v>49.561471840374267</v>
      </c>
      <c r="T51" s="9">
        <v>119.2546368320489</v>
      </c>
      <c r="U51" s="9">
        <v>110.10363689166769</v>
      </c>
      <c r="V51" s="9">
        <v>128.505878740985</v>
      </c>
      <c r="W51" s="9">
        <v>36678.917554278094</v>
      </c>
      <c r="X51" s="9">
        <v>36767.050717500955</v>
      </c>
      <c r="Y51" s="9">
        <v>88.133163222858514</v>
      </c>
      <c r="Z51" s="9">
        <v>39387.751863972109</v>
      </c>
      <c r="AA51" s="9">
        <v>39484.115257800047</v>
      </c>
      <c r="AB51" s="9">
        <v>96.363393827938268</v>
      </c>
      <c r="AC51" s="9">
        <v>84.634702627647656</v>
      </c>
      <c r="AD51" s="9">
        <v>148.07169766249638</v>
      </c>
      <c r="AE51" s="9">
        <v>100.09186206047535</v>
      </c>
      <c r="AF51" s="9">
        <v>126.70479553676323</v>
      </c>
      <c r="AG51" s="9">
        <v>1456.8190818890478</v>
      </c>
      <c r="AH51" s="9">
        <v>29896.395715541643</v>
      </c>
      <c r="AI51" s="9">
        <v>3944.8453511345897</v>
      </c>
      <c r="AJ51" s="9">
        <v>35757.563206452665</v>
      </c>
      <c r="AK51" s="9">
        <v>55998036.149688877</v>
      </c>
      <c r="AL51" s="9">
        <v>55867861.864944056</v>
      </c>
    </row>
    <row r="52" spans="1:38" x14ac:dyDescent="0.25">
      <c r="A52" s="9">
        <v>50</v>
      </c>
      <c r="B52" s="9">
        <v>49</v>
      </c>
      <c r="C52" s="9">
        <v>3.2916666666666668E-4</v>
      </c>
      <c r="D52" s="9">
        <v>15.373400137087321</v>
      </c>
      <c r="E52" s="9">
        <v>27.136587459568435</v>
      </c>
      <c r="F52" s="9">
        <v>18.376447916170854</v>
      </c>
      <c r="G52" s="9">
        <v>24.828989286304623</v>
      </c>
      <c r="H52" s="9">
        <v>89.693580855498539</v>
      </c>
      <c r="I52" s="9">
        <v>4953.7436142734487</v>
      </c>
      <c r="J52" s="9">
        <v>3472.0021002459803</v>
      </c>
      <c r="K52" s="9">
        <v>1421.6833112427832</v>
      </c>
      <c r="L52" s="9">
        <v>4524.7533923931269</v>
      </c>
      <c r="M52" s="9">
        <v>3.3293502383427653</v>
      </c>
      <c r="N52" s="9">
        <v>172.37200962513799</v>
      </c>
      <c r="O52" s="9">
        <v>36.649237162285573</v>
      </c>
      <c r="P52" s="9">
        <v>2.5283137677144292</v>
      </c>
      <c r="Q52" s="9">
        <v>36.649237162285573</v>
      </c>
      <c r="R52" s="9">
        <v>74.170441752852327</v>
      </c>
      <c r="S52" s="9">
        <v>49.93630774526234</v>
      </c>
      <c r="T52" s="9">
        <v>121.89317704796348</v>
      </c>
      <c r="U52" s="9">
        <v>113.67720069724155</v>
      </c>
      <c r="V52" s="9">
        <v>131.71900310875674</v>
      </c>
      <c r="W52" s="9">
        <v>36678.917554278094</v>
      </c>
      <c r="X52" s="9">
        <v>36767.050717500955</v>
      </c>
      <c r="Y52" s="9">
        <v>88.133163222858514</v>
      </c>
      <c r="Z52" s="9">
        <v>39387.751863972109</v>
      </c>
      <c r="AA52" s="9">
        <v>39484.115257800047</v>
      </c>
      <c r="AB52" s="9">
        <v>96.363393827938268</v>
      </c>
      <c r="AC52" s="9">
        <v>83.733786080002275</v>
      </c>
      <c r="AD52" s="9">
        <v>147.80394636311607</v>
      </c>
      <c r="AE52" s="9">
        <v>100.0903863167439</v>
      </c>
      <c r="AF52" s="9">
        <v>126.35886464288527</v>
      </c>
      <c r="AG52" s="9">
        <v>1453.9329456676314</v>
      </c>
      <c r="AH52" s="9">
        <v>30258.574529918973</v>
      </c>
      <c r="AI52" s="9">
        <v>3974.680414984156</v>
      </c>
      <c r="AJ52" s="9">
        <v>36145.174873973505</v>
      </c>
      <c r="AK52" s="9">
        <v>56034181.324562848</v>
      </c>
      <c r="AL52" s="9">
        <v>55897222.151304826</v>
      </c>
    </row>
    <row r="53" spans="1:38" x14ac:dyDescent="0.25">
      <c r="A53" s="9">
        <v>51</v>
      </c>
      <c r="B53" s="9">
        <v>49</v>
      </c>
      <c r="C53" s="9">
        <v>3.2916666666666668E-4</v>
      </c>
      <c r="D53" s="9">
        <v>15.209753900412872</v>
      </c>
      <c r="E53" s="9">
        <v>27.086101182919535</v>
      </c>
      <c r="F53" s="9">
        <v>18.375817372978499</v>
      </c>
      <c r="G53" s="9">
        <v>24.761729660545573</v>
      </c>
      <c r="H53" s="9">
        <v>89.515696290632263</v>
      </c>
      <c r="I53" s="9">
        <v>4953.9974222950605</v>
      </c>
      <c r="J53" s="9">
        <v>3470.8592328879827</v>
      </c>
      <c r="K53" s="9">
        <v>1421.2153404861658</v>
      </c>
      <c r="L53" s="9">
        <v>4518.3467264915444</v>
      </c>
      <c r="M53" s="9">
        <v>3.3244680477666568</v>
      </c>
      <c r="N53" s="9">
        <v>175.69647767290465</v>
      </c>
      <c r="O53" s="9">
        <v>36.614069145986996</v>
      </c>
      <c r="P53" s="9">
        <v>2.5246841820130053</v>
      </c>
      <c r="Q53" s="9">
        <v>36.614069145986996</v>
      </c>
      <c r="R53" s="9">
        <v>75.506150245117269</v>
      </c>
      <c r="S53" s="9">
        <v>50.298896236418642</v>
      </c>
      <c r="T53" s="9">
        <v>124.53659035973396</v>
      </c>
      <c r="U53" s="9">
        <v>117.28059257770788</v>
      </c>
      <c r="V53" s="9">
        <v>134.9298935250049</v>
      </c>
      <c r="W53" s="9">
        <v>36678.917554278094</v>
      </c>
      <c r="X53" s="9">
        <v>36767.050717500955</v>
      </c>
      <c r="Y53" s="9">
        <v>88.133163222858514</v>
      </c>
      <c r="Z53" s="9">
        <v>39387.751863972109</v>
      </c>
      <c r="AA53" s="9">
        <v>39484.115257800047</v>
      </c>
      <c r="AB53" s="9">
        <v>96.363393827938268</v>
      </c>
      <c r="AC53" s="9">
        <v>82.842459577582105</v>
      </c>
      <c r="AD53" s="9">
        <v>147.5289644429684</v>
      </c>
      <c r="AE53" s="9">
        <v>100.08695195815622</v>
      </c>
      <c r="AF53" s="9">
        <v>126.01656919745983</v>
      </c>
      <c r="AG53" s="9">
        <v>1451.0494368711491</v>
      </c>
      <c r="AH53" s="9">
        <v>30613.678436611746</v>
      </c>
      <c r="AI53" s="9">
        <v>4003.5406459377418</v>
      </c>
      <c r="AJ53" s="9">
        <v>36524.743464596802</v>
      </c>
      <c r="AK53" s="9">
        <v>56070706.068027444</v>
      </c>
      <c r="AL53" s="9">
        <v>55926767.650373608</v>
      </c>
    </row>
    <row r="54" spans="1:38" x14ac:dyDescent="0.25">
      <c r="A54" s="9">
        <v>52</v>
      </c>
      <c r="B54" s="9">
        <v>49</v>
      </c>
      <c r="C54" s="9">
        <v>3.2916666666666668E-4</v>
      </c>
      <c r="D54" s="9">
        <v>15.0478496395238</v>
      </c>
      <c r="E54" s="9">
        <v>27.034315765660871</v>
      </c>
      <c r="F54" s="9">
        <v>18.374821368837619</v>
      </c>
      <c r="G54" s="9">
        <v>24.69517303742596</v>
      </c>
      <c r="H54" s="9">
        <v>89.337980334583918</v>
      </c>
      <c r="I54" s="9">
        <v>4954.2505427722717</v>
      </c>
      <c r="J54" s="9">
        <v>3469.7167417238238</v>
      </c>
      <c r="K54" s="9">
        <v>1420.7475237699225</v>
      </c>
      <c r="L54" s="9">
        <v>4511.94913188389</v>
      </c>
      <c r="M54" s="9">
        <v>3.3195924720540457</v>
      </c>
      <c r="N54" s="9">
        <v>179.01607014495869</v>
      </c>
      <c r="O54" s="9">
        <v>36.578451762647852</v>
      </c>
      <c r="P54" s="9">
        <v>2.521059179352148</v>
      </c>
      <c r="Q54" s="9">
        <v>36.578451762647852</v>
      </c>
      <c r="R54" s="9">
        <v>76.816821904235226</v>
      </c>
      <c r="S54" s="9">
        <v>50.649649078476976</v>
      </c>
      <c r="T54" s="9">
        <v>127.18472913530488</v>
      </c>
      <c r="U54" s="9">
        <v>120.91299882788817</v>
      </c>
      <c r="V54" s="9">
        <v>138.13854090666391</v>
      </c>
      <c r="W54" s="9">
        <v>36678.917554278094</v>
      </c>
      <c r="X54" s="9">
        <v>36767.050717500955</v>
      </c>
      <c r="Y54" s="9">
        <v>88.133163222858514</v>
      </c>
      <c r="Z54" s="9">
        <v>39387.751863972109</v>
      </c>
      <c r="AA54" s="9">
        <v>39484.115257800047</v>
      </c>
      <c r="AB54" s="9">
        <v>96.363393827938268</v>
      </c>
      <c r="AC54" s="9">
        <v>81.960621036606298</v>
      </c>
      <c r="AD54" s="9">
        <v>147.24690653696621</v>
      </c>
      <c r="AE54" s="9">
        <v>100.08152705560222</v>
      </c>
      <c r="AF54" s="9">
        <v>125.67785144963361</v>
      </c>
      <c r="AG54" s="9">
        <v>1448.1686612236053</v>
      </c>
      <c r="AH54" s="9">
        <v>30961.823506251316</v>
      </c>
      <c r="AI54" s="9">
        <v>4031.4588184013751</v>
      </c>
      <c r="AJ54" s="9">
        <v>36896.417891955105</v>
      </c>
      <c r="AK54" s="9">
        <v>56107602.485919401</v>
      </c>
      <c r="AL54" s="9">
        <v>55956489.960380696</v>
      </c>
    </row>
    <row r="55" spans="1:38" x14ac:dyDescent="0.25">
      <c r="A55" s="9">
        <v>53</v>
      </c>
      <c r="B55" s="9">
        <v>49</v>
      </c>
      <c r="C55" s="9">
        <v>3.2916666666666668E-4</v>
      </c>
      <c r="D55" s="9">
        <v>14.88766881149667</v>
      </c>
      <c r="E55" s="9">
        <v>26.981259186461248</v>
      </c>
      <c r="F55" s="9">
        <v>18.373454315046121</v>
      </c>
      <c r="G55" s="9">
        <v>24.629308126762947</v>
      </c>
      <c r="H55" s="9">
        <v>89.160439362109685</v>
      </c>
      <c r="I55" s="9">
        <v>4954.5029828913484</v>
      </c>
      <c r="J55" s="9">
        <v>3468.5746266296733</v>
      </c>
      <c r="K55" s="9">
        <v>1420.2798610433483</v>
      </c>
      <c r="L55" s="9">
        <v>4505.5605957259831</v>
      </c>
      <c r="M55" s="9">
        <v>3.3147235241839925</v>
      </c>
      <c r="N55" s="9">
        <v>182.33079366914268</v>
      </c>
      <c r="O55" s="9">
        <v>36.542397280696804</v>
      </c>
      <c r="P55" s="9">
        <v>2.5174387743031907</v>
      </c>
      <c r="Q55" s="9">
        <v>36.542397280696804</v>
      </c>
      <c r="R55" s="9">
        <v>78.102862676188906</v>
      </c>
      <c r="S55" s="9">
        <v>50.988961718548509</v>
      </c>
      <c r="T55" s="9">
        <v>129.83744823231552</v>
      </c>
      <c r="U55" s="9">
        <v>124.5736286861987</v>
      </c>
      <c r="V55" s="9">
        <v>141.34493644150248</v>
      </c>
      <c r="W55" s="9">
        <v>36678.917554278094</v>
      </c>
      <c r="X55" s="9">
        <v>36767.050717500955</v>
      </c>
      <c r="Y55" s="9">
        <v>88.133163222858514</v>
      </c>
      <c r="Z55" s="9">
        <v>39387.751863972109</v>
      </c>
      <c r="AA55" s="9">
        <v>39484.115257800047</v>
      </c>
      <c r="AB55" s="9">
        <v>96.363393827938268</v>
      </c>
      <c r="AC55" s="9">
        <v>81.088169459951857</v>
      </c>
      <c r="AD55" s="9">
        <v>146.95792503559227</v>
      </c>
      <c r="AE55" s="9">
        <v>100.07408116928454</v>
      </c>
      <c r="AF55" s="9">
        <v>125.34265394178442</v>
      </c>
      <c r="AG55" s="9">
        <v>1445.2907220597981</v>
      </c>
      <c r="AH55" s="9">
        <v>31303.123929494599</v>
      </c>
      <c r="AI55" s="9">
        <v>4058.4664079878685</v>
      </c>
      <c r="AJ55" s="9">
        <v>37260.343889148877</v>
      </c>
      <c r="AK55" s="9">
        <v>56144862.829808548</v>
      </c>
      <c r="AL55" s="9">
        <v>55986380.889388338</v>
      </c>
    </row>
    <row r="56" spans="1:38" x14ac:dyDescent="0.25">
      <c r="A56" s="9">
        <v>54</v>
      </c>
      <c r="B56" s="9">
        <v>49</v>
      </c>
      <c r="C56" s="9">
        <v>3.2916666666666668E-4</v>
      </c>
      <c r="D56" s="9">
        <v>14.729193070793119</v>
      </c>
      <c r="E56" s="9">
        <v>26.926959017148256</v>
      </c>
      <c r="F56" s="9">
        <v>18.371710890310986</v>
      </c>
      <c r="G56" s="9">
        <v>24.56412369828184</v>
      </c>
      <c r="H56" s="9">
        <v>88.983079601873214</v>
      </c>
      <c r="I56" s="9">
        <v>4954.7547497231444</v>
      </c>
      <c r="J56" s="9">
        <v>3467.4328874817411</v>
      </c>
      <c r="K56" s="9">
        <v>1419.8123522557548</v>
      </c>
      <c r="L56" s="9">
        <v>4499.1811051918294</v>
      </c>
      <c r="M56" s="9">
        <v>3.3098612166599408</v>
      </c>
      <c r="N56" s="9">
        <v>185.64065488580263</v>
      </c>
      <c r="O56" s="9">
        <v>36.505917685949832</v>
      </c>
      <c r="P56" s="9">
        <v>2.5138229810501711</v>
      </c>
      <c r="Q56" s="9">
        <v>36.505917685949832</v>
      </c>
      <c r="R56" s="9">
        <v>79.364672013702304</v>
      </c>
      <c r="S56" s="9">
        <v>51.317213991065842</v>
      </c>
      <c r="T56" s="9">
        <v>132.49460495764646</v>
      </c>
      <c r="U56" s="9">
        <v>128.26171352497047</v>
      </c>
      <c r="V56" s="9">
        <v>144.5490715804826</v>
      </c>
      <c r="W56" s="9">
        <v>36678.917554278094</v>
      </c>
      <c r="X56" s="9">
        <v>36767.050717500955</v>
      </c>
      <c r="Y56" s="9">
        <v>88.133163222858514</v>
      </c>
      <c r="Z56" s="9">
        <v>39387.751863972109</v>
      </c>
      <c r="AA56" s="9">
        <v>39484.115257800047</v>
      </c>
      <c r="AB56" s="9">
        <v>96.363393827938268</v>
      </c>
      <c r="AC56" s="9">
        <v>80.225004925586518</v>
      </c>
      <c r="AD56" s="9">
        <v>146.66217011340083</v>
      </c>
      <c r="AE56" s="9">
        <v>100.06458531589384</v>
      </c>
      <c r="AF56" s="9">
        <v>125.01091952117265</v>
      </c>
      <c r="AG56" s="9">
        <v>1442.4157203463649</v>
      </c>
      <c r="AH56" s="9">
        <v>31637.692046892018</v>
      </c>
      <c r="AI56" s="9">
        <v>4084.5936476188858</v>
      </c>
      <c r="AJ56" s="9">
        <v>37616.664094733322</v>
      </c>
      <c r="AK56" s="9">
        <v>56182479.493903279</v>
      </c>
      <c r="AL56" s="9">
        <v>56016432.450142153</v>
      </c>
    </row>
    <row r="57" spans="1:38" x14ac:dyDescent="0.25">
      <c r="A57" s="9">
        <v>55</v>
      </c>
      <c r="B57" s="9">
        <v>49</v>
      </c>
      <c r="C57" s="9">
        <v>3.2916666666666668E-4</v>
      </c>
      <c r="D57" s="9">
        <v>14.572404267158731</v>
      </c>
      <c r="E57" s="9">
        <v>26.871442427878886</v>
      </c>
      <c r="F57" s="9">
        <v>18.369586034826142</v>
      </c>
      <c r="G57" s="9">
        <v>24.499608583817491</v>
      </c>
      <c r="H57" s="9">
        <v>88.805907137761139</v>
      </c>
      <c r="I57" s="9">
        <v>4955.0058502237162</v>
      </c>
      <c r="J57" s="9">
        <v>3466.2915241562782</v>
      </c>
      <c r="K57" s="9">
        <v>1419.3449973564707</v>
      </c>
      <c r="L57" s="9">
        <v>4492.8106474735951</v>
      </c>
      <c r="M57" s="9">
        <v>3.3050055615139984</v>
      </c>
      <c r="N57" s="9">
        <v>188.94566044731664</v>
      </c>
      <c r="O57" s="9">
        <v>36.469024690607753</v>
      </c>
      <c r="P57" s="9">
        <v>2.5102118133922464</v>
      </c>
      <c r="Q57" s="9">
        <v>36.469024690607753</v>
      </c>
      <c r="R57" s="9">
        <v>80.60264297994479</v>
      </c>
      <c r="S57" s="9">
        <v>51.63477079107512</v>
      </c>
      <c r="T57" s="9">
        <v>135.15605902760751</v>
      </c>
      <c r="U57" s="9">
        <v>131.9765060738352</v>
      </c>
      <c r="V57" s="9">
        <v>147.75093803038669</v>
      </c>
      <c r="W57" s="9">
        <v>36678.917554278094</v>
      </c>
      <c r="X57" s="9">
        <v>36767.050717500955</v>
      </c>
      <c r="Y57" s="9">
        <v>88.133163222858514</v>
      </c>
      <c r="Z57" s="9">
        <v>39387.751863972109</v>
      </c>
      <c r="AA57" s="9">
        <v>39484.115257800047</v>
      </c>
      <c r="AB57" s="9">
        <v>96.363393827938268</v>
      </c>
      <c r="AC57" s="9">
        <v>79.371028575124555</v>
      </c>
      <c r="AD57" s="9">
        <v>146.35978975718032</v>
      </c>
      <c r="AE57" s="9">
        <v>100.05301193635304</v>
      </c>
      <c r="AF57" s="9">
        <v>124.68259135114451</v>
      </c>
      <c r="AG57" s="9">
        <v>1439.5437547031081</v>
      </c>
      <c r="AH57" s="9">
        <v>31965.638379659904</v>
      </c>
      <c r="AI57" s="9">
        <v>4109.869581115624</v>
      </c>
      <c r="AJ57" s="9">
        <v>37965.518137098436</v>
      </c>
      <c r="AK57" s="9">
        <v>56220445.012040377</v>
      </c>
      <c r="AL57" s="9">
        <v>56046636.855066076</v>
      </c>
    </row>
    <row r="58" spans="1:38" x14ac:dyDescent="0.25">
      <c r="A58" s="9">
        <v>56</v>
      </c>
      <c r="B58" s="9">
        <v>49</v>
      </c>
      <c r="C58" s="9">
        <v>3.2916666666666668E-4</v>
      </c>
      <c r="D58" s="9">
        <v>14.41728444354429</v>
      </c>
      <c r="E58" s="9">
        <v>26.814736192248656</v>
      </c>
      <c r="F58" s="9">
        <v>18.367074944453186</v>
      </c>
      <c r="G58" s="9">
        <v>24.435751679429742</v>
      </c>
      <c r="H58" s="9">
        <v>88.628927910214827</v>
      </c>
      <c r="I58" s="9">
        <v>4955.2562912349558</v>
      </c>
      <c r="J58" s="9">
        <v>3465.1505365295766</v>
      </c>
      <c r="K58" s="9">
        <v>1418.8777962948409</v>
      </c>
      <c r="L58" s="9">
        <v>4486.449209781581</v>
      </c>
      <c r="M58" s="9">
        <v>3.3001565703112727</v>
      </c>
      <c r="N58" s="9">
        <v>192.2458170176279</v>
      </c>
      <c r="O58" s="9">
        <v>36.431729738253814</v>
      </c>
      <c r="P58" s="9">
        <v>2.5066052847461884</v>
      </c>
      <c r="Q58" s="9">
        <v>36.431729738253814</v>
      </c>
      <c r="R58" s="9">
        <v>81.817162350575302</v>
      </c>
      <c r="S58" s="9">
        <v>51.941982717436751</v>
      </c>
      <c r="T58" s="9">
        <v>137.82167252878685</v>
      </c>
      <c r="U58" s="9">
        <v>135.71727967481286</v>
      </c>
      <c r="V58" s="9">
        <v>150.95052774670359</v>
      </c>
      <c r="W58" s="9">
        <v>36678.917554278094</v>
      </c>
      <c r="X58" s="9">
        <v>36767.050717500955</v>
      </c>
      <c r="Y58" s="9">
        <v>88.133163222858514</v>
      </c>
      <c r="Z58" s="9">
        <v>39387.751863972109</v>
      </c>
      <c r="AA58" s="9">
        <v>39484.115257800047</v>
      </c>
      <c r="AB58" s="9">
        <v>96.363393827938268</v>
      </c>
      <c r="AC58" s="9">
        <v>78.526142602504564</v>
      </c>
      <c r="AD58" s="9">
        <v>146.05092979378099</v>
      </c>
      <c r="AE58" s="9">
        <v>100.03933486412168</v>
      </c>
      <c r="AF58" s="9">
        <v>124.35761292189785</v>
      </c>
      <c r="AG58" s="9">
        <v>1436.6749214245824</v>
      </c>
      <c r="AH58" s="9">
        <v>32287.071658907535</v>
      </c>
      <c r="AI58" s="9">
        <v>4134.3221143943783</v>
      </c>
      <c r="AJ58" s="9">
        <v>38307.042714908799</v>
      </c>
      <c r="AK58" s="9">
        <v>56258752.054755285</v>
      </c>
      <c r="AL58" s="9">
        <v>56076986.511395164</v>
      </c>
    </row>
    <row r="59" spans="1:38" x14ac:dyDescent="0.25">
      <c r="A59" s="9">
        <v>57</v>
      </c>
      <c r="B59" s="9">
        <v>49</v>
      </c>
      <c r="C59" s="9">
        <v>3.2916666666666668E-4</v>
      </c>
      <c r="D59" s="9">
        <v>14.263815834049154</v>
      </c>
      <c r="E59" s="9">
        <v>26.756866692339912</v>
      </c>
      <c r="F59" s="9">
        <v>18.364173065003374</v>
      </c>
      <c r="G59" s="9">
        <v>24.372541947434875</v>
      </c>
      <c r="H59" s="9">
        <v>88.452147717577247</v>
      </c>
      <c r="I59" s="9">
        <v>4955.5060794852479</v>
      </c>
      <c r="J59" s="9">
        <v>3464.009924477969</v>
      </c>
      <c r="K59" s="9">
        <v>1418.4107490202273</v>
      </c>
      <c r="L59" s="9">
        <v>4480.0967793441978</v>
      </c>
      <c r="M59" s="9">
        <v>3.2953142541542606</v>
      </c>
      <c r="N59" s="9">
        <v>195.54113127178215</v>
      </c>
      <c r="O59" s="9">
        <v>36.394044008851054</v>
      </c>
      <c r="P59" s="9">
        <v>2.5030034081489481</v>
      </c>
      <c r="Q59" s="9">
        <v>36.394044008851054</v>
      </c>
      <c r="R59" s="9">
        <v>83.008610714153363</v>
      </c>
      <c r="S59" s="9">
        <v>52.23918668727601</v>
      </c>
      <c r="T59" s="9">
        <v>140.49130987952785</v>
      </c>
      <c r="U59" s="9">
        <v>139.48332756765362</v>
      </c>
      <c r="V59" s="9">
        <v>154.14783292676188</v>
      </c>
      <c r="W59" s="9">
        <v>36678.917554278094</v>
      </c>
      <c r="X59" s="9">
        <v>36767.050717500955</v>
      </c>
      <c r="Y59" s="9">
        <v>88.133163222858514</v>
      </c>
      <c r="Z59" s="9">
        <v>39387.751863972109</v>
      </c>
      <c r="AA59" s="9">
        <v>39484.115257800047</v>
      </c>
      <c r="AB59" s="9">
        <v>96.363393827938268</v>
      </c>
      <c r="AC59" s="9">
        <v>77.690250242787727</v>
      </c>
      <c r="AD59" s="9">
        <v>145.73573391761138</v>
      </c>
      <c r="AE59" s="9">
        <v>100.02352929405171</v>
      </c>
      <c r="AF59" s="9">
        <v>124.03592806082065</v>
      </c>
      <c r="AG59" s="9">
        <v>1433.8093145019272</v>
      </c>
      <c r="AH59" s="9">
        <v>32602.098854418204</v>
      </c>
      <c r="AI59" s="9">
        <v>4157.978064373734</v>
      </c>
      <c r="AJ59" s="9">
        <v>38641.371674809139</v>
      </c>
      <c r="AK59" s="9">
        <v>56297393.426430091</v>
      </c>
      <c r="AL59" s="9">
        <v>56107474.016441725</v>
      </c>
    </row>
    <row r="60" spans="1:38" x14ac:dyDescent="0.25">
      <c r="A60" s="9">
        <v>58</v>
      </c>
      <c r="B60" s="9">
        <v>49</v>
      </c>
      <c r="C60" s="9">
        <v>3.2916666666666668E-4</v>
      </c>
      <c r="D60" s="9">
        <v>14.111980861886529</v>
      </c>
      <c r="E60" s="9">
        <v>26.697859923710038</v>
      </c>
      <c r="F60" s="9">
        <v>18.360876086619285</v>
      </c>
      <c r="G60" s="9">
        <v>24.309968418355041</v>
      </c>
      <c r="H60" s="9">
        <v>88.275572217454211</v>
      </c>
      <c r="I60" s="9">
        <v>4955.7552215901478</v>
      </c>
      <c r="J60" s="9">
        <v>3462.8696878778283</v>
      </c>
      <c r="K60" s="9">
        <v>1417.9438554820081</v>
      </c>
      <c r="L60" s="9">
        <v>4473.7533434079396</v>
      </c>
      <c r="M60" s="9">
        <v>3.2904786236872909</v>
      </c>
      <c r="N60" s="9">
        <v>198.83160989546943</v>
      </c>
      <c r="O60" s="9">
        <v>36.355978426739703</v>
      </c>
      <c r="P60" s="9">
        <v>2.4994061962602974</v>
      </c>
      <c r="Q60" s="9">
        <v>36.355978426739703</v>
      </c>
      <c r="R60" s="9">
        <v>84.177362570942989</v>
      </c>
      <c r="S60" s="9">
        <v>52.526706522987169</v>
      </c>
      <c r="T60" s="9">
        <v>143.1648377920244</v>
      </c>
      <c r="U60" s="9">
        <v>143.2739622041143</v>
      </c>
      <c r="V60" s="9">
        <v>157.34284600310028</v>
      </c>
      <c r="W60" s="9">
        <v>36678.917554278094</v>
      </c>
      <c r="X60" s="9">
        <v>36767.050717500955</v>
      </c>
      <c r="Y60" s="9">
        <v>88.133163222858514</v>
      </c>
      <c r="Z60" s="9">
        <v>39387.751863972109</v>
      </c>
      <c r="AA60" s="9">
        <v>39484.115257800047</v>
      </c>
      <c r="AB60" s="9">
        <v>96.363393827938268</v>
      </c>
      <c r="AC60" s="9">
        <v>76.863255761075294</v>
      </c>
      <c r="AD60" s="9">
        <v>145.41434371780733</v>
      </c>
      <c r="AE60" s="9">
        <v>100.00557175178636</v>
      </c>
      <c r="AF60" s="9">
        <v>123.71748094241185</v>
      </c>
      <c r="AG60" s="9">
        <v>1430.9470256449329</v>
      </c>
      <c r="AH60" s="9">
        <v>32910.825203810607</v>
      </c>
      <c r="AI60" s="9">
        <v>4180.8632056971637</v>
      </c>
      <c r="AJ60" s="9">
        <v>38968.636087325787</v>
      </c>
      <c r="AK60" s="9">
        <v>56336362.062517419</v>
      </c>
      <c r="AL60" s="9">
        <v>56138092.152991071</v>
      </c>
    </row>
    <row r="61" spans="1:38" x14ac:dyDescent="0.25">
      <c r="A61" s="9">
        <v>59</v>
      </c>
      <c r="B61" s="9">
        <v>49</v>
      </c>
      <c r="C61" s="9">
        <v>3.2916666666666668E-4</v>
      </c>
      <c r="D61" s="9">
        <v>13.961762137370384</v>
      </c>
      <c r="E61" s="9">
        <v>26.637741500320232</v>
      </c>
      <c r="F61" s="9">
        <v>18.357179938254692</v>
      </c>
      <c r="G61" s="9">
        <v>24.248020192787582</v>
      </c>
      <c r="H61" s="9">
        <v>88.099206928088947</v>
      </c>
      <c r="I61" s="9">
        <v>4956.0037240530773</v>
      </c>
      <c r="J61" s="9">
        <v>3461.7298266055686</v>
      </c>
      <c r="K61" s="9">
        <v>1417.4771156295785</v>
      </c>
      <c r="L61" s="9">
        <v>4467.4188892373568</v>
      </c>
      <c r="M61" s="9">
        <v>3.2856496891010112</v>
      </c>
      <c r="N61" s="9">
        <v>202.11725958457043</v>
      </c>
      <c r="O61" s="9">
        <v>36.317543664634471</v>
      </c>
      <c r="P61" s="9">
        <v>2.49581366136553</v>
      </c>
      <c r="Q61" s="9">
        <v>36.317543664634471</v>
      </c>
      <c r="R61" s="9">
        <v>85.323786430135584</v>
      </c>
      <c r="S61" s="9">
        <v>52.80485351305294</v>
      </c>
      <c r="T61" s="9">
        <v>145.84212523504272</v>
      </c>
      <c r="U61" s="9">
        <v>147.08851458995883</v>
      </c>
      <c r="V61" s="9">
        <v>160.53555963706663</v>
      </c>
      <c r="W61" s="9">
        <v>36678.917554278094</v>
      </c>
      <c r="X61" s="9">
        <v>36767.050717500955</v>
      </c>
      <c r="Y61" s="9">
        <v>88.133163222858514</v>
      </c>
      <c r="Z61" s="9">
        <v>39387.751863972109</v>
      </c>
      <c r="AA61" s="9">
        <v>39484.115257800047</v>
      </c>
      <c r="AB61" s="9">
        <v>96.363393827938268</v>
      </c>
      <c r="AC61" s="9">
        <v>76.045064441544014</v>
      </c>
      <c r="AD61" s="9">
        <v>145.08689870507752</v>
      </c>
      <c r="AE61" s="9">
        <v>99.985440063693886</v>
      </c>
      <c r="AF61" s="9">
        <v>123.40221609779479</v>
      </c>
      <c r="AG61" s="9">
        <v>1428.088144304322</v>
      </c>
      <c r="AH61" s="9">
        <v>33213.354240176333</v>
      </c>
      <c r="AI61" s="9">
        <v>4203.0023153714483</v>
      </c>
      <c r="AJ61" s="9">
        <v>39288.964319160215</v>
      </c>
      <c r="AK61" s="9">
        <v>56375651.026836582</v>
      </c>
      <c r="AL61" s="9">
        <v>56168833.884821773</v>
      </c>
    </row>
    <row r="62" spans="1:38" x14ac:dyDescent="0.25">
      <c r="A62" s="9">
        <v>60</v>
      </c>
      <c r="B62" s="9">
        <v>50</v>
      </c>
      <c r="C62" s="9">
        <v>3.2916666666666668E-4</v>
      </c>
      <c r="D62" s="9">
        <v>13.813142455923821</v>
      </c>
      <c r="E62" s="9">
        <v>26.576536659405537</v>
      </c>
      <c r="F62" s="9">
        <v>18.353080782251066</v>
      </c>
      <c r="G62" s="9">
        <v>24.186686443196145</v>
      </c>
      <c r="H62" s="9">
        <v>87.923057229749176</v>
      </c>
      <c r="I62" s="9">
        <v>4956.2515932660435</v>
      </c>
      <c r="J62" s="9">
        <v>3460.5903405376444</v>
      </c>
      <c r="K62" s="9">
        <v>1417.0105294123505</v>
      </c>
      <c r="L62" s="9">
        <v>4461.093404115034</v>
      </c>
      <c r="M62" s="9">
        <v>3.2808274601369183</v>
      </c>
      <c r="N62" s="9">
        <v>205.39808704470735</v>
      </c>
      <c r="O62" s="9">
        <v>36.279885423107778</v>
      </c>
      <c r="P62" s="9">
        <v>2.4910905418922202</v>
      </c>
      <c r="Q62" s="9">
        <v>36.279885423107778</v>
      </c>
      <c r="R62" s="9">
        <v>86.447109632030987</v>
      </c>
      <c r="S62" s="9">
        <v>53.073926947842523</v>
      </c>
      <c r="T62" s="9">
        <v>148.52304339723696</v>
      </c>
      <c r="U62" s="9">
        <v>150.92633365341337</v>
      </c>
      <c r="V62" s="9">
        <v>163.72596671263494</v>
      </c>
      <c r="W62" s="9">
        <v>44616.529560434166</v>
      </c>
      <c r="X62" s="9">
        <v>44735.21023921344</v>
      </c>
      <c r="Y62" s="9">
        <v>118.68067877927243</v>
      </c>
      <c r="Z62" s="9">
        <v>49035.968867529853</v>
      </c>
      <c r="AA62" s="9">
        <v>49169.462957438584</v>
      </c>
      <c r="AB62" s="9">
        <v>133.49408990873161</v>
      </c>
      <c r="AC62" s="9">
        <v>75.235582576598404</v>
      </c>
      <c r="AD62" s="9">
        <v>144.75353633822883</v>
      </c>
      <c r="AE62" s="9">
        <v>99.963113327327463</v>
      </c>
      <c r="AF62" s="9">
        <v>123.09007842383237</v>
      </c>
      <c r="AG62" s="9">
        <v>1425.2327576942341</v>
      </c>
      <c r="AH62" s="9">
        <v>33509.78781983861</v>
      </c>
      <c r="AI62" s="9">
        <v>4224.4192154135253</v>
      </c>
      <c r="AJ62" s="9">
        <v>39602.482103612354</v>
      </c>
      <c r="AK62" s="9">
        <v>56415253.508940198</v>
      </c>
      <c r="AL62" s="9">
        <v>56199692.352346838</v>
      </c>
    </row>
    <row r="63" spans="1:38" x14ac:dyDescent="0.25">
      <c r="A63" s="9">
        <v>61</v>
      </c>
      <c r="B63" s="9">
        <v>50</v>
      </c>
      <c r="C63" s="9">
        <v>3.5916666666666665E-4</v>
      </c>
      <c r="D63" s="9">
        <v>13.665690401834944</v>
      </c>
      <c r="E63" s="9">
        <v>26.513472970187049</v>
      </c>
      <c r="F63" s="9">
        <v>18.348024416585805</v>
      </c>
      <c r="G63" s="9">
        <v>24.125230815032118</v>
      </c>
      <c r="H63" s="9">
        <v>87.744490674408908</v>
      </c>
      <c r="I63" s="9">
        <v>4956.4988355103696</v>
      </c>
      <c r="J63" s="9">
        <v>3459.3474118403346</v>
      </c>
      <c r="K63" s="9">
        <v>1416.5015864638699</v>
      </c>
      <c r="L63" s="9">
        <v>4454.6430425394383</v>
      </c>
      <c r="M63" s="9">
        <v>3.2760119460919346</v>
      </c>
      <c r="N63" s="9">
        <v>208.67409899079928</v>
      </c>
      <c r="O63" s="9">
        <v>36.240762723427167</v>
      </c>
      <c r="P63" s="9">
        <v>2.4875090285728287</v>
      </c>
      <c r="Q63" s="9">
        <v>36.240762723427167</v>
      </c>
      <c r="R63" s="9">
        <v>87.546250680352429</v>
      </c>
      <c r="S63" s="9">
        <v>53.332622413725311</v>
      </c>
      <c r="T63" s="9">
        <v>151.20746565106143</v>
      </c>
      <c r="U63" s="9">
        <v>154.78679330424359</v>
      </c>
      <c r="V63" s="9">
        <v>167.20462076142178</v>
      </c>
      <c r="W63" s="9">
        <v>44616.529560434166</v>
      </c>
      <c r="X63" s="9">
        <v>44735.21023921344</v>
      </c>
      <c r="Y63" s="9">
        <v>118.68067877927243</v>
      </c>
      <c r="Z63" s="9">
        <v>49035.968867529853</v>
      </c>
      <c r="AA63" s="9">
        <v>49169.462957438584</v>
      </c>
      <c r="AB63" s="9">
        <v>133.49408990873161</v>
      </c>
      <c r="AC63" s="9">
        <v>74.432460388660985</v>
      </c>
      <c r="AD63" s="9">
        <v>144.41004944428545</v>
      </c>
      <c r="AE63" s="9">
        <v>99.935572989004015</v>
      </c>
      <c r="AF63" s="9">
        <v>122.77732048950095</v>
      </c>
      <c r="AG63" s="9">
        <v>1422.3381938321684</v>
      </c>
      <c r="AH63" s="9">
        <v>33799.218763145996</v>
      </c>
      <c r="AI63" s="9">
        <v>4245.0100810204658</v>
      </c>
      <c r="AJ63" s="9">
        <v>39908.122441310079</v>
      </c>
      <c r="AK63" s="9">
        <v>56455161.631381504</v>
      </c>
      <c r="AL63" s="9">
        <v>56230659.944835171</v>
      </c>
    </row>
    <row r="64" spans="1:38" x14ac:dyDescent="0.25">
      <c r="A64" s="9">
        <v>62</v>
      </c>
      <c r="B64" s="9">
        <v>50</v>
      </c>
      <c r="C64" s="9">
        <v>3.5916666666666665E-4</v>
      </c>
      <c r="D64" s="9">
        <v>13.519812363819845</v>
      </c>
      <c r="E64" s="9">
        <v>26.44937598682829</v>
      </c>
      <c r="F64" s="9">
        <v>18.342558333772192</v>
      </c>
      <c r="G64" s="9">
        <v>24.064371895724392</v>
      </c>
      <c r="H64" s="9">
        <v>87.566160697171213</v>
      </c>
      <c r="I64" s="9">
        <v>4956.7454495401835</v>
      </c>
      <c r="J64" s="9">
        <v>3458.1049295615821</v>
      </c>
      <c r="K64" s="9">
        <v>1415.9928263107315</v>
      </c>
      <c r="L64" s="9">
        <v>4448.2020076379749</v>
      </c>
      <c r="M64" s="9">
        <v>3.2711048754646361</v>
      </c>
      <c r="N64" s="9">
        <v>211.94520386626391</v>
      </c>
      <c r="O64" s="9">
        <v>36.201272712684379</v>
      </c>
      <c r="P64" s="9">
        <v>2.48386174531562</v>
      </c>
      <c r="Q64" s="9">
        <v>36.201272712684379</v>
      </c>
      <c r="R64" s="9">
        <v>88.624091891805961</v>
      </c>
      <c r="S64" s="9">
        <v>53.582793321278153</v>
      </c>
      <c r="T64" s="9">
        <v>153.89518693975131</v>
      </c>
      <c r="U64" s="9">
        <v>158.66916044627777</v>
      </c>
      <c r="V64" s="9">
        <v>170.68063884520495</v>
      </c>
      <c r="W64" s="9">
        <v>44616.529560434166</v>
      </c>
      <c r="X64" s="9">
        <v>44735.21023921344</v>
      </c>
      <c r="Y64" s="9">
        <v>118.68067877927243</v>
      </c>
      <c r="Z64" s="9">
        <v>49035.968867529853</v>
      </c>
      <c r="AA64" s="9">
        <v>49169.462957438584</v>
      </c>
      <c r="AB64" s="9">
        <v>133.49408990873161</v>
      </c>
      <c r="AC64" s="9">
        <v>73.637911341605417</v>
      </c>
      <c r="AD64" s="9">
        <v>144.06093454159142</v>
      </c>
      <c r="AE64" s="9">
        <v>99.905801057945865</v>
      </c>
      <c r="AF64" s="9">
        <v>122.46759930599072</v>
      </c>
      <c r="AG64" s="9">
        <v>1419.4474649011454</v>
      </c>
      <c r="AH64" s="9">
        <v>34082.733636158722</v>
      </c>
      <c r="AI64" s="9">
        <v>4264.9224344071345</v>
      </c>
      <c r="AJ64" s="9">
        <v>40207.175781714133</v>
      </c>
      <c r="AK64" s="9">
        <v>56495368.807163216</v>
      </c>
      <c r="AL64" s="9">
        <v>56261730.135267079</v>
      </c>
    </row>
    <row r="65" spans="1:38" x14ac:dyDescent="0.25">
      <c r="A65" s="9">
        <v>63</v>
      </c>
      <c r="B65" s="9">
        <v>50</v>
      </c>
      <c r="C65" s="9">
        <v>3.5916666666666665E-4</v>
      </c>
      <c r="D65" s="9">
        <v>13.375491539626324</v>
      </c>
      <c r="E65" s="9">
        <v>26.384269938194798</v>
      </c>
      <c r="F65" s="9">
        <v>18.336679401606002</v>
      </c>
      <c r="G65" s="9">
        <v>24.004099029789007</v>
      </c>
      <c r="H65" s="9">
        <v>87.388072251999617</v>
      </c>
      <c r="I65" s="9">
        <v>4956.9914414551886</v>
      </c>
      <c r="J65" s="9">
        <v>3456.8628935410479</v>
      </c>
      <c r="K65" s="9">
        <v>1415.4842488872816</v>
      </c>
      <c r="L65" s="9">
        <v>4441.7702859250667</v>
      </c>
      <c r="M65" s="9">
        <v>3.2662048285108751</v>
      </c>
      <c r="N65" s="9">
        <v>215.21140869477478</v>
      </c>
      <c r="O65" s="9">
        <v>36.161425868963683</v>
      </c>
      <c r="P65" s="9">
        <v>2.4802193870363145</v>
      </c>
      <c r="Q65" s="9">
        <v>36.161425868963683</v>
      </c>
      <c r="R65" s="9">
        <v>89.680980273500609</v>
      </c>
      <c r="S65" s="9">
        <v>53.824706673426178</v>
      </c>
      <c r="T65" s="9">
        <v>156.58608465403069</v>
      </c>
      <c r="U65" s="9">
        <v>162.57283263196769</v>
      </c>
      <c r="V65" s="9">
        <v>174.15401404229451</v>
      </c>
      <c r="W65" s="9">
        <v>44616.529560434166</v>
      </c>
      <c r="X65" s="9">
        <v>44735.21023921344</v>
      </c>
      <c r="Y65" s="9">
        <v>118.68067877927243</v>
      </c>
      <c r="Z65" s="9">
        <v>49035.968867529853</v>
      </c>
      <c r="AA65" s="9">
        <v>49169.462957438584</v>
      </c>
      <c r="AB65" s="9">
        <v>133.49408990873161</v>
      </c>
      <c r="AC65" s="9">
        <v>72.851843919164708</v>
      </c>
      <c r="AD65" s="9">
        <v>143.706323596701</v>
      </c>
      <c r="AE65" s="9">
        <v>99.873780474080689</v>
      </c>
      <c r="AF65" s="9">
        <v>122.16086064576788</v>
      </c>
      <c r="AG65" s="9">
        <v>1416.5606512049139</v>
      </c>
      <c r="AH65" s="9">
        <v>34360.430047825597</v>
      </c>
      <c r="AI65" s="9">
        <v>4284.177527671357</v>
      </c>
      <c r="AJ65" s="9">
        <v>40499.761035337586</v>
      </c>
      <c r="AK65" s="9">
        <v>56535868.568198554</v>
      </c>
      <c r="AL65" s="9">
        <v>56292896.561538093</v>
      </c>
    </row>
    <row r="66" spans="1:38" x14ac:dyDescent="0.25">
      <c r="A66" s="9">
        <v>64</v>
      </c>
      <c r="B66" s="9">
        <v>50</v>
      </c>
      <c r="C66" s="9">
        <v>3.5916666666666665E-4</v>
      </c>
      <c r="D66" s="9">
        <v>13.232711306362278</v>
      </c>
      <c r="E66" s="9">
        <v>26.318178692430205</v>
      </c>
      <c r="F66" s="9">
        <v>18.330384700891994</v>
      </c>
      <c r="G66" s="9">
        <v>23.944401641302488</v>
      </c>
      <c r="H66" s="9">
        <v>87.210230159942753</v>
      </c>
      <c r="I66" s="9">
        <v>4957.2368172461674</v>
      </c>
      <c r="J66" s="9">
        <v>3455.6213036184513</v>
      </c>
      <c r="K66" s="9">
        <v>1414.9758541278895</v>
      </c>
      <c r="L66" s="9">
        <v>4435.3478639346358</v>
      </c>
      <c r="M66" s="9">
        <v>3.2613118126026888</v>
      </c>
      <c r="N66" s="9">
        <v>218.47272050737746</v>
      </c>
      <c r="O66" s="9">
        <v>36.121232428224076</v>
      </c>
      <c r="P66" s="9">
        <v>2.4765819637759208</v>
      </c>
      <c r="Q66" s="9">
        <v>36.121232428224076</v>
      </c>
      <c r="R66" s="9">
        <v>90.717257269542245</v>
      </c>
      <c r="S66" s="9">
        <v>54.058619361768564</v>
      </c>
      <c r="T66" s="9">
        <v>159.28003827658063</v>
      </c>
      <c r="U66" s="9">
        <v>166.49722311305365</v>
      </c>
      <c r="V66" s="9">
        <v>177.62473964986572</v>
      </c>
      <c r="W66" s="9">
        <v>44616.529560434166</v>
      </c>
      <c r="X66" s="9">
        <v>44735.21023921344</v>
      </c>
      <c r="Y66" s="9">
        <v>118.68067877927243</v>
      </c>
      <c r="Z66" s="9">
        <v>49035.968867529853</v>
      </c>
      <c r="AA66" s="9">
        <v>49169.462957438584</v>
      </c>
      <c r="AB66" s="9">
        <v>133.49408990873161</v>
      </c>
      <c r="AC66" s="9">
        <v>72.074167581986529</v>
      </c>
      <c r="AD66" s="9">
        <v>143.3463466114365</v>
      </c>
      <c r="AE66" s="9">
        <v>99.839495337525051</v>
      </c>
      <c r="AF66" s="9">
        <v>121.85705068619524</v>
      </c>
      <c r="AG66" s="9">
        <v>1413.6778308926721</v>
      </c>
      <c r="AH66" s="9">
        <v>34632.404022043775</v>
      </c>
      <c r="AI66" s="9">
        <v>4302.7958080999688</v>
      </c>
      <c r="AJ66" s="9">
        <v>40785.994721253555</v>
      </c>
      <c r="AK66" s="9">
        <v>56576654.56291981</v>
      </c>
      <c r="AL66" s="9">
        <v>56324153.022523031</v>
      </c>
    </row>
    <row r="67" spans="1:38" x14ac:dyDescent="0.25">
      <c r="A67" s="9">
        <v>65</v>
      </c>
      <c r="B67" s="9">
        <v>50</v>
      </c>
      <c r="C67" s="9">
        <v>3.5916666666666665E-4</v>
      </c>
      <c r="D67" s="9">
        <v>13.091455218581075</v>
      </c>
      <c r="E67" s="9">
        <v>26.251125761596434</v>
      </c>
      <c r="F67" s="9">
        <v>18.323671520449892</v>
      </c>
      <c r="G67" s="9">
        <v>23.885269235317061</v>
      </c>
      <c r="H67" s="9">
        <v>87.03263911059139</v>
      </c>
      <c r="I67" s="9">
        <v>4957.4815827957909</v>
      </c>
      <c r="J67" s="9">
        <v>3454.3801596335684</v>
      </c>
      <c r="K67" s="9">
        <v>1414.4676419669486</v>
      </c>
      <c r="L67" s="9">
        <v>4428.9347282200742</v>
      </c>
      <c r="M67" s="9">
        <v>3.2564258346852704</v>
      </c>
      <c r="N67" s="9">
        <v>221.72914634206273</v>
      </c>
      <c r="O67" s="9">
        <v>36.080702390782534</v>
      </c>
      <c r="P67" s="9">
        <v>2.4729494852174678</v>
      </c>
      <c r="Q67" s="9">
        <v>36.080702390782534</v>
      </c>
      <c r="R67" s="9">
        <v>91.733258850019212</v>
      </c>
      <c r="S67" s="9">
        <v>54.284778594597654</v>
      </c>
      <c r="T67" s="9">
        <v>161.97692934792343</v>
      </c>
      <c r="U67" s="9">
        <v>170.44176032324717</v>
      </c>
      <c r="V67" s="9">
        <v>181.09280917824159</v>
      </c>
      <c r="W67" s="9">
        <v>44616.529560434166</v>
      </c>
      <c r="X67" s="9">
        <v>44735.21023921344</v>
      </c>
      <c r="Y67" s="9">
        <v>118.68067877927243</v>
      </c>
      <c r="Z67" s="9">
        <v>49035.968867529853</v>
      </c>
      <c r="AA67" s="9">
        <v>49169.462957438584</v>
      </c>
      <c r="AB67" s="9">
        <v>133.49408990873161</v>
      </c>
      <c r="AC67" s="9">
        <v>71.304792757204922</v>
      </c>
      <c r="AD67" s="9">
        <v>142.98113164816189</v>
      </c>
      <c r="AE67" s="9">
        <v>99.802930881383745</v>
      </c>
      <c r="AF67" s="9">
        <v>121.55611601673441</v>
      </c>
      <c r="AG67" s="9">
        <v>1410.7990799826864</v>
      </c>
      <c r="AH67" s="9">
        <v>34898.750023725981</v>
      </c>
      <c r="AI67" s="9">
        <v>4320.7969522370004</v>
      </c>
      <c r="AJ67" s="9">
        <v>41065.991027249154</v>
      </c>
      <c r="AK67" s="9">
        <v>56617720.553947061</v>
      </c>
      <c r="AL67" s="9">
        <v>56355493.474243693</v>
      </c>
    </row>
    <row r="68" spans="1:38" x14ac:dyDescent="0.25">
      <c r="A68" s="9">
        <v>66</v>
      </c>
      <c r="B68" s="9">
        <v>50</v>
      </c>
      <c r="C68" s="9">
        <v>3.5916666666666665E-4</v>
      </c>
      <c r="D68" s="9">
        <v>12.951707006387368</v>
      </c>
      <c r="E68" s="9">
        <v>26.183134306258236</v>
      </c>
      <c r="F68" s="9">
        <v>18.316537352209291</v>
      </c>
      <c r="G68" s="9">
        <v>23.826691399208002</v>
      </c>
      <c r="H68" s="9">
        <v>86.855303663542813</v>
      </c>
      <c r="I68" s="9">
        <v>4957.7257438794486</v>
      </c>
      <c r="J68" s="9">
        <v>3453.1394614262335</v>
      </c>
      <c r="K68" s="9">
        <v>1413.9596123388756</v>
      </c>
      <c r="L68" s="9">
        <v>4422.530865354217</v>
      </c>
      <c r="M68" s="9">
        <v>3.2515469012817695</v>
      </c>
      <c r="N68" s="9">
        <v>224.98069324334449</v>
      </c>
      <c r="O68" s="9">
        <v>36.039845526310849</v>
      </c>
      <c r="P68" s="9">
        <v>2.469321960689149</v>
      </c>
      <c r="Q68" s="9">
        <v>36.039845526310849</v>
      </c>
      <c r="R68" s="9">
        <v>92.729315598561939</v>
      </c>
      <c r="S68" s="9">
        <v>54.503422305915947</v>
      </c>
      <c r="T68" s="9">
        <v>164.67664143286714</v>
      </c>
      <c r="U68" s="9">
        <v>174.40588738130629</v>
      </c>
      <c r="V68" s="9">
        <v>184.55821634536375</v>
      </c>
      <c r="W68" s="9">
        <v>44616.529560434166</v>
      </c>
      <c r="X68" s="9">
        <v>44735.21023921344</v>
      </c>
      <c r="Y68" s="9">
        <v>118.68067877927243</v>
      </c>
      <c r="Z68" s="9">
        <v>49035.968867529853</v>
      </c>
      <c r="AA68" s="9">
        <v>49169.462957438584</v>
      </c>
      <c r="AB68" s="9">
        <v>133.49408990873161</v>
      </c>
      <c r="AC68" s="9">
        <v>70.543630828123199</v>
      </c>
      <c r="AD68" s="9">
        <v>142.61080485475318</v>
      </c>
      <c r="AE68" s="9">
        <v>99.764073445033262</v>
      </c>
      <c r="AF68" s="9">
        <v>121.25800364580272</v>
      </c>
      <c r="AG68" s="9">
        <v>1407.924472386029</v>
      </c>
      <c r="AH68" s="9">
        <v>35159.560984072355</v>
      </c>
      <c r="AI68" s="9">
        <v>4338.1998984393795</v>
      </c>
      <c r="AJ68" s="9">
        <v>41339.861867671476</v>
      </c>
      <c r="AK68" s="9">
        <v>56659060.415814735</v>
      </c>
      <c r="AL68" s="9">
        <v>56386912.026136696</v>
      </c>
    </row>
    <row r="69" spans="1:38" x14ac:dyDescent="0.25">
      <c r="A69" s="9">
        <v>67</v>
      </c>
      <c r="B69" s="9">
        <v>50</v>
      </c>
      <c r="C69" s="9">
        <v>3.5916666666666665E-4</v>
      </c>
      <c r="D69" s="9">
        <v>12.813450573563125</v>
      </c>
      <c r="E69" s="9">
        <v>26.114227140012744</v>
      </c>
      <c r="F69" s="9">
        <v>18.30897988639213</v>
      </c>
      <c r="G69" s="9">
        <v>23.768657803954742</v>
      </c>
      <c r="H69" s="9">
        <v>86.678228249871893</v>
      </c>
      <c r="I69" s="9">
        <v>4957.969306166091</v>
      </c>
      <c r="J69" s="9">
        <v>3451.8992088363379</v>
      </c>
      <c r="K69" s="9">
        <v>1413.4517651781105</v>
      </c>
      <c r="L69" s="9">
        <v>4416.1362619293132</v>
      </c>
      <c r="M69" s="9">
        <v>3.2466750184981201</v>
      </c>
      <c r="N69" s="9">
        <v>228.2273682618426</v>
      </c>
      <c r="O69" s="9">
        <v>35.998671376832483</v>
      </c>
      <c r="P69" s="9">
        <v>2.4656993991675185</v>
      </c>
      <c r="Q69" s="9">
        <v>35.998671376832483</v>
      </c>
      <c r="R69" s="9">
        <v>93.705752798499532</v>
      </c>
      <c r="S69" s="9">
        <v>54.714779546302331</v>
      </c>
      <c r="T69" s="9">
        <v>167.37906008749346</v>
      </c>
      <c r="U69" s="9">
        <v>178.38906161360362</v>
      </c>
      <c r="V69" s="9">
        <v>188.02095507144347</v>
      </c>
      <c r="W69" s="9">
        <v>44616.529560434166</v>
      </c>
      <c r="X69" s="9">
        <v>44735.21023921344</v>
      </c>
      <c r="Y69" s="9">
        <v>118.68067877927243</v>
      </c>
      <c r="Z69" s="9">
        <v>49035.968867529853</v>
      </c>
      <c r="AA69" s="9">
        <v>49169.462957438584</v>
      </c>
      <c r="AB69" s="9">
        <v>133.49408990873161</v>
      </c>
      <c r="AC69" s="9">
        <v>69.790594124007157</v>
      </c>
      <c r="AD69" s="9">
        <v>142.23549048926941</v>
      </c>
      <c r="AE69" s="9">
        <v>99.722910447882469</v>
      </c>
      <c r="AF69" s="9">
        <v>120.96266100729301</v>
      </c>
      <c r="AG69" s="9">
        <v>1405.0540799304235</v>
      </c>
      <c r="AH69" s="9">
        <v>35414.928324913242</v>
      </c>
      <c r="AI69" s="9">
        <v>4355.0228779879344</v>
      </c>
      <c r="AJ69" s="9">
        <v>41607.716938900056</v>
      </c>
      <c r="AK69" s="9">
        <v>56700668.132753633</v>
      </c>
      <c r="AL69" s="9">
        <v>56418402.937417865</v>
      </c>
    </row>
    <row r="70" spans="1:38" x14ac:dyDescent="0.25">
      <c r="A70" s="9">
        <v>68</v>
      </c>
      <c r="B70" s="9">
        <v>50</v>
      </c>
      <c r="C70" s="9">
        <v>3.5916666666666665E-4</v>
      </c>
      <c r="D70" s="9">
        <v>12.676669995713665</v>
      </c>
      <c r="E70" s="9">
        <v>26.044426733964666</v>
      </c>
      <c r="F70" s="9">
        <v>18.30099700678133</v>
      </c>
      <c r="G70" s="9">
        <v>23.711158205357371</v>
      </c>
      <c r="H70" s="9">
        <v>86.501417173608161</v>
      </c>
      <c r="I70" s="9">
        <v>4958.2122752190808</v>
      </c>
      <c r="J70" s="9">
        <v>3450.659401703831</v>
      </c>
      <c r="K70" s="9">
        <v>1412.9441004191174</v>
      </c>
      <c r="L70" s="9">
        <v>4409.7509045569996</v>
      </c>
      <c r="M70" s="9">
        <v>3.2418101920278923</v>
      </c>
      <c r="N70" s="9">
        <v>231.46917845387048</v>
      </c>
      <c r="O70" s="9">
        <v>35.957189265719272</v>
      </c>
      <c r="P70" s="9">
        <v>2.4620818092807251</v>
      </c>
      <c r="Q70" s="9">
        <v>35.957189265719272</v>
      </c>
      <c r="R70" s="9">
        <v>94.662890517635873</v>
      </c>
      <c r="S70" s="9">
        <v>54.919070856437358</v>
      </c>
      <c r="T70" s="9">
        <v>170.08407282666877</v>
      </c>
      <c r="U70" s="9">
        <v>182.39075409531671</v>
      </c>
      <c r="V70" s="9">
        <v>191.48101947378561</v>
      </c>
      <c r="W70" s="9">
        <v>44616.529560434166</v>
      </c>
      <c r="X70" s="9">
        <v>44735.21023921344</v>
      </c>
      <c r="Y70" s="9">
        <v>118.68067877927243</v>
      </c>
      <c r="Z70" s="9">
        <v>49035.968867529853</v>
      </c>
      <c r="AA70" s="9">
        <v>49169.462957438584</v>
      </c>
      <c r="AB70" s="9">
        <v>133.49408990873161</v>
      </c>
      <c r="AC70" s="9">
        <v>69.045595909987085</v>
      </c>
      <c r="AD70" s="9">
        <v>141.85531094432753</v>
      </c>
      <c r="AE70" s="9">
        <v>99.679430363602307</v>
      </c>
      <c r="AF70" s="9">
        <v>120.67003596676454</v>
      </c>
      <c r="AG70" s="9">
        <v>1402.1879723841885</v>
      </c>
      <c r="AH70" s="9">
        <v>35664.941984313235</v>
      </c>
      <c r="AI70" s="9">
        <v>4371.2834448181311</v>
      </c>
      <c r="AJ70" s="9">
        <v>41869.663774700239</v>
      </c>
      <c r="AK70" s="9">
        <v>56742537.796528332</v>
      </c>
      <c r="AL70" s="9">
        <v>56449960.613541558</v>
      </c>
    </row>
    <row r="71" spans="1:38" x14ac:dyDescent="0.25">
      <c r="A71" s="9">
        <v>69</v>
      </c>
      <c r="B71" s="9">
        <v>50</v>
      </c>
      <c r="C71" s="9">
        <v>3.5916666666666665E-4</v>
      </c>
      <c r="D71" s="9">
        <v>12.541349518433478</v>
      </c>
      <c r="E71" s="9">
        <v>25.973755221147719</v>
      </c>
      <c r="F71" s="9">
        <v>18.292586786074281</v>
      </c>
      <c r="G71" s="9">
        <v>23.654182445190131</v>
      </c>
      <c r="H71" s="9">
        <v>86.324874613218128</v>
      </c>
      <c r="I71" s="9">
        <v>4958.4546564970633</v>
      </c>
      <c r="J71" s="9">
        <v>3449.420039868719</v>
      </c>
      <c r="K71" s="9">
        <v>1412.4366179963836</v>
      </c>
      <c r="L71" s="9">
        <v>4403.3747798682707</v>
      </c>
      <c r="M71" s="9">
        <v>3.2369524271571612</v>
      </c>
      <c r="N71" s="9">
        <v>234.70613088102763</v>
      </c>
      <c r="O71" s="9">
        <v>35.915408299688217</v>
      </c>
      <c r="P71" s="9">
        <v>2.4584691993117862</v>
      </c>
      <c r="Q71" s="9">
        <v>35.915408299688217</v>
      </c>
      <c r="R71" s="9">
        <v>95.601043691667485</v>
      </c>
      <c r="S71" s="9">
        <v>55.116508624107027</v>
      </c>
      <c r="T71" s="9">
        <v>172.79156909210602</v>
      </c>
      <c r="U71" s="9">
        <v>186.41044920954042</v>
      </c>
      <c r="V71" s="9">
        <v>194.93840386178024</v>
      </c>
      <c r="W71" s="9">
        <v>44616.529560434166</v>
      </c>
      <c r="X71" s="9">
        <v>44735.21023921344</v>
      </c>
      <c r="Y71" s="9">
        <v>118.68067877927243</v>
      </c>
      <c r="Z71" s="9">
        <v>49035.968867529853</v>
      </c>
      <c r="AA71" s="9">
        <v>49169.462957438584</v>
      </c>
      <c r="AB71" s="9">
        <v>133.49408990873161</v>
      </c>
      <c r="AC71" s="9">
        <v>68.308550377067675</v>
      </c>
      <c r="AD71" s="9">
        <v>141.47038677118456</v>
      </c>
      <c r="AE71" s="9">
        <v>99.633622694817916</v>
      </c>
      <c r="AF71" s="9">
        <v>120.38007682731343</v>
      </c>
      <c r="AG71" s="9">
        <v>1399.326217480266</v>
      </c>
      <c r="AH71" s="9">
        <v>35909.690439893071</v>
      </c>
      <c r="AI71" s="9">
        <v>4386.9985039357989</v>
      </c>
      <c r="AJ71" s="9">
        <v>42125.80779797952</v>
      </c>
      <c r="AK71" s="9">
        <v>56784663.604326308</v>
      </c>
      <c r="AL71" s="9">
        <v>56481579.60275051</v>
      </c>
    </row>
    <row r="72" spans="1:38" x14ac:dyDescent="0.25">
      <c r="A72" s="9">
        <v>70</v>
      </c>
      <c r="B72" s="9">
        <v>50</v>
      </c>
      <c r="C72" s="9">
        <v>3.5916666666666665E-4</v>
      </c>
      <c r="D72" s="9">
        <v>12.407473555491642</v>
      </c>
      <c r="E72" s="9">
        <v>25.902234400892958</v>
      </c>
      <c r="F72" s="9">
        <v>18.283747481319846</v>
      </c>
      <c r="G72" s="9">
        <v>23.597720452293473</v>
      </c>
      <c r="H72" s="9">
        <v>86.148604623092254</v>
      </c>
      <c r="I72" s="9">
        <v>4958.6964553548432</v>
      </c>
      <c r="J72" s="9">
        <v>3448.1811231710662</v>
      </c>
      <c r="K72" s="9">
        <v>1411.92931784442</v>
      </c>
      <c r="L72" s="9">
        <v>4397.0078745134506</v>
      </c>
      <c r="M72" s="9">
        <v>3.2321017287693938</v>
      </c>
      <c r="N72" s="9">
        <v>237.93823260979704</v>
      </c>
      <c r="O72" s="9">
        <v>35.873337374798098</v>
      </c>
      <c r="P72" s="9">
        <v>2.4548615772019033</v>
      </c>
      <c r="Q72" s="9">
        <v>35.873337374798098</v>
      </c>
      <c r="R72" s="9">
        <v>96.520522206264999</v>
      </c>
      <c r="S72" s="9">
        <v>55.307297425391354</v>
      </c>
      <c r="T72" s="9">
        <v>175.50144022092763</v>
      </c>
      <c r="U72" s="9">
        <v>190.44764422344272</v>
      </c>
      <c r="V72" s="9">
        <v>198.39310273205365</v>
      </c>
      <c r="W72" s="9">
        <v>44616.529560434166</v>
      </c>
      <c r="X72" s="9">
        <v>44735.21023921344</v>
      </c>
      <c r="Y72" s="9">
        <v>118.68067877927243</v>
      </c>
      <c r="Z72" s="9">
        <v>49035.968867529853</v>
      </c>
      <c r="AA72" s="9">
        <v>49169.462957438584</v>
      </c>
      <c r="AB72" s="9">
        <v>133.49408990873161</v>
      </c>
      <c r="AC72" s="9">
        <v>67.579372632244471</v>
      </c>
      <c r="AD72" s="9">
        <v>141.08083670353031</v>
      </c>
      <c r="AE72" s="9">
        <v>99.585477948255416</v>
      </c>
      <c r="AF72" s="9">
        <v>120.09273233513019</v>
      </c>
      <c r="AG72" s="9">
        <v>1396.4688809403256</v>
      </c>
      <c r="AH72" s="9">
        <v>36149.260732878742</v>
      </c>
      <c r="AI72" s="9">
        <v>4402.1843385740249</v>
      </c>
      <c r="AJ72" s="9">
        <v>42376.252372012255</v>
      </c>
      <c r="AK72" s="9">
        <v>56827039.856698319</v>
      </c>
      <c r="AL72" s="9">
        <v>56513254.592714354</v>
      </c>
    </row>
    <row r="73" spans="1:38" x14ac:dyDescent="0.25">
      <c r="A73" s="9">
        <v>71</v>
      </c>
      <c r="B73" s="9">
        <v>50</v>
      </c>
      <c r="C73" s="9">
        <v>3.5916666666666665E-4</v>
      </c>
      <c r="D73" s="9">
        <v>12.275026687036586</v>
      </c>
      <c r="E73" s="9">
        <v>25.829885743144612</v>
      </c>
      <c r="F73" s="9">
        <v>18.274477529437569</v>
      </c>
      <c r="G73" s="9">
        <v>23.541762243606208</v>
      </c>
      <c r="H73" s="9">
        <v>85.972611135035805</v>
      </c>
      <c r="I73" s="9">
        <v>4958.9376770442759</v>
      </c>
      <c r="J73" s="9">
        <v>3446.9426514509942</v>
      </c>
      <c r="K73" s="9">
        <v>1411.4221998977609</v>
      </c>
      <c r="L73" s="9">
        <v>4390.6501751621681</v>
      </c>
      <c r="M73" s="9">
        <v>3.2272581013503503</v>
      </c>
      <c r="N73" s="9">
        <v>241.16549071114738</v>
      </c>
      <c r="O73" s="9">
        <v>35.830985181446195</v>
      </c>
      <c r="P73" s="9">
        <v>2.4512589505538096</v>
      </c>
      <c r="Q73" s="9">
        <v>35.830985181446195</v>
      </c>
      <c r="R73" s="9">
        <v>97.421630977839669</v>
      </c>
      <c r="S73" s="9">
        <v>55.491634350776181</v>
      </c>
      <c r="T73" s="9">
        <v>178.21357941474596</v>
      </c>
      <c r="U73" s="9">
        <v>194.50184888079986</v>
      </c>
      <c r="V73" s="9">
        <v>201.84511076377356</v>
      </c>
      <c r="W73" s="9">
        <v>44616.529560434166</v>
      </c>
      <c r="X73" s="9">
        <v>44735.21023921344</v>
      </c>
      <c r="Y73" s="9">
        <v>118.68067877927243</v>
      </c>
      <c r="Z73" s="9">
        <v>49035.968867529853</v>
      </c>
      <c r="AA73" s="9">
        <v>49169.462957438584</v>
      </c>
      <c r="AB73" s="9">
        <v>133.49408990873161</v>
      </c>
      <c r="AC73" s="9">
        <v>66.857978688725936</v>
      </c>
      <c r="AD73" s="9">
        <v>140.68677768099431</v>
      </c>
      <c r="AE73" s="9">
        <v>99.534987610336614</v>
      </c>
      <c r="AF73" s="9">
        <v>119.80795168475258</v>
      </c>
      <c r="AG73" s="9">
        <v>1393.6160264989305</v>
      </c>
      <c r="AH73" s="9">
        <v>36383.738491518612</v>
      </c>
      <c r="AI73" s="9">
        <v>4416.8566361500298</v>
      </c>
      <c r="AJ73" s="9">
        <v>42621.098849832379</v>
      </c>
      <c r="AK73" s="9">
        <v>56869660.955548152</v>
      </c>
      <c r="AL73" s="9">
        <v>56544980.407253876</v>
      </c>
    </row>
    <row r="74" spans="1:38" x14ac:dyDescent="0.25">
      <c r="A74" s="9">
        <v>72</v>
      </c>
      <c r="B74" s="9">
        <v>51</v>
      </c>
      <c r="C74" s="9">
        <v>3.5916666666666665E-4</v>
      </c>
      <c r="D74" s="9">
        <v>12.143993657820044</v>
      </c>
      <c r="E74" s="9">
        <v>25.756730392723991</v>
      </c>
      <c r="F74" s="9">
        <v>18.264775542817794</v>
      </c>
      <c r="G74" s="9">
        <v>23.486297925139255</v>
      </c>
      <c r="H74" s="9">
        <v>85.796897959763172</v>
      </c>
      <c r="I74" s="9">
        <v>4959.1783267151668</v>
      </c>
      <c r="J74" s="9">
        <v>3445.7046245486813</v>
      </c>
      <c r="K74" s="9">
        <v>1410.9152640909642</v>
      </c>
      <c r="L74" s="9">
        <v>4384.3016685033244</v>
      </c>
      <c r="M74" s="9">
        <v>3.2224215489930024</v>
      </c>
      <c r="N74" s="9">
        <v>244.38791226014038</v>
      </c>
      <c r="O74" s="9">
        <v>35.789541306250499</v>
      </c>
      <c r="P74" s="9">
        <v>2.4464802287494987</v>
      </c>
      <c r="Q74" s="9">
        <v>35.789541306250499</v>
      </c>
      <c r="R74" s="9">
        <v>98.303488935130559</v>
      </c>
      <c r="S74" s="9">
        <v>55.669709316863653</v>
      </c>
      <c r="T74" s="9">
        <v>180.92788170924698</v>
      </c>
      <c r="U74" s="9">
        <v>198.57258501019768</v>
      </c>
      <c r="V74" s="9">
        <v>205.2944228141026</v>
      </c>
      <c r="W74" s="9">
        <v>52104.087037793914</v>
      </c>
      <c r="X74" s="9">
        <v>52254.031535497328</v>
      </c>
      <c r="Y74" s="9">
        <v>149.94449770341564</v>
      </c>
      <c r="Z74" s="9">
        <v>58592.200424043112</v>
      </c>
      <c r="AA74" s="9">
        <v>58765.595949618066</v>
      </c>
      <c r="AB74" s="9">
        <v>173.39552557495418</v>
      </c>
      <c r="AC74" s="9">
        <v>66.144285456259837</v>
      </c>
      <c r="AD74" s="9">
        <v>140.28832487237</v>
      </c>
      <c r="AE74" s="9">
        <v>99.482144123214255</v>
      </c>
      <c r="AF74" s="9">
        <v>119.52568452402119</v>
      </c>
      <c r="AG74" s="9">
        <v>1390.7677159277612</v>
      </c>
      <c r="AH74" s="9">
        <v>36613.20795387416</v>
      </c>
      <c r="AI74" s="9">
        <v>4431.0305130757624</v>
      </c>
      <c r="AJ74" s="9">
        <v>42860.446621853545</v>
      </c>
      <c r="AK74" s="9">
        <v>56912521.402170002</v>
      </c>
      <c r="AL74" s="9">
        <v>56576752.003148325</v>
      </c>
    </row>
    <row r="75" spans="1:38" x14ac:dyDescent="0.25">
      <c r="A75" s="9">
        <v>73</v>
      </c>
      <c r="B75" s="9">
        <v>51</v>
      </c>
      <c r="C75" s="9">
        <v>3.925E-4</v>
      </c>
      <c r="D75" s="9">
        <v>12.013954575651344</v>
      </c>
      <c r="E75" s="9">
        <v>25.681930615862367</v>
      </c>
      <c r="F75" s="9">
        <v>18.254031479150029</v>
      </c>
      <c r="G75" s="9">
        <v>23.430534816294955</v>
      </c>
      <c r="H75" s="9">
        <v>85.618608891796086</v>
      </c>
      <c r="I75" s="9">
        <v>4959.4184094161828</v>
      </c>
      <c r="J75" s="9">
        <v>3444.3521854835458</v>
      </c>
      <c r="K75" s="9">
        <v>1410.3614798498086</v>
      </c>
      <c r="L75" s="9">
        <v>4377.8161978561175</v>
      </c>
      <c r="M75" s="9">
        <v>3.2175920754024565</v>
      </c>
      <c r="N75" s="9">
        <v>247.60550433554283</v>
      </c>
      <c r="O75" s="9">
        <v>35.746611280918707</v>
      </c>
      <c r="P75" s="9">
        <v>2.4428893480812945</v>
      </c>
      <c r="Q75" s="9">
        <v>35.746611280918707</v>
      </c>
      <c r="R75" s="9">
        <v>99.164316310488246</v>
      </c>
      <c r="S75" s="9">
        <v>55.839849707349046</v>
      </c>
      <c r="T75" s="9">
        <v>183.64424394426436</v>
      </c>
      <c r="U75" s="9">
        <v>202.65939412290425</v>
      </c>
      <c r="V75" s="9">
        <v>209.06090501353304</v>
      </c>
      <c r="W75" s="9">
        <v>52104.087037793914</v>
      </c>
      <c r="X75" s="9">
        <v>52254.031535497328</v>
      </c>
      <c r="Y75" s="9">
        <v>149.94449770341564</v>
      </c>
      <c r="Z75" s="9">
        <v>58592.200424043112</v>
      </c>
      <c r="AA75" s="9">
        <v>58765.595949618066</v>
      </c>
      <c r="AB75" s="9">
        <v>173.39552557495418</v>
      </c>
      <c r="AC75" s="9">
        <v>65.436005922047642</v>
      </c>
      <c r="AD75" s="9">
        <v>139.88091542106369</v>
      </c>
      <c r="AE75" s="9">
        <v>99.423624789770486</v>
      </c>
      <c r="AF75" s="9">
        <v>119.24189676926107</v>
      </c>
      <c r="AG75" s="9">
        <v>1387.8776501360146</v>
      </c>
      <c r="AH75" s="9">
        <v>36836.529372649726</v>
      </c>
      <c r="AI75" s="9">
        <v>4444.5728374564469</v>
      </c>
      <c r="AJ75" s="9">
        <v>43092.962303144333</v>
      </c>
      <c r="AK75" s="9">
        <v>56955614.364473149</v>
      </c>
      <c r="AL75" s="9">
        <v>56608563.410757117</v>
      </c>
    </row>
    <row r="76" spans="1:38" x14ac:dyDescent="0.25">
      <c r="A76" s="9">
        <v>74</v>
      </c>
      <c r="B76" s="9">
        <v>51</v>
      </c>
      <c r="C76" s="9">
        <v>3.925E-4</v>
      </c>
      <c r="D76" s="9">
        <v>11.885307964803673</v>
      </c>
      <c r="E76" s="9">
        <v>25.606370435435352</v>
      </c>
      <c r="F76" s="9">
        <v>18.242853810712106</v>
      </c>
      <c r="G76" s="9">
        <v>23.375249771965638</v>
      </c>
      <c r="H76" s="9">
        <v>85.440619191366707</v>
      </c>
      <c r="I76" s="9">
        <v>4959.6579220930162</v>
      </c>
      <c r="J76" s="9">
        <v>3443.0002772507437</v>
      </c>
      <c r="K76" s="9">
        <v>1409.8079129689675</v>
      </c>
      <c r="L76" s="9">
        <v>4371.3403208301297</v>
      </c>
      <c r="M76" s="9">
        <v>3.212662430831712</v>
      </c>
      <c r="N76" s="9">
        <v>250.81816676637453</v>
      </c>
      <c r="O76" s="9">
        <v>35.703391526414777</v>
      </c>
      <c r="P76" s="9">
        <v>2.4392301945852246</v>
      </c>
      <c r="Q76" s="9">
        <v>35.703391526414777</v>
      </c>
      <c r="R76" s="9">
        <v>100.00763067761504</v>
      </c>
      <c r="S76" s="9">
        <v>56.004076177562517</v>
      </c>
      <c r="T76" s="9">
        <v>186.36247414226747</v>
      </c>
      <c r="U76" s="9">
        <v>206.76168460188791</v>
      </c>
      <c r="V76" s="9">
        <v>212.82430479612333</v>
      </c>
      <c r="W76" s="9">
        <v>52104.087037793914</v>
      </c>
      <c r="X76" s="9">
        <v>52254.031535497328</v>
      </c>
      <c r="Y76" s="9">
        <v>149.94449770341564</v>
      </c>
      <c r="Z76" s="9">
        <v>58592.200424043112</v>
      </c>
      <c r="AA76" s="9">
        <v>58765.595949618066</v>
      </c>
      <c r="AB76" s="9">
        <v>173.39552557495418</v>
      </c>
      <c r="AC76" s="9">
        <v>64.735310714964001</v>
      </c>
      <c r="AD76" s="9">
        <v>139.46936430500455</v>
      </c>
      <c r="AE76" s="9">
        <v>99.362743755678594</v>
      </c>
      <c r="AF76" s="9">
        <v>118.96054196449512</v>
      </c>
      <c r="AG76" s="9">
        <v>1384.9924370920544</v>
      </c>
      <c r="AH76" s="9">
        <v>37054.989872662314</v>
      </c>
      <c r="AI76" s="9">
        <v>4457.6444433530887</v>
      </c>
      <c r="AJ76" s="9">
        <v>43320.154713847602</v>
      </c>
      <c r="AK76" s="9">
        <v>56998934.519186996</v>
      </c>
      <c r="AL76" s="9">
        <v>56640409.839315109</v>
      </c>
    </row>
    <row r="77" spans="1:38" x14ac:dyDescent="0.25">
      <c r="A77" s="9">
        <v>75</v>
      </c>
      <c r="B77" s="9">
        <v>51</v>
      </c>
      <c r="C77" s="9">
        <v>3.925E-4</v>
      </c>
      <c r="D77" s="9">
        <v>11.758038914556749</v>
      </c>
      <c r="E77" s="9">
        <v>25.530070122257765</v>
      </c>
      <c r="F77" s="9">
        <v>18.231241694093423</v>
      </c>
      <c r="G77" s="9">
        <v>23.320433123037532</v>
      </c>
      <c r="H77" s="9">
        <v>85.262932285560666</v>
      </c>
      <c r="I77" s="9">
        <v>4959.8968696325592</v>
      </c>
      <c r="J77" s="9">
        <v>3441.648899641923</v>
      </c>
      <c r="K77" s="9">
        <v>1409.2545633631271</v>
      </c>
      <c r="L77" s="9">
        <v>4364.8740232340124</v>
      </c>
      <c r="M77" s="9">
        <v>3.2077401963620136</v>
      </c>
      <c r="N77" s="9">
        <v>254.02590696273654</v>
      </c>
      <c r="O77" s="9">
        <v>35.659890833427724</v>
      </c>
      <c r="P77" s="9">
        <v>2.4355762785722743</v>
      </c>
      <c r="Q77" s="9">
        <v>35.659890833427724</v>
      </c>
      <c r="R77" s="9">
        <v>100.83371912222398</v>
      </c>
      <c r="S77" s="9">
        <v>56.162559406426084</v>
      </c>
      <c r="T77" s="9">
        <v>189.08247249122073</v>
      </c>
      <c r="U77" s="9">
        <v>210.87901096781013</v>
      </c>
      <c r="V77" s="9">
        <v>216.58461729528608</v>
      </c>
      <c r="W77" s="9">
        <v>52104.087037793914</v>
      </c>
      <c r="X77" s="9">
        <v>52254.031535497328</v>
      </c>
      <c r="Y77" s="9">
        <v>149.94449770341564</v>
      </c>
      <c r="Z77" s="9">
        <v>58592.200424043112</v>
      </c>
      <c r="AA77" s="9">
        <v>58765.595949618066</v>
      </c>
      <c r="AB77" s="9">
        <v>173.39552557495418</v>
      </c>
      <c r="AC77" s="9">
        <v>64.042118621285752</v>
      </c>
      <c r="AD77" s="9">
        <v>139.05378193256396</v>
      </c>
      <c r="AE77" s="9">
        <v>99.299496427162168</v>
      </c>
      <c r="AF77" s="9">
        <v>118.68157090199183</v>
      </c>
      <c r="AG77" s="9">
        <v>1382.1121323489385</v>
      </c>
      <c r="AH77" s="9">
        <v>37268.670240990992</v>
      </c>
      <c r="AI77" s="9">
        <v>4470.2589159544841</v>
      </c>
      <c r="AJ77" s="9">
        <v>43542.118257177419</v>
      </c>
      <c r="AK77" s="9">
        <v>57042476.637444176</v>
      </c>
      <c r="AL77" s="9">
        <v>56672286.622478798</v>
      </c>
    </row>
    <row r="78" spans="1:38" x14ac:dyDescent="0.25">
      <c r="A78" s="9">
        <v>76</v>
      </c>
      <c r="B78" s="9">
        <v>51</v>
      </c>
      <c r="C78" s="9">
        <v>3.925E-4</v>
      </c>
      <c r="D78" s="9">
        <v>11.632132673855756</v>
      </c>
      <c r="E78" s="9">
        <v>25.4530496358724</v>
      </c>
      <c r="F78" s="9">
        <v>18.219194444654132</v>
      </c>
      <c r="G78" s="9">
        <v>23.26607529409506</v>
      </c>
      <c r="H78" s="9">
        <v>85.085551485912021</v>
      </c>
      <c r="I78" s="9">
        <v>4960.1352568228649</v>
      </c>
      <c r="J78" s="9">
        <v>3440.2980524488135</v>
      </c>
      <c r="K78" s="9">
        <v>1408.7014309470071</v>
      </c>
      <c r="L78" s="9">
        <v>4358.4172908974115</v>
      </c>
      <c r="M78" s="9">
        <v>3.2028253738398198</v>
      </c>
      <c r="N78" s="9">
        <v>257.22873233657634</v>
      </c>
      <c r="O78" s="9">
        <v>35.616117789460304</v>
      </c>
      <c r="P78" s="9">
        <v>2.4319276055396988</v>
      </c>
      <c r="Q78" s="9">
        <v>35.616117789460304</v>
      </c>
      <c r="R78" s="9">
        <v>101.64286411526828</v>
      </c>
      <c r="S78" s="9">
        <v>56.315463995721764</v>
      </c>
      <c r="T78" s="9">
        <v>191.80414090846315</v>
      </c>
      <c r="U78" s="9">
        <v>215.01093845453235</v>
      </c>
      <c r="V78" s="9">
        <v>220.34183782119428</v>
      </c>
      <c r="W78" s="9">
        <v>52104.087037793914</v>
      </c>
      <c r="X78" s="9">
        <v>52254.031535497328</v>
      </c>
      <c r="Y78" s="9">
        <v>149.94449770341564</v>
      </c>
      <c r="Z78" s="9">
        <v>58592.200424043112</v>
      </c>
      <c r="AA78" s="9">
        <v>58765.595949618066</v>
      </c>
      <c r="AB78" s="9">
        <v>173.39552557495418</v>
      </c>
      <c r="AC78" s="9">
        <v>63.356349296934347</v>
      </c>
      <c r="AD78" s="9">
        <v>138.63427701671833</v>
      </c>
      <c r="AE78" s="9">
        <v>99.233879075216166</v>
      </c>
      <c r="AF78" s="9">
        <v>118.40493485086543</v>
      </c>
      <c r="AG78" s="9">
        <v>1379.2367895866339</v>
      </c>
      <c r="AH78" s="9">
        <v>37477.649949206774</v>
      </c>
      <c r="AI78" s="9">
        <v>4482.4293567394734</v>
      </c>
      <c r="AJ78" s="9">
        <v>43758.945535772618</v>
      </c>
      <c r="AK78" s="9">
        <v>57086235.582979947</v>
      </c>
      <c r="AL78" s="9">
        <v>56704189.21542263</v>
      </c>
    </row>
    <row r="79" spans="1:38" x14ac:dyDescent="0.25">
      <c r="A79" s="9">
        <v>77</v>
      </c>
      <c r="B79" s="9">
        <v>51</v>
      </c>
      <c r="C79" s="9">
        <v>3.925E-4</v>
      </c>
      <c r="D79" s="9">
        <v>11.507574649601626</v>
      </c>
      <c r="E79" s="9">
        <v>25.375328628614962</v>
      </c>
      <c r="F79" s="9">
        <v>18.206711532484704</v>
      </c>
      <c r="G79" s="9">
        <v>23.212166804108644</v>
      </c>
      <c r="H79" s="9">
        <v>84.90847998992453</v>
      </c>
      <c r="I79" s="9">
        <v>4960.3730883541029</v>
      </c>
      <c r="J79" s="9">
        <v>3438.9477354632272</v>
      </c>
      <c r="K79" s="9">
        <v>1408.1485156353604</v>
      </c>
      <c r="L79" s="9">
        <v>4351.9701096709332</v>
      </c>
      <c r="M79" s="9">
        <v>3.1979179647432114</v>
      </c>
      <c r="N79" s="9">
        <v>260.42665030131957</v>
      </c>
      <c r="O79" s="9">
        <v>35.57208078133354</v>
      </c>
      <c r="P79" s="9">
        <v>2.4282841806664592</v>
      </c>
      <c r="Q79" s="9">
        <v>35.57208078133354</v>
      </c>
      <c r="R79" s="9">
        <v>102.43534358689138</v>
      </c>
      <c r="S79" s="9">
        <v>56.462948719729447</v>
      </c>
      <c r="T79" s="9">
        <v>194.52738301238992</v>
      </c>
      <c r="U79" s="9">
        <v>219.15704268471725</v>
      </c>
      <c r="V79" s="9">
        <v>224.09596185650753</v>
      </c>
      <c r="W79" s="9">
        <v>52104.087037793914</v>
      </c>
      <c r="X79" s="9">
        <v>52254.031535497328</v>
      </c>
      <c r="Y79" s="9">
        <v>149.94449770341564</v>
      </c>
      <c r="Z79" s="9">
        <v>58592.200424043112</v>
      </c>
      <c r="AA79" s="9">
        <v>58765.595949618066</v>
      </c>
      <c r="AB79" s="9">
        <v>173.39552557495418</v>
      </c>
      <c r="AC79" s="9">
        <v>62.677923258163517</v>
      </c>
      <c r="AD79" s="9">
        <v>138.21095659718949</v>
      </c>
      <c r="AE79" s="9">
        <v>99.16588881360002</v>
      </c>
      <c r="AF79" s="9">
        <v>118.13058556057624</v>
      </c>
      <c r="AG79" s="9">
        <v>1376.3664606366767</v>
      </c>
      <c r="AH79" s="9">
        <v>37682.007174248029</v>
      </c>
      <c r="AI79" s="9">
        <v>4494.1684033468655</v>
      </c>
      <c r="AJ79" s="9">
        <v>43970.7273924611</v>
      </c>
      <c r="AK79" s="9">
        <v>57130206.310372405</v>
      </c>
      <c r="AL79" s="9">
        <v>56736113.192007057</v>
      </c>
    </row>
    <row r="80" spans="1:38" x14ac:dyDescent="0.25">
      <c r="A80" s="9">
        <v>78</v>
      </c>
      <c r="B80" s="9">
        <v>51</v>
      </c>
      <c r="C80" s="9">
        <v>3.925E-4</v>
      </c>
      <c r="D80" s="9">
        <v>11.384350404959635</v>
      </c>
      <c r="E80" s="9">
        <v>25.296926449629797</v>
      </c>
      <c r="F80" s="9">
        <v>18.193792578439929</v>
      </c>
      <c r="G80" s="9">
        <v>23.158698267072364</v>
      </c>
      <c r="H80" s="9">
        <v>84.731720882592555</v>
      </c>
      <c r="I80" s="9">
        <v>4960.6103688195271</v>
      </c>
      <c r="J80" s="9">
        <v>3437.5979484770578</v>
      </c>
      <c r="K80" s="9">
        <v>1407.5958173429735</v>
      </c>
      <c r="L80" s="9">
        <v>4345.532465426114</v>
      </c>
      <c r="M80" s="9">
        <v>3.1930179701868999</v>
      </c>
      <c r="N80" s="9">
        <v>263.61966827150644</v>
      </c>
      <c r="O80" s="9">
        <v>35.5277880021832</v>
      </c>
      <c r="P80" s="9">
        <v>2.4246460088168025</v>
      </c>
      <c r="Q80" s="9">
        <v>35.5277880021832</v>
      </c>
      <c r="R80" s="9">
        <v>103.21143099919043</v>
      </c>
      <c r="S80" s="9">
        <v>56.605166763895973</v>
      </c>
      <c r="T80" s="9">
        <v>197.25210409458319</v>
      </c>
      <c r="U80" s="9">
        <v>223.31690935751999</v>
      </c>
      <c r="V80" s="9">
        <v>227.84698505222644</v>
      </c>
      <c r="W80" s="9">
        <v>52104.087037793914</v>
      </c>
      <c r="X80" s="9">
        <v>52254.031535497328</v>
      </c>
      <c r="Y80" s="9">
        <v>149.94449770341564</v>
      </c>
      <c r="Z80" s="9">
        <v>58592.200424043112</v>
      </c>
      <c r="AA80" s="9">
        <v>58765.595949618066</v>
      </c>
      <c r="AB80" s="9">
        <v>173.39552557495418</v>
      </c>
      <c r="AC80" s="9">
        <v>62.006761872346807</v>
      </c>
      <c r="AD80" s="9">
        <v>137.78392606231697</v>
      </c>
      <c r="AE80" s="9">
        <v>99.095523577236136</v>
      </c>
      <c r="AF80" s="9">
        <v>117.85847526417577</v>
      </c>
      <c r="AG80" s="9">
        <v>1373.5011955068253</v>
      </c>
      <c r="AH80" s="9">
        <v>37881.818820198394</v>
      </c>
      <c r="AI80" s="9">
        <v>4505.4882485723001</v>
      </c>
      <c r="AJ80" s="9">
        <v>44177.552951053593</v>
      </c>
      <c r="AK80" s="9">
        <v>57174383.863323458</v>
      </c>
      <c r="AL80" s="9">
        <v>56768054.242017142</v>
      </c>
    </row>
    <row r="81" spans="1:38" x14ac:dyDescent="0.25">
      <c r="A81" s="9">
        <v>79</v>
      </c>
      <c r="B81" s="9">
        <v>51</v>
      </c>
      <c r="C81" s="9">
        <v>3.925E-4</v>
      </c>
      <c r="D81" s="9">
        <v>11.262445657686111</v>
      </c>
      <c r="E81" s="9">
        <v>25.217862148836964</v>
      </c>
      <c r="F81" s="9">
        <v>18.180437350246073</v>
      </c>
      <c r="G81" s="9">
        <v>23.105660392592853</v>
      </c>
      <c r="H81" s="9">
        <v>84.555277137921024</v>
      </c>
      <c r="I81" s="9">
        <v>4960.8471027164442</v>
      </c>
      <c r="J81" s="9">
        <v>3436.2486912822806</v>
      </c>
      <c r="K81" s="9">
        <v>1407.0433359846663</v>
      </c>
      <c r="L81" s="9">
        <v>4339.1043440553904</v>
      </c>
      <c r="M81" s="9">
        <v>3.1881253909272425</v>
      </c>
      <c r="N81" s="9">
        <v>266.80779366243371</v>
      </c>
      <c r="O81" s="9">
        <v>35.483247451456137</v>
      </c>
      <c r="P81" s="9">
        <v>2.4210130945438633</v>
      </c>
      <c r="Q81" s="9">
        <v>35.483247451456137</v>
      </c>
      <c r="R81" s="9">
        <v>103.97139541781235</v>
      </c>
      <c r="S81" s="9">
        <v>56.742265953056467</v>
      </c>
      <c r="T81" s="9">
        <v>199.97821109241116</v>
      </c>
      <c r="U81" s="9">
        <v>227.49013394793482</v>
      </c>
      <c r="V81" s="9">
        <v>231.59490322367213</v>
      </c>
      <c r="W81" s="9">
        <v>52104.087037793914</v>
      </c>
      <c r="X81" s="9">
        <v>52254.031535497328</v>
      </c>
      <c r="Y81" s="9">
        <v>149.94449770341564</v>
      </c>
      <c r="Z81" s="9">
        <v>58592.200424043112</v>
      </c>
      <c r="AA81" s="9">
        <v>58765.595949618066</v>
      </c>
      <c r="AB81" s="9">
        <v>173.39552557495418</v>
      </c>
      <c r="AC81" s="9">
        <v>61.342787348863681</v>
      </c>
      <c r="AD81" s="9">
        <v>137.35328917066533</v>
      </c>
      <c r="AE81" s="9">
        <v>99.022782101006939</v>
      </c>
      <c r="AF81" s="9">
        <v>117.58855668130379</v>
      </c>
      <c r="AG81" s="9">
        <v>1370.6410424056999</v>
      </c>
      <c r="AH81" s="9">
        <v>38077.160537834636</v>
      </c>
      <c r="AI81" s="9">
        <v>4516.4006585335292</v>
      </c>
      <c r="AJ81" s="9">
        <v>44379.509654075708</v>
      </c>
      <c r="AK81" s="9">
        <v>57218763.372977532</v>
      </c>
      <c r="AL81" s="9">
        <v>56800008.168468371</v>
      </c>
    </row>
    <row r="82" spans="1:38" x14ac:dyDescent="0.25">
      <c r="A82" s="9">
        <v>80</v>
      </c>
      <c r="B82" s="9">
        <v>51</v>
      </c>
      <c r="C82" s="9">
        <v>3.925E-4</v>
      </c>
      <c r="D82" s="9">
        <v>11.141846278473057</v>
      </c>
      <c r="E82" s="9">
        <v>25.138154480851245</v>
      </c>
      <c r="F82" s="9">
        <v>18.16664575868009</v>
      </c>
      <c r="G82" s="9">
        <v>23.053043986430673</v>
      </c>
      <c r="H82" s="9">
        <v>84.379151620444034</v>
      </c>
      <c r="I82" s="9">
        <v>4961.0832944471931</v>
      </c>
      <c r="J82" s="9">
        <v>3434.8999636709523</v>
      </c>
      <c r="K82" s="9">
        <v>1406.4910714752923</v>
      </c>
      <c r="L82" s="9">
        <v>4332.6857314720673</v>
      </c>
      <c r="M82" s="9">
        <v>3.1832402273672531</v>
      </c>
      <c r="N82" s="9">
        <v>269.99103388980097</v>
      </c>
      <c r="O82" s="9">
        <v>35.438466944906722</v>
      </c>
      <c r="P82" s="9">
        <v>2.4173854420932792</v>
      </c>
      <c r="Q82" s="9">
        <v>35.438466944906722</v>
      </c>
      <c r="R82" s="9">
        <v>104.71550158240129</v>
      </c>
      <c r="S82" s="9">
        <v>56.87438896963792</v>
      </c>
      <c r="T82" s="9">
        <v>202.70561256204806</v>
      </c>
      <c r="U82" s="9">
        <v>231.67632141719577</v>
      </c>
      <c r="V82" s="9">
        <v>235.33971234658367</v>
      </c>
      <c r="W82" s="9">
        <v>52104.087037793914</v>
      </c>
      <c r="X82" s="9">
        <v>52254.031535497328</v>
      </c>
      <c r="Y82" s="9">
        <v>149.94449770341564</v>
      </c>
      <c r="Z82" s="9">
        <v>58592.200424043112</v>
      </c>
      <c r="AA82" s="9">
        <v>58765.595949618066</v>
      </c>
      <c r="AB82" s="9">
        <v>173.39552557495418</v>
      </c>
      <c r="AC82" s="9">
        <v>60.685922730083249</v>
      </c>
      <c r="AD82" s="9">
        <v>136.91914807236978</v>
      </c>
      <c r="AE82" s="9">
        <v>98.947663898944214</v>
      </c>
      <c r="AF82" s="9">
        <v>117.32078302094342</v>
      </c>
      <c r="AG82" s="9">
        <v>1367.7860477673978</v>
      </c>
      <c r="AH82" s="9">
        <v>38268.106746591271</v>
      </c>
      <c r="AI82" s="9">
        <v>4526.9169900383304</v>
      </c>
      <c r="AJ82" s="9">
        <v>44576.683302119338</v>
      </c>
      <c r="AK82" s="9">
        <v>57263340.056279652</v>
      </c>
      <c r="AL82" s="9">
        <v>56831970.88497968</v>
      </c>
    </row>
    <row r="83" spans="1:38" x14ac:dyDescent="0.25">
      <c r="A83" s="9">
        <v>81</v>
      </c>
      <c r="B83" s="9">
        <v>51</v>
      </c>
      <c r="C83" s="9">
        <v>3.925E-4</v>
      </c>
      <c r="D83" s="9">
        <v>11.022538289310498</v>
      </c>
      <c r="E83" s="9">
        <v>25.057821908853626</v>
      </c>
      <c r="F83" s="9">
        <v>18.152417853819721</v>
      </c>
      <c r="G83" s="9">
        <v>23.00083995099547</v>
      </c>
      <c r="H83" s="9">
        <v>84.203347086741559</v>
      </c>
      <c r="I83" s="9">
        <v>4961.3189483201259</v>
      </c>
      <c r="J83" s="9">
        <v>3433.5517654352116</v>
      </c>
      <c r="K83" s="9">
        <v>1405.9390237297382</v>
      </c>
      <c r="L83" s="9">
        <v>4326.2766136102882</v>
      </c>
      <c r="M83" s="9">
        <v>3.1783624795616063</v>
      </c>
      <c r="N83" s="9">
        <v>273.16939636936257</v>
      </c>
      <c r="O83" s="9">
        <v>35.393454113593172</v>
      </c>
      <c r="P83" s="9">
        <v>2.4137630554068235</v>
      </c>
      <c r="Q83" s="9">
        <v>35.393454113593172</v>
      </c>
      <c r="R83" s="9">
        <v>105.44400997591592</v>
      </c>
      <c r="S83" s="9">
        <v>57.001673562355073</v>
      </c>
      <c r="T83" s="9">
        <v>205.43421865196646</v>
      </c>
      <c r="U83" s="9">
        <v>235.8750859339315</v>
      </c>
      <c r="V83" s="9">
        <v>239.08140855333292</v>
      </c>
      <c r="W83" s="9">
        <v>52104.087037793914</v>
      </c>
      <c r="X83" s="9">
        <v>52254.031535497328</v>
      </c>
      <c r="Y83" s="9">
        <v>149.94449770341564</v>
      </c>
      <c r="Z83" s="9">
        <v>58592.200424043112</v>
      </c>
      <c r="AA83" s="9">
        <v>58765.595949618066</v>
      </c>
      <c r="AB83" s="9">
        <v>173.39552557495418</v>
      </c>
      <c r="AC83" s="9">
        <v>60.036091882444509</v>
      </c>
      <c r="AD83" s="9">
        <v>136.48160333022275</v>
      </c>
      <c r="AE83" s="9">
        <v>98.870169243804739</v>
      </c>
      <c r="AF83" s="9">
        <v>117.05510798394111</v>
      </c>
      <c r="AG83" s="9">
        <v>1364.9362562760807</v>
      </c>
      <c r="AH83" s="9">
        <v>38454.730653213199</v>
      </c>
      <c r="AI83" s="9">
        <v>4537.0482071956521</v>
      </c>
      <c r="AJ83" s="9">
        <v>44769.158089125347</v>
      </c>
      <c r="AK83" s="9">
        <v>57308109.214368775</v>
      </c>
      <c r="AL83" s="9">
        <v>56863938.413209707</v>
      </c>
    </row>
    <row r="84" spans="1:38" x14ac:dyDescent="0.25">
      <c r="A84" s="9">
        <v>82</v>
      </c>
      <c r="B84" s="9">
        <v>51</v>
      </c>
      <c r="C84" s="9">
        <v>3.925E-4</v>
      </c>
      <c r="D84" s="9">
        <v>10.904507861866369</v>
      </c>
      <c r="E84" s="9">
        <v>24.976882608415824</v>
      </c>
      <c r="F84" s="9">
        <v>18.137753821363347</v>
      </c>
      <c r="G84" s="9">
        <v>22.949039285796133</v>
      </c>
      <c r="H84" s="9">
        <v>84.027866186953872</v>
      </c>
      <c r="I84" s="9">
        <v>4961.5540685505975</v>
      </c>
      <c r="J84" s="9">
        <v>3432.2040963672785</v>
      </c>
      <c r="K84" s="9">
        <v>1405.3871926629242</v>
      </c>
      <c r="L84" s="9">
        <v>4319.8769764250019</v>
      </c>
      <c r="M84" s="9">
        <v>3.1734921472216358</v>
      </c>
      <c r="N84" s="9">
        <v>276.3428885165842</v>
      </c>
      <c r="O84" s="9">
        <v>35.348216410873952</v>
      </c>
      <c r="P84" s="9">
        <v>2.4101459381260493</v>
      </c>
      <c r="Q84" s="9">
        <v>35.348216410873952</v>
      </c>
      <c r="R84" s="9">
        <v>106.15717689283483</v>
      </c>
      <c r="S84" s="9">
        <v>57.124252745762483</v>
      </c>
      <c r="T84" s="9">
        <v>208.16394107683112</v>
      </c>
      <c r="U84" s="9">
        <v>240.08605060545</v>
      </c>
      <c r="V84" s="9">
        <v>242.81998812924826</v>
      </c>
      <c r="W84" s="9">
        <v>52104.087037793914</v>
      </c>
      <c r="X84" s="9">
        <v>52254.031535497328</v>
      </c>
      <c r="Y84" s="9">
        <v>149.94449770341564</v>
      </c>
      <c r="Z84" s="9">
        <v>58592.200424043112</v>
      </c>
      <c r="AA84" s="9">
        <v>58765.595949618066</v>
      </c>
      <c r="AB84" s="9">
        <v>173.39552557495418</v>
      </c>
      <c r="AC84" s="9">
        <v>59.393219487632152</v>
      </c>
      <c r="AD84" s="9">
        <v>136.04075394050486</v>
      </c>
      <c r="AE84" s="9">
        <v>98.790299147025692</v>
      </c>
      <c r="AF84" s="9">
        <v>116.79148576529748</v>
      </c>
      <c r="AG84" s="9">
        <v>1362.0917108905223</v>
      </c>
      <c r="AH84" s="9">
        <v>38637.104272288991</v>
      </c>
      <c r="AI84" s="9">
        <v>4546.8048972989645</v>
      </c>
      <c r="AJ84" s="9">
        <v>44957.016638818939</v>
      </c>
      <c r="AK84" s="9">
        <v>57353066.231007591</v>
      </c>
      <c r="AL84" s="9">
        <v>56895906.880356036</v>
      </c>
    </row>
    <row r="85" spans="1:38" x14ac:dyDescent="0.25">
      <c r="A85" s="9">
        <v>83</v>
      </c>
      <c r="B85" s="9">
        <v>51</v>
      </c>
      <c r="C85" s="9">
        <v>3.925E-4</v>
      </c>
      <c r="D85" s="9">
        <v>10.78774131588375</v>
      </c>
      <c r="E85" s="9">
        <v>24.895354471278381</v>
      </c>
      <c r="F85" s="9">
        <v>18.122653979018494</v>
      </c>
      <c r="G85" s="9">
        <v>22.897633087847176</v>
      </c>
      <c r="H85" s="9">
        <v>83.852711466293101</v>
      </c>
      <c r="I85" s="9">
        <v>4961.788659261957</v>
      </c>
      <c r="J85" s="9">
        <v>3430.8569562594544</v>
      </c>
      <c r="K85" s="9">
        <v>1404.835578189804</v>
      </c>
      <c r="L85" s="9">
        <v>4313.4868058919346</v>
      </c>
      <c r="M85" s="9">
        <v>3.1686292297203265</v>
      </c>
      <c r="N85" s="9">
        <v>279.51151774630455</v>
      </c>
      <c r="O85" s="9">
        <v>35.302761117404053</v>
      </c>
      <c r="P85" s="9">
        <v>2.4065340935959427</v>
      </c>
      <c r="Q85" s="9">
        <v>35.302761117404053</v>
      </c>
      <c r="R85" s="9">
        <v>106.85525450626785</v>
      </c>
      <c r="S85" s="9">
        <v>57.242254991121214</v>
      </c>
      <c r="T85" s="9">
        <v>210.89469309183465</v>
      </c>
      <c r="U85" s="9">
        <v>244.30884721885968</v>
      </c>
      <c r="V85" s="9">
        <v>246.55544750904636</v>
      </c>
      <c r="W85" s="9">
        <v>52104.087037793914</v>
      </c>
      <c r="X85" s="9">
        <v>52254.031535497328</v>
      </c>
      <c r="Y85" s="9">
        <v>149.94449770341564</v>
      </c>
      <c r="Z85" s="9">
        <v>58592.200424043112</v>
      </c>
      <c r="AA85" s="9">
        <v>58765.595949618066</v>
      </c>
      <c r="AB85" s="9">
        <v>173.39552557495418</v>
      </c>
      <c r="AC85" s="9">
        <v>58.757231033846821</v>
      </c>
      <c r="AD85" s="9">
        <v>135.59669735356292</v>
      </c>
      <c r="AE85" s="9">
        <v>98.708055339054056</v>
      </c>
      <c r="AF85" s="9">
        <v>116.52987105623558</v>
      </c>
      <c r="AG85" s="9">
        <v>1359.2524528686113</v>
      </c>
      <c r="AH85" s="9">
        <v>38815.298445939457</v>
      </c>
      <c r="AI85" s="9">
        <v>4556.1972860182932</v>
      </c>
      <c r="AJ85" s="9">
        <v>45140.340039609058</v>
      </c>
      <c r="AK85" s="9">
        <v>57398206.571047202</v>
      </c>
      <c r="AL85" s="9">
        <v>56927872.516715296</v>
      </c>
    </row>
    <row r="86" spans="1:38" x14ac:dyDescent="0.25">
      <c r="A86" s="9">
        <v>84</v>
      </c>
      <c r="B86" s="9">
        <v>52</v>
      </c>
      <c r="C86" s="9">
        <v>3.925E-4</v>
      </c>
      <c r="D86" s="9">
        <v>10.672225117595261</v>
      </c>
      <c r="E86" s="9">
        <v>24.813255109082881</v>
      </c>
      <c r="F86" s="9">
        <v>18.107118772957893</v>
      </c>
      <c r="G86" s="9">
        <v>22.846612552032539</v>
      </c>
      <c r="H86" s="9">
        <v>83.677885366551664</v>
      </c>
      <c r="I86" s="9">
        <v>4962.0227244865464</v>
      </c>
      <c r="J86" s="9">
        <v>3429.5103449041226</v>
      </c>
      <c r="K86" s="9">
        <v>1404.2841802253645</v>
      </c>
      <c r="L86" s="9">
        <v>4307.1060880075574</v>
      </c>
      <c r="M86" s="9">
        <v>3.1637737260972982</v>
      </c>
      <c r="N86" s="9">
        <v>282.67529147240185</v>
      </c>
      <c r="O86" s="9">
        <v>35.258384309751001</v>
      </c>
      <c r="P86" s="9">
        <v>2.4016385562489946</v>
      </c>
      <c r="Q86" s="9">
        <v>35.258384309751001</v>
      </c>
      <c r="R86" s="9">
        <v>107.53720196537151</v>
      </c>
      <c r="S86" s="9">
        <v>57.355804408959408</v>
      </c>
      <c r="T86" s="9">
        <v>213.62638946745682</v>
      </c>
      <c r="U86" s="9">
        <v>248.54311599158976</v>
      </c>
      <c r="V86" s="9">
        <v>250.2877832733673</v>
      </c>
      <c r="W86" s="9">
        <v>59162.712353745956</v>
      </c>
      <c r="X86" s="9">
        <v>59343.950204517205</v>
      </c>
      <c r="Y86" s="9">
        <v>181.23785077125621</v>
      </c>
      <c r="Z86" s="9">
        <v>68051.433438755703</v>
      </c>
      <c r="AA86" s="9">
        <v>68266.765050357411</v>
      </c>
      <c r="AB86" s="9">
        <v>215.3316116017063</v>
      </c>
      <c r="AC86" s="9">
        <v>58.128052807168849</v>
      </c>
      <c r="AD86" s="9">
        <v>135.14952949413808</v>
      </c>
      <c r="AE86" s="9">
        <v>98.623440250043984</v>
      </c>
      <c r="AF86" s="9">
        <v>116.27021904605226</v>
      </c>
      <c r="AG86" s="9">
        <v>1356.4185217918025</v>
      </c>
      <c r="AH86" s="9">
        <v>38989.382861847036</v>
      </c>
      <c r="AI86" s="9">
        <v>4565.2352519311244</v>
      </c>
      <c r="AJ86" s="9">
        <v>45319.20787716737</v>
      </c>
      <c r="AK86" s="9">
        <v>57443525.778924368</v>
      </c>
      <c r="AL86" s="9">
        <v>56959831.65330144</v>
      </c>
    </row>
    <row r="87" spans="1:38" x14ac:dyDescent="0.25">
      <c r="A87" s="9">
        <v>85</v>
      </c>
      <c r="B87" s="9">
        <v>52</v>
      </c>
      <c r="C87" s="9">
        <v>4.2916666666666667E-4</v>
      </c>
      <c r="D87" s="9">
        <v>10.55755456323346</v>
      </c>
      <c r="E87" s="9">
        <v>24.729692037704833</v>
      </c>
      <c r="F87" s="9">
        <v>18.090484846653652</v>
      </c>
      <c r="G87" s="9">
        <v>22.79513126230108</v>
      </c>
      <c r="H87" s="9">
        <v>83.500322038476867</v>
      </c>
      <c r="I87" s="9">
        <v>4962.2562681666977</v>
      </c>
      <c r="J87" s="9">
        <v>3428.0385133811014</v>
      </c>
      <c r="K87" s="9">
        <v>1403.6815082646845</v>
      </c>
      <c r="L87" s="9">
        <v>4300.5768815658284</v>
      </c>
      <c r="M87" s="9">
        <v>3.1589256350637736</v>
      </c>
      <c r="N87" s="9">
        <v>285.83421710746563</v>
      </c>
      <c r="O87" s="9">
        <v>35.212479776123303</v>
      </c>
      <c r="P87" s="9">
        <v>2.3980391978766966</v>
      </c>
      <c r="Q87" s="9">
        <v>35.212479776123303</v>
      </c>
      <c r="R87" s="9">
        <v>108.20063201144454</v>
      </c>
      <c r="S87" s="9">
        <v>57.462917877509355</v>
      </c>
      <c r="T87" s="9">
        <v>216.35894646461205</v>
      </c>
      <c r="U87" s="9">
        <v>252.78851403386176</v>
      </c>
      <c r="V87" s="9">
        <v>254.36536834576793</v>
      </c>
      <c r="W87" s="9">
        <v>59162.712353745956</v>
      </c>
      <c r="X87" s="9">
        <v>59343.950204517205</v>
      </c>
      <c r="Y87" s="9">
        <v>181.23785077125621</v>
      </c>
      <c r="Z87" s="9">
        <v>68051.433438755703</v>
      </c>
      <c r="AA87" s="9">
        <v>68266.765050357411</v>
      </c>
      <c r="AB87" s="9">
        <v>215.3316116017063</v>
      </c>
      <c r="AC87" s="9">
        <v>57.503480521078238</v>
      </c>
      <c r="AD87" s="9">
        <v>134.69438929869898</v>
      </c>
      <c r="AE87" s="9">
        <v>98.532840798106889</v>
      </c>
      <c r="AF87" s="9">
        <v>116.00822218239391</v>
      </c>
      <c r="AG87" s="9">
        <v>1353.5402202437101</v>
      </c>
      <c r="AH87" s="9">
        <v>39157.994086183484</v>
      </c>
      <c r="AI87" s="9">
        <v>4573.7609484603572</v>
      </c>
      <c r="AJ87" s="9">
        <v>45492.03418768783</v>
      </c>
      <c r="AK87" s="9">
        <v>57489017.813112058</v>
      </c>
      <c r="AL87" s="9">
        <v>56991779.550880797</v>
      </c>
    </row>
    <row r="88" spans="1:38" x14ac:dyDescent="0.25">
      <c r="A88" s="9">
        <v>86</v>
      </c>
      <c r="B88" s="9">
        <v>52</v>
      </c>
      <c r="C88" s="9">
        <v>4.2916666666666667E-4</v>
      </c>
      <c r="D88" s="9">
        <v>10.444116117067724</v>
      </c>
      <c r="E88" s="9">
        <v>24.645598233556235</v>
      </c>
      <c r="F88" s="9">
        <v>18.073418016007469</v>
      </c>
      <c r="G88" s="9">
        <v>22.744022063907984</v>
      </c>
      <c r="H88" s="9">
        <v>83.323104819472448</v>
      </c>
      <c r="I88" s="9">
        <v>4962.4892855924718</v>
      </c>
      <c r="J88" s="9">
        <v>3426.5673135191087</v>
      </c>
      <c r="K88" s="9">
        <v>1403.0790949507209</v>
      </c>
      <c r="L88" s="9">
        <v>4294.0575728456524</v>
      </c>
      <c r="M88" s="9">
        <v>3.1539691277342552</v>
      </c>
      <c r="N88" s="9">
        <v>288.98818623519986</v>
      </c>
      <c r="O88" s="9">
        <v>35.166343147925431</v>
      </c>
      <c r="P88" s="9">
        <v>2.3943651830745667</v>
      </c>
      <c r="Q88" s="9">
        <v>35.166343147925431</v>
      </c>
      <c r="R88" s="9">
        <v>108.84968670579697</v>
      </c>
      <c r="S88" s="9">
        <v>57.565806365210506</v>
      </c>
      <c r="T88" s="9">
        <v>219.09218156554485</v>
      </c>
      <c r="U88" s="9">
        <v>257.04454174859683</v>
      </c>
      <c r="V88" s="9">
        <v>258.43938147124874</v>
      </c>
      <c r="W88" s="9">
        <v>59162.712353745956</v>
      </c>
      <c r="X88" s="9">
        <v>59343.950204517205</v>
      </c>
      <c r="Y88" s="9">
        <v>181.23785077125621</v>
      </c>
      <c r="Z88" s="9">
        <v>68051.433438755703</v>
      </c>
      <c r="AA88" s="9">
        <v>68266.765050357411</v>
      </c>
      <c r="AB88" s="9">
        <v>215.3316116017063</v>
      </c>
      <c r="AC88" s="9">
        <v>56.885619117628863</v>
      </c>
      <c r="AD88" s="9">
        <v>134.23635837876961</v>
      </c>
      <c r="AE88" s="9">
        <v>98.439883460520676</v>
      </c>
      <c r="AF88" s="9">
        <v>115.7481189535717</v>
      </c>
      <c r="AG88" s="9">
        <v>1350.6675291236484</v>
      </c>
      <c r="AH88" s="9">
        <v>39322.616844693213</v>
      </c>
      <c r="AI88" s="9">
        <v>4581.9503576389297</v>
      </c>
      <c r="AJ88" s="9">
        <v>45660.544711366281</v>
      </c>
      <c r="AK88" s="9">
        <v>57534678.357823424</v>
      </c>
      <c r="AL88" s="9">
        <v>57023712.734180965</v>
      </c>
    </row>
    <row r="89" spans="1:38" x14ac:dyDescent="0.25">
      <c r="A89" s="9">
        <v>87</v>
      </c>
      <c r="B89" s="9">
        <v>52</v>
      </c>
      <c r="C89" s="9">
        <v>4.2916666666666667E-4</v>
      </c>
      <c r="D89" s="9">
        <v>10.331896540384635</v>
      </c>
      <c r="E89" s="9">
        <v>24.560990548640699</v>
      </c>
      <c r="F89" s="9">
        <v>18.055919139669058</v>
      </c>
      <c r="G89" s="9">
        <v>22.693276406396325</v>
      </c>
      <c r="H89" s="9">
        <v>83.146235812723617</v>
      </c>
      <c r="I89" s="9">
        <v>4962.7217805674773</v>
      </c>
      <c r="J89" s="9">
        <v>3425.0967450470566</v>
      </c>
      <c r="K89" s="9">
        <v>1402.4769401724711</v>
      </c>
      <c r="L89" s="9">
        <v>4287.5481468429261</v>
      </c>
      <c r="M89" s="9">
        <v>3.1490203886815316</v>
      </c>
      <c r="N89" s="9">
        <v>292.13720662388141</v>
      </c>
      <c r="O89" s="9">
        <v>35.11998198305335</v>
      </c>
      <c r="P89" s="9">
        <v>2.3906966909466449</v>
      </c>
      <c r="Q89" s="9">
        <v>35.11998198305335</v>
      </c>
      <c r="R89" s="9">
        <v>109.48460345008257</v>
      </c>
      <c r="S89" s="9">
        <v>57.664582335828015</v>
      </c>
      <c r="T89" s="9">
        <v>221.82601383687879</v>
      </c>
      <c r="U89" s="9">
        <v>261.31086210439577</v>
      </c>
      <c r="V89" s="9">
        <v>262.50981962086871</v>
      </c>
      <c r="W89" s="9">
        <v>59162.712353745956</v>
      </c>
      <c r="X89" s="9">
        <v>59343.950204517205</v>
      </c>
      <c r="Y89" s="9">
        <v>181.23785077125621</v>
      </c>
      <c r="Z89" s="9">
        <v>68051.433438755703</v>
      </c>
      <c r="AA89" s="9">
        <v>68266.765050357411</v>
      </c>
      <c r="AB89" s="9">
        <v>215.3316116017063</v>
      </c>
      <c r="AC89" s="9">
        <v>56.274396489961646</v>
      </c>
      <c r="AD89" s="9">
        <v>133.77552852159633</v>
      </c>
      <c r="AE89" s="9">
        <v>98.34457291406413</v>
      </c>
      <c r="AF89" s="9">
        <v>115.48986584488529</v>
      </c>
      <c r="AG89" s="9">
        <v>1347.8004825242499</v>
      </c>
      <c r="AH89" s="9">
        <v>39483.318021948209</v>
      </c>
      <c r="AI89" s="9">
        <v>4589.8124310202311</v>
      </c>
      <c r="AJ89" s="9">
        <v>45824.815299263195</v>
      </c>
      <c r="AK89" s="9">
        <v>57580503.173122689</v>
      </c>
      <c r="AL89" s="9">
        <v>57055627.822314642</v>
      </c>
    </row>
    <row r="90" spans="1:38" x14ac:dyDescent="0.25">
      <c r="A90" s="9">
        <v>88</v>
      </c>
      <c r="B90" s="9">
        <v>52</v>
      </c>
      <c r="C90" s="9">
        <v>4.2916666666666667E-4</v>
      </c>
      <c r="D90" s="9">
        <v>10.220882736717641</v>
      </c>
      <c r="E90" s="9">
        <v>24.475885566876201</v>
      </c>
      <c r="F90" s="9">
        <v>18.03798919110924</v>
      </c>
      <c r="G90" s="9">
        <v>22.642885839482076</v>
      </c>
      <c r="H90" s="9">
        <v>82.969717023677831</v>
      </c>
      <c r="I90" s="9">
        <v>4962.9537568079186</v>
      </c>
      <c r="J90" s="9">
        <v>3423.6268076939741</v>
      </c>
      <c r="K90" s="9">
        <v>1401.8750438189804</v>
      </c>
      <c r="L90" s="9">
        <v>4281.0485885762901</v>
      </c>
      <c r="M90" s="9">
        <v>3.14407941482667</v>
      </c>
      <c r="N90" s="9">
        <v>295.28128603870806</v>
      </c>
      <c r="O90" s="9">
        <v>35.073403660130921</v>
      </c>
      <c r="P90" s="9">
        <v>2.3870337228690794</v>
      </c>
      <c r="Q90" s="9">
        <v>35.073403660130921</v>
      </c>
      <c r="R90" s="9">
        <v>110.10561581796732</v>
      </c>
      <c r="S90" s="9">
        <v>57.759354534682487</v>
      </c>
      <c r="T90" s="9">
        <v>224.56036377478554</v>
      </c>
      <c r="U90" s="9">
        <v>265.58714563341886</v>
      </c>
      <c r="V90" s="9">
        <v>266.57667991163021</v>
      </c>
      <c r="W90" s="9">
        <v>59162.712353745956</v>
      </c>
      <c r="X90" s="9">
        <v>59343.950204517205</v>
      </c>
      <c r="Y90" s="9">
        <v>181.23785077125621</v>
      </c>
      <c r="Z90" s="9">
        <v>68051.433438755703</v>
      </c>
      <c r="AA90" s="9">
        <v>68266.765050357411</v>
      </c>
      <c r="AB90" s="9">
        <v>215.3316116017063</v>
      </c>
      <c r="AC90" s="9">
        <v>55.669741305988751</v>
      </c>
      <c r="AD90" s="9">
        <v>133.31199005425236</v>
      </c>
      <c r="AE90" s="9">
        <v>98.246914460908314</v>
      </c>
      <c r="AF90" s="9">
        <v>115.23341985143087</v>
      </c>
      <c r="AG90" s="9">
        <v>1344.9391129538178</v>
      </c>
      <c r="AH90" s="9">
        <v>39640.163408364875</v>
      </c>
      <c r="AI90" s="9">
        <v>4597.3558241880528</v>
      </c>
      <c r="AJ90" s="9">
        <v>45984.920411179322</v>
      </c>
      <c r="AK90" s="9">
        <v>57626488.093533866</v>
      </c>
      <c r="AL90" s="9">
        <v>57087521.526600868</v>
      </c>
    </row>
    <row r="91" spans="1:38" x14ac:dyDescent="0.25">
      <c r="A91" s="9">
        <v>89</v>
      </c>
      <c r="B91" s="9">
        <v>52</v>
      </c>
      <c r="C91" s="9">
        <v>4.2916666666666667E-4</v>
      </c>
      <c r="D91" s="9">
        <v>10.111061750318653</v>
      </c>
      <c r="E91" s="9">
        <v>24.390299607654697</v>
      </c>
      <c r="F91" s="9">
        <v>18.019629255376785</v>
      </c>
      <c r="G91" s="9">
        <v>22.592842013203803</v>
      </c>
      <c r="H91" s="9">
        <v>82.793550361548967</v>
      </c>
      <c r="I91" s="9">
        <v>4963.1852179436191</v>
      </c>
      <c r="J91" s="9">
        <v>3422.1575011890054</v>
      </c>
      <c r="K91" s="9">
        <v>1401.2734057793414</v>
      </c>
      <c r="L91" s="9">
        <v>4274.5588830870956</v>
      </c>
      <c r="M91" s="9">
        <v>3.1391462027824839</v>
      </c>
      <c r="N91" s="9">
        <v>298.42043224149052</v>
      </c>
      <c r="O91" s="9">
        <v>35.026615384056534</v>
      </c>
      <c r="P91" s="9">
        <v>2.3833762799434681</v>
      </c>
      <c r="Q91" s="9">
        <v>35.026615384056534</v>
      </c>
      <c r="R91" s="9">
        <v>110.71295361660152</v>
      </c>
      <c r="S91" s="9">
        <v>57.850228135307425</v>
      </c>
      <c r="T91" s="9">
        <v>227.29515328143188</v>
      </c>
      <c r="U91" s="9">
        <v>269.87307022208984</v>
      </c>
      <c r="V91" s="9">
        <v>270.63995960316925</v>
      </c>
      <c r="W91" s="9">
        <v>59162.712353745956</v>
      </c>
      <c r="X91" s="9">
        <v>59343.950204517205</v>
      </c>
      <c r="Y91" s="9">
        <v>181.23785077125621</v>
      </c>
      <c r="Z91" s="9">
        <v>68051.433438755703</v>
      </c>
      <c r="AA91" s="9">
        <v>68266.765050357411</v>
      </c>
      <c r="AB91" s="9">
        <v>215.3316116017063</v>
      </c>
      <c r="AC91" s="9">
        <v>55.071583000068927</v>
      </c>
      <c r="AD91" s="9">
        <v>132.84583186302592</v>
      </c>
      <c r="AE91" s="9">
        <v>98.146914010952216</v>
      </c>
      <c r="AF91" s="9">
        <v>114.97873847886302</v>
      </c>
      <c r="AG91" s="9">
        <v>1342.0834513607088</v>
      </c>
      <c r="AH91" s="9">
        <v>39793.217718503016</v>
      </c>
      <c r="AI91" s="9">
        <v>4604.5889084297942</v>
      </c>
      <c r="AJ91" s="9">
        <v>46140.933145646428</v>
      </c>
      <c r="AK91" s="9">
        <v>57672629.026679516</v>
      </c>
      <c r="AL91" s="9">
        <v>57119390.648438424</v>
      </c>
    </row>
    <row r="92" spans="1:38" x14ac:dyDescent="0.25">
      <c r="A92" s="9">
        <v>90</v>
      </c>
      <c r="B92" s="9">
        <v>52</v>
      </c>
      <c r="C92" s="9">
        <v>4.2916666666666667E-4</v>
      </c>
      <c r="D92" s="9">
        <v>10.002420764646052</v>
      </c>
      <c r="E92" s="9">
        <v>24.304248729358193</v>
      </c>
      <c r="F92" s="9">
        <v>18.000840525917269</v>
      </c>
      <c r="G92" s="9">
        <v>22.543136678036387</v>
      </c>
      <c r="H92" s="9">
        <v>82.617737640815633</v>
      </c>
      <c r="I92" s="9">
        <v>4963.4161675190462</v>
      </c>
      <c r="J92" s="9">
        <v>3420.6888252614117</v>
      </c>
      <c r="K92" s="9">
        <v>1400.6720259426945</v>
      </c>
      <c r="L92" s="9">
        <v>4268.0790154393699</v>
      </c>
      <c r="M92" s="9">
        <v>3.1342207488584908</v>
      </c>
      <c r="N92" s="9">
        <v>301.55465299034898</v>
      </c>
      <c r="O92" s="9">
        <v>34.979624191999406</v>
      </c>
      <c r="P92" s="9">
        <v>2.3797243630005944</v>
      </c>
      <c r="Q92" s="9">
        <v>34.979624191999406</v>
      </c>
      <c r="R92" s="9">
        <v>111.30684294710413</v>
      </c>
      <c r="S92" s="9">
        <v>57.937304879787376</v>
      </c>
      <c r="T92" s="9">
        <v>230.03030564182032</v>
      </c>
      <c r="U92" s="9">
        <v>274.16832090914801</v>
      </c>
      <c r="V92" s="9">
        <v>274.69965609453794</v>
      </c>
      <c r="W92" s="9">
        <v>59162.712353745956</v>
      </c>
      <c r="X92" s="9">
        <v>59343.950204517205</v>
      </c>
      <c r="Y92" s="9">
        <v>181.23785077125621</v>
      </c>
      <c r="Z92" s="9">
        <v>68051.433438755703</v>
      </c>
      <c r="AA92" s="9">
        <v>68266.765050357411</v>
      </c>
      <c r="AB92" s="9">
        <v>215.3316116017063</v>
      </c>
      <c r="AC92" s="9">
        <v>54.479851764772164</v>
      </c>
      <c r="AD92" s="9">
        <v>132.37714141257095</v>
      </c>
      <c r="AE92" s="9">
        <v>98.044578064496051</v>
      </c>
      <c r="AF92" s="9">
        <v>114.7257797439735</v>
      </c>
      <c r="AG92" s="9">
        <v>1339.2335271576214</v>
      </c>
      <c r="AH92" s="9">
        <v>39942.544609217963</v>
      </c>
      <c r="AI92" s="9">
        <v>4611.5197819066761</v>
      </c>
      <c r="AJ92" s="9">
        <v>46292.925269268075</v>
      </c>
      <c r="AK92" s="9">
        <v>57718921.951948784</v>
      </c>
      <c r="AL92" s="9">
        <v>57151232.077230021</v>
      </c>
    </row>
    <row r="93" spans="1:38" x14ac:dyDescent="0.25">
      <c r="A93" s="9">
        <v>91</v>
      </c>
      <c r="B93" s="9">
        <v>52</v>
      </c>
      <c r="C93" s="9">
        <v>4.2916666666666667E-4</v>
      </c>
      <c r="D93" s="9">
        <v>9.8949471008689525</v>
      </c>
      <c r="E93" s="9">
        <v>24.217748732831783</v>
      </c>
      <c r="F93" s="9">
        <v>17.981624301452939</v>
      </c>
      <c r="G93" s="9">
        <v>22.493761684969837</v>
      </c>
      <c r="H93" s="9">
        <v>82.442280582713281</v>
      </c>
      <c r="I93" s="9">
        <v>4963.6466089943397</v>
      </c>
      <c r="J93" s="9">
        <v>3419.2207796405705</v>
      </c>
      <c r="K93" s="9">
        <v>1400.0709041982275</v>
      </c>
      <c r="L93" s="9">
        <v>4261.6089707197825</v>
      </c>
      <c r="M93" s="9">
        <v>3.1293030490658462</v>
      </c>
      <c r="N93" s="9">
        <v>304.68395603941485</v>
      </c>
      <c r="O93" s="9">
        <v>34.932436954395833</v>
      </c>
      <c r="P93" s="9">
        <v>2.3760779726041643</v>
      </c>
      <c r="Q93" s="9">
        <v>34.932436954395833</v>
      </c>
      <c r="R93" s="9">
        <v>111.88750626407504</v>
      </c>
      <c r="S93" s="9">
        <v>58.020683213062902</v>
      </c>
      <c r="T93" s="9">
        <v>232.76574550102066</v>
      </c>
      <c r="U93" s="9">
        <v>278.47258969075904</v>
      </c>
      <c r="V93" s="9">
        <v>278.75576692107592</v>
      </c>
      <c r="W93" s="9">
        <v>59162.712353745956</v>
      </c>
      <c r="X93" s="9">
        <v>59343.950204517205</v>
      </c>
      <c r="Y93" s="9">
        <v>181.23785077125621</v>
      </c>
      <c r="Z93" s="9">
        <v>68051.433438755703</v>
      </c>
      <c r="AA93" s="9">
        <v>68266.765050357411</v>
      </c>
      <c r="AB93" s="9">
        <v>215.3316116017063</v>
      </c>
      <c r="AC93" s="9">
        <v>53.894478542732891</v>
      </c>
      <c r="AD93" s="9">
        <v>131.90600476482376</v>
      </c>
      <c r="AE93" s="9">
        <v>97.939913695247</v>
      </c>
      <c r="AF93" s="9">
        <v>114.47450217509233</v>
      </c>
      <c r="AG93" s="9">
        <v>1336.3893682457824</v>
      </c>
      <c r="AH93" s="9">
        <v>40088.206696182016</v>
      </c>
      <c r="AI93" s="9">
        <v>4618.1562803437419</v>
      </c>
      <c r="AJ93" s="9">
        <v>46440.967243949439</v>
      </c>
      <c r="AK93" s="9">
        <v>57765362.919192731</v>
      </c>
      <c r="AL93" s="9">
        <v>57183042.788355075</v>
      </c>
    </row>
    <row r="94" spans="1:38" x14ac:dyDescent="0.25">
      <c r="A94" s="9">
        <v>92</v>
      </c>
      <c r="B94" s="9">
        <v>52</v>
      </c>
      <c r="C94" s="9">
        <v>4.2916666666666667E-4</v>
      </c>
      <c r="D94" s="9">
        <v>9.7886282163875311</v>
      </c>
      <c r="E94" s="9">
        <v>24.130815164814145</v>
      </c>
      <c r="F94" s="9">
        <v>17.961981982922584</v>
      </c>
      <c r="G94" s="9">
        <v>22.4447089855542</v>
      </c>
      <c r="H94" s="9">
        <v>82.267180816719815</v>
      </c>
      <c r="I94" s="9">
        <v>4963.8765457463369</v>
      </c>
      <c r="J94" s="9">
        <v>3417.753364055975</v>
      </c>
      <c r="K94" s="9">
        <v>1399.4700404351756</v>
      </c>
      <c r="L94" s="9">
        <v>4255.1487340376107</v>
      </c>
      <c r="M94" s="9">
        <v>3.1243930991222606</v>
      </c>
      <c r="N94" s="9">
        <v>307.8083491385371</v>
      </c>
      <c r="O94" s="9">
        <v>34.885060379945465</v>
      </c>
      <c r="P94" s="9">
        <v>2.3724371090545402</v>
      </c>
      <c r="Q94" s="9">
        <v>34.885060379945465</v>
      </c>
      <c r="R94" s="9">
        <v>112.45516243415135</v>
      </c>
      <c r="S94" s="9">
        <v>58.100458411443583</v>
      </c>
      <c r="T94" s="9">
        <v>235.50139884175721</v>
      </c>
      <c r="U94" s="9">
        <v>282.78557533231873</v>
      </c>
      <c r="V94" s="9">
        <v>282.80828975136541</v>
      </c>
      <c r="W94" s="9">
        <v>59162.712353745956</v>
      </c>
      <c r="X94" s="9">
        <v>59343.950204517205</v>
      </c>
      <c r="Y94" s="9">
        <v>181.23785077125621</v>
      </c>
      <c r="Z94" s="9">
        <v>68051.433438755703</v>
      </c>
      <c r="AA94" s="9">
        <v>68266.765050357411</v>
      </c>
      <c r="AB94" s="9">
        <v>215.3316116017063</v>
      </c>
      <c r="AC94" s="9">
        <v>53.315395018590749</v>
      </c>
      <c r="AD94" s="9">
        <v>131.43250659768771</v>
      </c>
      <c r="AE94" s="9">
        <v>97.832928533651668</v>
      </c>
      <c r="AF94" s="9">
        <v>114.22486481231624</v>
      </c>
      <c r="AG94" s="9">
        <v>1333.5510010390283</v>
      </c>
      <c r="AH94" s="9">
        <v>40230.26557123704</v>
      </c>
      <c r="AI94" s="9">
        <v>4624.5059872588517</v>
      </c>
      <c r="AJ94" s="9">
        <v>46585.128254497169</v>
      </c>
      <c r="AK94" s="9">
        <v>57811948.047447227</v>
      </c>
      <c r="AL94" s="9">
        <v>57214819.841190435</v>
      </c>
    </row>
    <row r="95" spans="1:38" x14ac:dyDescent="0.25">
      <c r="A95" s="9">
        <v>93</v>
      </c>
      <c r="B95" s="9">
        <v>52</v>
      </c>
      <c r="C95" s="9">
        <v>4.2916666666666667E-4</v>
      </c>
      <c r="D95" s="9">
        <v>9.683451703369256</v>
      </c>
      <c r="E95" s="9">
        <v>24.043463321325998</v>
      </c>
      <c r="F95" s="9">
        <v>17.941915070480466</v>
      </c>
      <c r="G95" s="9">
        <v>22.395970631911563</v>
      </c>
      <c r="H95" s="9">
        <v>82.092439882034313</v>
      </c>
      <c r="I95" s="9">
        <v>4964.1059810696033</v>
      </c>
      <c r="J95" s="9">
        <v>3416.2865782372342</v>
      </c>
      <c r="K95" s="9">
        <v>1398.8694345428221</v>
      </c>
      <c r="L95" s="9">
        <v>4248.6982905247032</v>
      </c>
      <c r="M95" s="9">
        <v>3.1194908944568924</v>
      </c>
      <c r="N95" s="9">
        <v>310.92784003299397</v>
      </c>
      <c r="O95" s="9">
        <v>34.837501020607533</v>
      </c>
      <c r="P95" s="9">
        <v>2.3688017723924695</v>
      </c>
      <c r="Q95" s="9">
        <v>34.837501020607533</v>
      </c>
      <c r="R95" s="9">
        <v>113.01002679362264</v>
      </c>
      <c r="S95" s="9">
        <v>58.176722705611937</v>
      </c>
      <c r="T95" s="9">
        <v>238.23719296236973</v>
      </c>
      <c r="U95" s="9">
        <v>287.10698318674412</v>
      </c>
      <c r="V95" s="9">
        <v>286.85722238426888</v>
      </c>
      <c r="W95" s="9">
        <v>59162.712353745956</v>
      </c>
      <c r="X95" s="9">
        <v>59343.950204517205</v>
      </c>
      <c r="Y95" s="9">
        <v>181.23785077125621</v>
      </c>
      <c r="Z95" s="9">
        <v>68051.433438755703</v>
      </c>
      <c r="AA95" s="9">
        <v>68266.765050357411</v>
      </c>
      <c r="AB95" s="9">
        <v>215.3316116017063</v>
      </c>
      <c r="AC95" s="9">
        <v>52.742533611017876</v>
      </c>
      <c r="AD95" s="9">
        <v>130.95673022348893</v>
      </c>
      <c r="AE95" s="9">
        <v>97.723630750550271</v>
      </c>
      <c r="AF95" s="9">
        <v>113.97682720756993</v>
      </c>
      <c r="AG95" s="9">
        <v>1330.7184504877762</v>
      </c>
      <c r="AH95" s="9">
        <v>40368.781819490127</v>
      </c>
      <c r="AI95" s="9">
        <v>4630.5762437531821</v>
      </c>
      <c r="AJ95" s="9">
        <v>46725.476235523711</v>
      </c>
      <c r="AK95" s="9">
        <v>57858673.523682751</v>
      </c>
      <c r="AL95" s="9">
        <v>57246560.377177939</v>
      </c>
    </row>
    <row r="96" spans="1:38" x14ac:dyDescent="0.25">
      <c r="A96" s="9">
        <v>94</v>
      </c>
      <c r="B96" s="9">
        <v>52</v>
      </c>
      <c r="C96" s="9">
        <v>4.2916666666666667E-4</v>
      </c>
      <c r="D96" s="9">
        <v>9.579405287300844</v>
      </c>
      <c r="E96" s="9">
        <v>23.955708251017032</v>
      </c>
      <c r="F96" s="9">
        <v>17.921425160553298</v>
      </c>
      <c r="G96" s="9">
        <v>22.347538776716139</v>
      </c>
      <c r="H96" s="9">
        <v>81.91805922904868</v>
      </c>
      <c r="I96" s="9">
        <v>4964.3349181774583</v>
      </c>
      <c r="J96" s="9">
        <v>3414.8204219140739</v>
      </c>
      <c r="K96" s="9">
        <v>1398.2690864104975</v>
      </c>
      <c r="L96" s="9">
        <v>4242.2576253354491</v>
      </c>
      <c r="M96" s="9">
        <v>3.1145964302152178</v>
      </c>
      <c r="N96" s="9">
        <v>314.04243646320919</v>
      </c>
      <c r="O96" s="9">
        <v>34.78976527159719</v>
      </c>
      <c r="P96" s="9">
        <v>2.3651719624028127</v>
      </c>
      <c r="Q96" s="9">
        <v>34.78976527159719</v>
      </c>
      <c r="R96" s="9">
        <v>113.5523112051208</v>
      </c>
      <c r="S96" s="9">
        <v>58.249565398365029</v>
      </c>
      <c r="T96" s="9">
        <v>240.9730564551424</v>
      </c>
      <c r="U96" s="9">
        <v>291.43652501899248</v>
      </c>
      <c r="V96" s="9">
        <v>290.90256274604673</v>
      </c>
      <c r="W96" s="9">
        <v>59162.712353745956</v>
      </c>
      <c r="X96" s="9">
        <v>59343.950204517205</v>
      </c>
      <c r="Y96" s="9">
        <v>181.23785077125621</v>
      </c>
      <c r="Z96" s="9">
        <v>68051.433438755703</v>
      </c>
      <c r="AA96" s="9">
        <v>68266.765050357411</v>
      </c>
      <c r="AB96" s="9">
        <v>215.3316116017063</v>
      </c>
      <c r="AC96" s="9">
        <v>52.175827464831926</v>
      </c>
      <c r="AD96" s="9">
        <v>130.47875760720609</v>
      </c>
      <c r="AE96" s="9">
        <v>97.612029041146954</v>
      </c>
      <c r="AF96" s="9">
        <v>113.73034942450454</v>
      </c>
      <c r="AG96" s="9">
        <v>1327.8917401028791</v>
      </c>
      <c r="AH96" s="9">
        <v>40503.81503479134</v>
      </c>
      <c r="AI96" s="9">
        <v>4636.374157882864</v>
      </c>
      <c r="AJ96" s="9">
        <v>46862.077896314775</v>
      </c>
      <c r="AK96" s="9">
        <v>57905535.601579063</v>
      </c>
      <c r="AL96" s="9">
        <v>57278261.617936522</v>
      </c>
    </row>
    <row r="97" spans="1:38" x14ac:dyDescent="0.25">
      <c r="A97" s="9">
        <v>95</v>
      </c>
      <c r="B97" s="9">
        <v>52</v>
      </c>
      <c r="C97" s="9">
        <v>4.2916666666666667E-4</v>
      </c>
      <c r="D97" s="9">
        <v>9.4764768255557765</v>
      </c>
      <c r="E97" s="9">
        <v>23.867564758471758</v>
      </c>
      <c r="F97" s="9">
        <v>17.90051394295439</v>
      </c>
      <c r="G97" s="9">
        <v>22.299405673143355</v>
      </c>
      <c r="H97" s="9">
        <v>81.744040220811783</v>
      </c>
      <c r="I97" s="9">
        <v>4964.5633602030039</v>
      </c>
      <c r="J97" s="9">
        <v>3413.3548948163357</v>
      </c>
      <c r="K97" s="9">
        <v>1397.6689959275795</v>
      </c>
      <c r="L97" s="9">
        <v>4235.8267236467409</v>
      </c>
      <c r="M97" s="9">
        <v>3.1097097012638799</v>
      </c>
      <c r="N97" s="9">
        <v>317.15214616447304</v>
      </c>
      <c r="O97" s="9">
        <v>34.741859378381733</v>
      </c>
      <c r="P97" s="9">
        <v>2.3615476786182623</v>
      </c>
      <c r="Q97" s="9">
        <v>34.741859378381733</v>
      </c>
      <c r="R97" s="9">
        <v>114.08222411339895</v>
      </c>
      <c r="S97" s="9">
        <v>58.31907297729984</v>
      </c>
      <c r="T97" s="9">
        <v>243.70891918496616</v>
      </c>
      <c r="U97" s="9">
        <v>295.77391883647789</v>
      </c>
      <c r="V97" s="9">
        <v>294.94430888754965</v>
      </c>
      <c r="W97" s="9">
        <v>59162.712353745956</v>
      </c>
      <c r="X97" s="9">
        <v>59343.950204517205</v>
      </c>
      <c r="Y97" s="9">
        <v>181.23785077125621</v>
      </c>
      <c r="Z97" s="9">
        <v>68051.433438755703</v>
      </c>
      <c r="AA97" s="9">
        <v>68266.765050357411</v>
      </c>
      <c r="AB97" s="9">
        <v>215.3316116017063</v>
      </c>
      <c r="AC97" s="9">
        <v>51.615210443193796</v>
      </c>
      <c r="AD97" s="9">
        <v>129.99866938447616</v>
      </c>
      <c r="AE97" s="9">
        <v>97.498132609291574</v>
      </c>
      <c r="AF97" s="9">
        <v>113.48539203823871</v>
      </c>
      <c r="AG97" s="9">
        <v>1325.070891979359</v>
      </c>
      <c r="AH97" s="9">
        <v>40635.423836874106</v>
      </c>
      <c r="AI97" s="9">
        <v>4641.9066136281808</v>
      </c>
      <c r="AJ97" s="9">
        <v>46994.998746956844</v>
      </c>
      <c r="AK97" s="9">
        <v>57952530.600326017</v>
      </c>
      <c r="AL97" s="9">
        <v>57309920.863419108</v>
      </c>
    </row>
    <row r="98" spans="1:38" x14ac:dyDescent="0.25">
      <c r="A98" s="9">
        <v>96</v>
      </c>
      <c r="B98" s="9">
        <v>53</v>
      </c>
      <c r="C98" s="9">
        <v>4.2916666666666667E-4</v>
      </c>
      <c r="D98" s="9">
        <v>9.3746543059772076</v>
      </c>
      <c r="E98" s="9">
        <v>23.779047407474788</v>
      </c>
      <c r="F98" s="9">
        <v>17.879183198053965</v>
      </c>
      <c r="G98" s="9">
        <v>22.251563674788933</v>
      </c>
      <c r="H98" s="9">
        <v>81.570384134485934</v>
      </c>
      <c r="I98" s="9">
        <v>4964.7913102001521</v>
      </c>
      <c r="J98" s="9">
        <v>3411.8899966739768</v>
      </c>
      <c r="K98" s="9">
        <v>1397.0691629834939</v>
      </c>
      <c r="L98" s="9">
        <v>4229.4055706579429</v>
      </c>
      <c r="M98" s="9">
        <v>3.1048307021955117</v>
      </c>
      <c r="N98" s="9">
        <v>320.25697686666854</v>
      </c>
      <c r="O98" s="9">
        <v>34.69518149911643</v>
      </c>
      <c r="P98" s="9">
        <v>2.3565368598835725</v>
      </c>
      <c r="Q98" s="9">
        <v>34.69518149911643</v>
      </c>
      <c r="R98" s="9">
        <v>114.59857853977508</v>
      </c>
      <c r="S98" s="9">
        <v>58.385329222709537</v>
      </c>
      <c r="T98" s="9">
        <v>246.44471226837013</v>
      </c>
      <c r="U98" s="9">
        <v>300.11888872526305</v>
      </c>
      <c r="V98" s="9">
        <v>298.98245898148679</v>
      </c>
      <c r="W98" s="9">
        <v>65812.919572453291</v>
      </c>
      <c r="X98" s="9">
        <v>66024.993363150672</v>
      </c>
      <c r="Y98" s="9">
        <v>212.07379069738818</v>
      </c>
      <c r="Z98" s="9">
        <v>77408.942826950442</v>
      </c>
      <c r="AA98" s="9">
        <v>77667.663702655205</v>
      </c>
      <c r="AB98" s="9">
        <v>258.72087570476936</v>
      </c>
      <c r="AC98" s="9">
        <v>51.060617119889187</v>
      </c>
      <c r="AD98" s="9">
        <v>129.51654487937935</v>
      </c>
      <c r="AE98" s="9">
        <v>97.381951152067259</v>
      </c>
      <c r="AF98" s="9">
        <v>113.24191613494668</v>
      </c>
      <c r="AG98" s="9">
        <v>1322.2559268200171</v>
      </c>
      <c r="AH98" s="9">
        <v>40763.665886885734</v>
      </c>
      <c r="AI98" s="9">
        <v>4647.1802794815658</v>
      </c>
      <c r="AJ98" s="9">
        <v>47124.303122473597</v>
      </c>
      <c r="AK98" s="9">
        <v>57999654.903448492</v>
      </c>
      <c r="AL98" s="9">
        <v>57341535.490112171</v>
      </c>
    </row>
    <row r="99" spans="1:38" x14ac:dyDescent="0.25">
      <c r="A99" s="9">
        <v>97</v>
      </c>
      <c r="B99" s="9">
        <v>53</v>
      </c>
      <c r="C99" s="9">
        <v>4.7166666666666668E-4</v>
      </c>
      <c r="D99" s="9">
        <v>9.2735274226680939</v>
      </c>
      <c r="E99" s="9">
        <v>23.689159914721209</v>
      </c>
      <c r="F99" s="9">
        <v>17.85667492871886</v>
      </c>
      <c r="G99" s="9">
        <v>22.203059544102651</v>
      </c>
      <c r="H99" s="9">
        <v>81.393625421469636</v>
      </c>
      <c r="I99" s="9">
        <v>4965.0187711446533</v>
      </c>
      <c r="J99" s="9">
        <v>3410.2807218922121</v>
      </c>
      <c r="K99" s="9">
        <v>1396.4102120282867</v>
      </c>
      <c r="L99" s="9">
        <v>4222.8144018541016</v>
      </c>
      <c r="M99" s="9">
        <v>3.0999594273335318</v>
      </c>
      <c r="N99" s="9">
        <v>323.35693629400208</v>
      </c>
      <c r="O99" s="9">
        <v>34.646836994722747</v>
      </c>
      <c r="P99" s="9">
        <v>2.3529257592772517</v>
      </c>
      <c r="Q99" s="9">
        <v>34.646836994722747</v>
      </c>
      <c r="R99" s="9">
        <v>115.09812246540007</v>
      </c>
      <c r="S99" s="9">
        <v>58.445933934383397</v>
      </c>
      <c r="T99" s="9">
        <v>249.1803680528875</v>
      </c>
      <c r="U99" s="9">
        <v>304.47117409080863</v>
      </c>
      <c r="V99" s="9">
        <v>303.41654951248728</v>
      </c>
      <c r="W99" s="9">
        <v>65812.919572453291</v>
      </c>
      <c r="X99" s="9">
        <v>66024.993363150672</v>
      </c>
      <c r="Y99" s="9">
        <v>212.07379069738818</v>
      </c>
      <c r="Z99" s="9">
        <v>77408.942826950442</v>
      </c>
      <c r="AA99" s="9">
        <v>77667.663702655205</v>
      </c>
      <c r="AB99" s="9">
        <v>258.72087570476936</v>
      </c>
      <c r="AC99" s="9">
        <v>50.509812695465548</v>
      </c>
      <c r="AD99" s="9">
        <v>129.02695766884818</v>
      </c>
      <c r="AE99" s="9">
        <v>97.25935611175538</v>
      </c>
      <c r="AF99" s="9">
        <v>112.9950705298624</v>
      </c>
      <c r="AG99" s="9">
        <v>1319.3906680820228</v>
      </c>
      <c r="AH99" s="9">
        <v>40886.862880856803</v>
      </c>
      <c r="AI99" s="9">
        <v>4652.0041115072463</v>
      </c>
      <c r="AJ99" s="9">
        <v>47248.048857452006</v>
      </c>
      <c r="AK99" s="9">
        <v>58046902.952305943</v>
      </c>
      <c r="AL99" s="9">
        <v>57373101.609516092</v>
      </c>
    </row>
    <row r="100" spans="1:38" x14ac:dyDescent="0.25">
      <c r="A100" s="9">
        <v>98</v>
      </c>
      <c r="B100" s="9">
        <v>53</v>
      </c>
      <c r="C100" s="9">
        <v>4.7166666666666668E-4</v>
      </c>
      <c r="D100" s="9">
        <v>9.1734914218805148</v>
      </c>
      <c r="E100" s="9">
        <v>23.598934579032552</v>
      </c>
      <c r="F100" s="9">
        <v>17.833752834358872</v>
      </c>
      <c r="G100" s="9">
        <v>22.154835609277814</v>
      </c>
      <c r="H100" s="9">
        <v>81.217246809969083</v>
      </c>
      <c r="I100" s="9">
        <v>4965.245736268027</v>
      </c>
      <c r="J100" s="9">
        <v>3408.6722061517198</v>
      </c>
      <c r="K100" s="9">
        <v>1395.7515718782799</v>
      </c>
      <c r="L100" s="9">
        <v>4216.2335048261575</v>
      </c>
      <c r="M100" s="9">
        <v>3.0949641224612563</v>
      </c>
      <c r="N100" s="9">
        <v>326.45190041646333</v>
      </c>
      <c r="O100" s="9">
        <v>34.598297326207138</v>
      </c>
      <c r="P100" s="9">
        <v>2.3492339047928601</v>
      </c>
      <c r="Q100" s="9">
        <v>34.598297326207138</v>
      </c>
      <c r="R100" s="9">
        <v>115.58589550407218</v>
      </c>
      <c r="S100" s="9">
        <v>58.503441848126656</v>
      </c>
      <c r="T100" s="9">
        <v>251.9157037763899</v>
      </c>
      <c r="U100" s="9">
        <v>308.83032541253607</v>
      </c>
      <c r="V100" s="9">
        <v>307.84649580285634</v>
      </c>
      <c r="W100" s="9">
        <v>65812.919572453291</v>
      </c>
      <c r="X100" s="9">
        <v>66024.993363150672</v>
      </c>
      <c r="Y100" s="9">
        <v>212.07379069738818</v>
      </c>
      <c r="Z100" s="9">
        <v>77408.942826950442</v>
      </c>
      <c r="AA100" s="9">
        <v>77667.663702655205</v>
      </c>
      <c r="AB100" s="9">
        <v>258.72087570476936</v>
      </c>
      <c r="AC100" s="9">
        <v>49.9649499445092</v>
      </c>
      <c r="AD100" s="9">
        <v>128.53553034046396</v>
      </c>
      <c r="AE100" s="9">
        <v>97.13450710447465</v>
      </c>
      <c r="AF100" s="9">
        <v>112.74965088821634</v>
      </c>
      <c r="AG100" s="9">
        <v>1316.5315707895988</v>
      </c>
      <c r="AH100" s="9">
        <v>41006.79262435557</v>
      </c>
      <c r="AI100" s="9">
        <v>4656.581453901641</v>
      </c>
      <c r="AJ100" s="9">
        <v>47368.290287324475</v>
      </c>
      <c r="AK100" s="9">
        <v>58094271.242593266</v>
      </c>
      <c r="AL100" s="9">
        <v>57404616.748372085</v>
      </c>
    </row>
    <row r="101" spans="1:38" x14ac:dyDescent="0.25">
      <c r="A101" s="9">
        <v>99</v>
      </c>
      <c r="B101" s="9">
        <v>53</v>
      </c>
      <c r="C101" s="9">
        <v>4.7166666666666668E-4</v>
      </c>
      <c r="D101" s="9">
        <v>9.0745345359752729</v>
      </c>
      <c r="E101" s="9">
        <v>23.508385304546994</v>
      </c>
      <c r="F101" s="9">
        <v>17.810419003468532</v>
      </c>
      <c r="G101" s="9">
        <v>22.106884488934814</v>
      </c>
      <c r="H101" s="9">
        <v>81.041249280633167</v>
      </c>
      <c r="I101" s="9">
        <v>4965.4722084345049</v>
      </c>
      <c r="J101" s="9">
        <v>3407.0644490944851</v>
      </c>
      <c r="K101" s="9">
        <v>1395.0932423868774</v>
      </c>
      <c r="L101" s="9">
        <v>4209.6628635664219</v>
      </c>
      <c r="M101" s="9">
        <v>3.0899769486552384</v>
      </c>
      <c r="N101" s="9">
        <v>329.54187736511858</v>
      </c>
      <c r="O101" s="9">
        <v>34.549569311490558</v>
      </c>
      <c r="P101" s="9">
        <v>2.3455478365094389</v>
      </c>
      <c r="Q101" s="9">
        <v>34.549569311490558</v>
      </c>
      <c r="R101" s="9">
        <v>116.06209381039244</v>
      </c>
      <c r="S101" s="9">
        <v>58.557929568970877</v>
      </c>
      <c r="T101" s="9">
        <v>254.65065415736413</v>
      </c>
      <c r="U101" s="9">
        <v>313.19608308363905</v>
      </c>
      <c r="V101" s="9">
        <v>312.27229656885186</v>
      </c>
      <c r="W101" s="9">
        <v>65812.919572453291</v>
      </c>
      <c r="X101" s="9">
        <v>66024.993363150672</v>
      </c>
      <c r="Y101" s="9">
        <v>212.07379069738818</v>
      </c>
      <c r="Z101" s="9">
        <v>77408.942826950442</v>
      </c>
      <c r="AA101" s="9">
        <v>77667.663702655205</v>
      </c>
      <c r="AB101" s="9">
        <v>258.72087570476936</v>
      </c>
      <c r="AC101" s="9">
        <v>49.425964772611984</v>
      </c>
      <c r="AD101" s="9">
        <v>128.04233862543262</v>
      </c>
      <c r="AE101" s="9">
        <v>97.007415505558598</v>
      </c>
      <c r="AF101" s="9">
        <v>112.50561964493741</v>
      </c>
      <c r="AG101" s="9">
        <v>1313.6786508390637</v>
      </c>
      <c r="AH101" s="9">
        <v>41123.510537676011</v>
      </c>
      <c r="AI101" s="9">
        <v>4660.9184040422369</v>
      </c>
      <c r="AJ101" s="9">
        <v>47485.088931105849</v>
      </c>
      <c r="AK101" s="9">
        <v>58141756.331524372</v>
      </c>
      <c r="AL101" s="9">
        <v>57436078.505215824</v>
      </c>
    </row>
    <row r="102" spans="1:38" x14ac:dyDescent="0.25">
      <c r="A102" s="9">
        <v>100</v>
      </c>
      <c r="B102" s="9">
        <v>53</v>
      </c>
      <c r="C102" s="9">
        <v>4.7166666666666668E-4</v>
      </c>
      <c r="D102" s="9">
        <v>8.9766451242538192</v>
      </c>
      <c r="E102" s="9">
        <v>23.417525764907587</v>
      </c>
      <c r="F102" s="9">
        <v>17.786675603973865</v>
      </c>
      <c r="G102" s="9">
        <v>22.059198902760045</v>
      </c>
      <c r="H102" s="9">
        <v>80.865633733796926</v>
      </c>
      <c r="I102" s="9">
        <v>4965.6981904328632</v>
      </c>
      <c r="J102" s="9">
        <v>3405.4574503626623</v>
      </c>
      <c r="K102" s="9">
        <v>1394.4352234075516</v>
      </c>
      <c r="L102" s="9">
        <v>4203.1024620921526</v>
      </c>
      <c r="M102" s="9">
        <v>3.0849978984498936</v>
      </c>
      <c r="N102" s="9">
        <v>332.62687526356848</v>
      </c>
      <c r="O102" s="9">
        <v>34.500659607866361</v>
      </c>
      <c r="P102" s="9">
        <v>2.3418675521336452</v>
      </c>
      <c r="Q102" s="9">
        <v>34.500659607866361</v>
      </c>
      <c r="R102" s="9">
        <v>116.52691036429606</v>
      </c>
      <c r="S102" s="9">
        <v>58.609471374251257</v>
      </c>
      <c r="T102" s="9">
        <v>257.38515509642707</v>
      </c>
      <c r="U102" s="9">
        <v>317.56819301627803</v>
      </c>
      <c r="V102" s="9">
        <v>316.69395064978465</v>
      </c>
      <c r="W102" s="9">
        <v>65812.919572453291</v>
      </c>
      <c r="X102" s="9">
        <v>66024.993363150672</v>
      </c>
      <c r="Y102" s="9">
        <v>212.07379069738818</v>
      </c>
      <c r="Z102" s="9">
        <v>77408.942826950442</v>
      </c>
      <c r="AA102" s="9">
        <v>77667.663702655205</v>
      </c>
      <c r="AB102" s="9">
        <v>258.72087570476936</v>
      </c>
      <c r="AC102" s="9">
        <v>48.892793776769132</v>
      </c>
      <c r="AD102" s="9">
        <v>127.54745699952998</v>
      </c>
      <c r="AE102" s="9">
        <v>96.878093122977646</v>
      </c>
      <c r="AF102" s="9">
        <v>112.26293974929632</v>
      </c>
      <c r="AG102" s="9">
        <v>1310.8319228248483</v>
      </c>
      <c r="AH102" s="9">
        <v>41237.071130432472</v>
      </c>
      <c r="AI102" s="9">
        <v>4665.0208740335283</v>
      </c>
      <c r="AJ102" s="9">
        <v>47598.505210939424</v>
      </c>
      <c r="AK102" s="9">
        <v>58189354.836735308</v>
      </c>
      <c r="AL102" s="9">
        <v>57467484.548722073</v>
      </c>
    </row>
    <row r="103" spans="1:38" x14ac:dyDescent="0.25">
      <c r="A103" s="9">
        <v>101</v>
      </c>
      <c r="B103" s="9">
        <v>53</v>
      </c>
      <c r="C103" s="9">
        <v>4.7166666666666668E-4</v>
      </c>
      <c r="D103" s="9">
        <v>8.8798116715889091</v>
      </c>
      <c r="E103" s="9">
        <v>23.326369406380401</v>
      </c>
      <c r="F103" s="9">
        <v>17.762524880653299</v>
      </c>
      <c r="G103" s="9">
        <v>22.011771671266814</v>
      </c>
      <c r="H103" s="9">
        <v>80.690400990912664</v>
      </c>
      <c r="I103" s="9">
        <v>4965.923684977457</v>
      </c>
      <c r="J103" s="9">
        <v>3403.8512095985743</v>
      </c>
      <c r="K103" s="9">
        <v>1393.7775147938444</v>
      </c>
      <c r="L103" s="9">
        <v>4196.5522844455145</v>
      </c>
      <c r="M103" s="9">
        <v>3.0800269641305253</v>
      </c>
      <c r="N103" s="9">
        <v>335.706902227699</v>
      </c>
      <c r="O103" s="9">
        <v>34.451574715857468</v>
      </c>
      <c r="P103" s="9">
        <v>2.3381930491425331</v>
      </c>
      <c r="Q103" s="9">
        <v>34.451574715857468</v>
      </c>
      <c r="R103" s="9">
        <v>116.98053502216615</v>
      </c>
      <c r="S103" s="9">
        <v>58.658139300655229</v>
      </c>
      <c r="T103" s="9">
        <v>260.11914365672584</v>
      </c>
      <c r="U103" s="9">
        <v>321.94640650209323</v>
      </c>
      <c r="V103" s="9">
        <v>321.11145700535764</v>
      </c>
      <c r="W103" s="9">
        <v>65812.919572453291</v>
      </c>
      <c r="X103" s="9">
        <v>66024.993363150672</v>
      </c>
      <c r="Y103" s="9">
        <v>212.07379069738818</v>
      </c>
      <c r="Z103" s="9">
        <v>77408.942826950442</v>
      </c>
      <c r="AA103" s="9">
        <v>77667.663702655205</v>
      </c>
      <c r="AB103" s="9">
        <v>258.72087570476936</v>
      </c>
      <c r="AC103" s="9">
        <v>48.365374237920925</v>
      </c>
      <c r="AD103" s="9">
        <v>127.05095870008525</v>
      </c>
      <c r="AE103" s="9">
        <v>96.746552183291627</v>
      </c>
      <c r="AF103" s="9">
        <v>112.02157466368868</v>
      </c>
      <c r="AG103" s="9">
        <v>1307.9914000626943</v>
      </c>
      <c r="AH103" s="9">
        <v>41347.5280165691</v>
      </c>
      <c r="AI103" s="9">
        <v>4668.8945976356526</v>
      </c>
      <c r="AJ103" s="9">
        <v>47708.598474052436</v>
      </c>
      <c r="AK103" s="9">
        <v>58237063.435209364</v>
      </c>
      <c r="AL103" s="9">
        <v>57498832.616087556</v>
      </c>
    </row>
    <row r="104" spans="1:38" x14ac:dyDescent="0.25">
      <c r="A104" s="9">
        <v>102</v>
      </c>
      <c r="B104" s="9">
        <v>53</v>
      </c>
      <c r="C104" s="9">
        <v>4.7166666666666668E-4</v>
      </c>
      <c r="D104" s="9">
        <v>8.7840227870700289</v>
      </c>
      <c r="E104" s="9">
        <v>23.234929450934093</v>
      </c>
      <c r="F104" s="9">
        <v>17.737969152610084</v>
      </c>
      <c r="G104" s="9">
        <v>21.964595715531434</v>
      </c>
      <c r="H104" s="9">
        <v>80.515551795971533</v>
      </c>
      <c r="I104" s="9">
        <v>4966.1486947092517</v>
      </c>
      <c r="J104" s="9">
        <v>3402.2457264447135</v>
      </c>
      <c r="K104" s="9">
        <v>1393.1201163993667</v>
      </c>
      <c r="L104" s="9">
        <v>4190.0123146935421</v>
      </c>
      <c r="M104" s="9">
        <v>3.0750641377380332</v>
      </c>
      <c r="N104" s="9">
        <v>338.78196636543703</v>
      </c>
      <c r="O104" s="9">
        <v>34.402320980212757</v>
      </c>
      <c r="P104" s="9">
        <v>2.3345243247872469</v>
      </c>
      <c r="Q104" s="9">
        <v>34.402320980212757</v>
      </c>
      <c r="R104" s="9">
        <v>117.42315456712444</v>
      </c>
      <c r="S104" s="9">
        <v>58.704003227606073</v>
      </c>
      <c r="T104" s="9">
        <v>262.85255804466112</v>
      </c>
      <c r="U104" s="9">
        <v>326.33048007723221</v>
      </c>
      <c r="V104" s="9">
        <v>325.52481471307226</v>
      </c>
      <c r="W104" s="9">
        <v>65812.919572453291</v>
      </c>
      <c r="X104" s="9">
        <v>66024.993363150672</v>
      </c>
      <c r="Y104" s="9">
        <v>212.07379069738818</v>
      </c>
      <c r="Z104" s="9">
        <v>77408.942826950442</v>
      </c>
      <c r="AA104" s="9">
        <v>77667.663702655205</v>
      </c>
      <c r="AB104" s="9">
        <v>258.72087570476936</v>
      </c>
      <c r="AC104" s="9">
        <v>47.843644113574754</v>
      </c>
      <c r="AD104" s="9">
        <v>126.55291574275435</v>
      </c>
      <c r="AE104" s="9">
        <v>96.612805317882916</v>
      </c>
      <c r="AF104" s="9">
        <v>111.78148836229205</v>
      </c>
      <c r="AG104" s="9">
        <v>1305.1570946126985</v>
      </c>
      <c r="AH104" s="9">
        <v>41454.93392836344</v>
      </c>
      <c r="AI104" s="9">
        <v>4672.5451369013053</v>
      </c>
      <c r="AJ104" s="9">
        <v>47815.427013413951</v>
      </c>
      <c r="AK104" s="9">
        <v>58284878.862222776</v>
      </c>
      <c r="AL104" s="9">
        <v>57530120.511450559</v>
      </c>
    </row>
    <row r="105" spans="1:38" x14ac:dyDescent="0.25">
      <c r="A105" s="9">
        <v>103</v>
      </c>
      <c r="B105" s="9">
        <v>53</v>
      </c>
      <c r="C105" s="9">
        <v>4.7166666666666668E-4</v>
      </c>
      <c r="D105" s="9">
        <v>8.689267202663439</v>
      </c>
      <c r="E105" s="9">
        <v>23.143218899281308</v>
      </c>
      <c r="F105" s="9">
        <v>17.713010810795442</v>
      </c>
      <c r="G105" s="9">
        <v>21.91766405690538</v>
      </c>
      <c r="H105" s="9">
        <v>80.34108681691535</v>
      </c>
      <c r="I105" s="9">
        <v>4966.3732221968503</v>
      </c>
      <c r="J105" s="9">
        <v>3400.6410005437406</v>
      </c>
      <c r="K105" s="9">
        <v>1392.4630280777983</v>
      </c>
      <c r="L105" s="9">
        <v>4183.4825369280998</v>
      </c>
      <c r="M105" s="9">
        <v>3.0701094110735938</v>
      </c>
      <c r="N105" s="9">
        <v>341.85207577651062</v>
      </c>
      <c r="O105" s="9">
        <v>34.352904595903311</v>
      </c>
      <c r="P105" s="9">
        <v>2.3308613760966956</v>
      </c>
      <c r="Q105" s="9">
        <v>34.352904595903311</v>
      </c>
      <c r="R105" s="9">
        <v>117.85495275851231</v>
      </c>
      <c r="S105" s="9">
        <v>58.747130957127887</v>
      </c>
      <c r="T105" s="9">
        <v>265.58533759091256</v>
      </c>
      <c r="U105" s="9">
        <v>330.72017539167064</v>
      </c>
      <c r="V105" s="9">
        <v>329.93402296569849</v>
      </c>
      <c r="W105" s="9">
        <v>65812.919572453291</v>
      </c>
      <c r="X105" s="9">
        <v>66024.993363150672</v>
      </c>
      <c r="Y105" s="9">
        <v>212.07379069738818</v>
      </c>
      <c r="Z105" s="9">
        <v>77408.942826950442</v>
      </c>
      <c r="AA105" s="9">
        <v>77667.663702655205</v>
      </c>
      <c r="AB105" s="9">
        <v>258.72087570476936</v>
      </c>
      <c r="AC105" s="9">
        <v>47.327542030506862</v>
      </c>
      <c r="AD105" s="9">
        <v>126.05339893808552</v>
      </c>
      <c r="AE105" s="9">
        <v>96.476865549465842</v>
      </c>
      <c r="AF105" s="9">
        <v>111.54264532960096</v>
      </c>
      <c r="AG105" s="9">
        <v>1302.3290173021978</v>
      </c>
      <c r="AH105" s="9">
        <v>41559.340731574157</v>
      </c>
      <c r="AI105" s="9">
        <v>4675.9778885325941</v>
      </c>
      <c r="AJ105" s="9">
        <v>47919.048089256605</v>
      </c>
      <c r="AK105" s="9">
        <v>58332797.910312034</v>
      </c>
      <c r="AL105" s="9">
        <v>57561346.104347259</v>
      </c>
    </row>
    <row r="106" spans="1:38" x14ac:dyDescent="0.25">
      <c r="A106" s="9">
        <v>104</v>
      </c>
      <c r="B106" s="9">
        <v>53</v>
      </c>
      <c r="C106" s="9">
        <v>4.7166666666666668E-4</v>
      </c>
      <c r="D106" s="9">
        <v>8.5955337718866698</v>
      </c>
      <c r="E106" s="9">
        <v>23.051250533882424</v>
      </c>
      <c r="F106" s="9">
        <v>17.68765231558152</v>
      </c>
      <c r="G106" s="9">
        <v>21.870969816704282</v>
      </c>
      <c r="H106" s="9">
        <v>80.167006647038534</v>
      </c>
      <c r="I106" s="9">
        <v>4966.597269937517</v>
      </c>
      <c r="J106" s="9">
        <v>3399.0370315384839</v>
      </c>
      <c r="K106" s="9">
        <v>1391.8062496828882</v>
      </c>
      <c r="L106" s="9">
        <v>4176.962935265844</v>
      </c>
      <c r="M106" s="9">
        <v>3.0651627757033064</v>
      </c>
      <c r="N106" s="9">
        <v>344.91723855221392</v>
      </c>
      <c r="O106" s="9">
        <v>34.303331610118782</v>
      </c>
      <c r="P106" s="9">
        <v>2.3272041998812156</v>
      </c>
      <c r="Q106" s="9">
        <v>34.303331610118782</v>
      </c>
      <c r="R106" s="9">
        <v>118.27611038057529</v>
      </c>
      <c r="S106" s="9">
        <v>58.78758829037762</v>
      </c>
      <c r="T106" s="9">
        <v>268.31742273179003</v>
      </c>
      <c r="U106" s="9">
        <v>335.11525908274109</v>
      </c>
      <c r="V106" s="9">
        <v>334.33908106880904</v>
      </c>
      <c r="W106" s="9">
        <v>65812.919572453291</v>
      </c>
      <c r="X106" s="9">
        <v>66024.993363150672</v>
      </c>
      <c r="Y106" s="9">
        <v>212.07379069738818</v>
      </c>
      <c r="Z106" s="9">
        <v>77408.942826950442</v>
      </c>
      <c r="AA106" s="9">
        <v>77667.663702655205</v>
      </c>
      <c r="AB106" s="9">
        <v>258.72087570476936</v>
      </c>
      <c r="AC106" s="9">
        <v>46.817007277542729</v>
      </c>
      <c r="AD106" s="9">
        <v>125.55247790787959</v>
      </c>
      <c r="AE106" s="9">
        <v>96.338746278867333</v>
      </c>
      <c r="AF106" s="9">
        <v>111.3050105588442</v>
      </c>
      <c r="AG106" s="9">
        <v>1299.5071777484948</v>
      </c>
      <c r="AH106" s="9">
        <v>41660.799439279079</v>
      </c>
      <c r="AI106" s="9">
        <v>4679.1980899726068</v>
      </c>
      <c r="AJ106" s="9">
        <v>48019.517949023313</v>
      </c>
      <c r="AK106" s="9">
        <v>58380817.428261057</v>
      </c>
      <c r="AL106" s="9">
        <v>57592507.328203142</v>
      </c>
    </row>
    <row r="107" spans="1:38" x14ac:dyDescent="0.25">
      <c r="A107" s="9">
        <v>105</v>
      </c>
      <c r="B107" s="9">
        <v>53</v>
      </c>
      <c r="C107" s="9">
        <v>4.7166666666666668E-4</v>
      </c>
      <c r="D107" s="9">
        <v>8.5028114684973168</v>
      </c>
      <c r="E107" s="9">
        <v>22.959036921912027</v>
      </c>
      <c r="F107" s="9">
        <v>17.661896194383381</v>
      </c>
      <c r="G107" s="9">
        <v>21.824506215874511</v>
      </c>
      <c r="H107" s="9">
        <v>79.993311806379808</v>
      </c>
      <c r="I107" s="9">
        <v>4966.8208403582012</v>
      </c>
      <c r="J107" s="9">
        <v>3397.4338190719418</v>
      </c>
      <c r="K107" s="9">
        <v>1391.1497810684543</v>
      </c>
      <c r="L107" s="9">
        <v>4170.4534938481829</v>
      </c>
      <c r="M107" s="9">
        <v>3.0602242229628072</v>
      </c>
      <c r="N107" s="9">
        <v>347.97746277517672</v>
      </c>
      <c r="O107" s="9">
        <v>34.253607927263786</v>
      </c>
      <c r="P107" s="9">
        <v>2.3235527927362165</v>
      </c>
      <c r="Q107" s="9">
        <v>34.253607927263786</v>
      </c>
      <c r="R107" s="9">
        <v>118.68680529036382</v>
      </c>
      <c r="S107" s="9">
        <v>58.825439100968794</v>
      </c>
      <c r="T107" s="9">
        <v>271.04875499088337</v>
      </c>
      <c r="U107" s="9">
        <v>339.51550265264552</v>
      </c>
      <c r="V107" s="9">
        <v>338.73998843837325</v>
      </c>
      <c r="W107" s="9">
        <v>65812.919572453291</v>
      </c>
      <c r="X107" s="9">
        <v>66024.993363150672</v>
      </c>
      <c r="Y107" s="9">
        <v>212.07379069738818</v>
      </c>
      <c r="Z107" s="9">
        <v>77408.942826950442</v>
      </c>
      <c r="AA107" s="9">
        <v>77667.663702655205</v>
      </c>
      <c r="AB107" s="9">
        <v>258.72087570476936</v>
      </c>
      <c r="AC107" s="9">
        <v>46.311979798415386</v>
      </c>
      <c r="AD107" s="9">
        <v>125.0502211013475</v>
      </c>
      <c r="AE107" s="9">
        <v>96.198461272074809</v>
      </c>
      <c r="AF107" s="9">
        <v>111.06854955028803</v>
      </c>
      <c r="AG107" s="9">
        <v>1296.6915843814168</v>
      </c>
      <c r="AH107" s="9">
        <v>41759.360226318437</v>
      </c>
      <c r="AI107" s="9">
        <v>4682.210825241611</v>
      </c>
      <c r="AJ107" s="9">
        <v>48116.891847663588</v>
      </c>
      <c r="AK107" s="9">
        <v>58428934.320108719</v>
      </c>
      <c r="AL107" s="9">
        <v>57623602.178859204</v>
      </c>
    </row>
    <row r="108" spans="1:38" x14ac:dyDescent="0.25">
      <c r="A108" s="9">
        <v>106</v>
      </c>
      <c r="B108" s="9">
        <v>53</v>
      </c>
      <c r="C108" s="9">
        <v>4.7166666666666668E-4</v>
      </c>
      <c r="D108" s="9">
        <v>8.4110893851959752</v>
      </c>
      <c r="E108" s="9">
        <v>22.866590418188594</v>
      </c>
      <c r="F108" s="9">
        <v>17.635745039329191</v>
      </c>
      <c r="G108" s="9">
        <v>21.778266574638138</v>
      </c>
      <c r="H108" s="9">
        <v>79.820002743103743</v>
      </c>
      <c r="I108" s="9">
        <v>4967.0439358165559</v>
      </c>
      <c r="J108" s="9">
        <v>3395.8313627872794</v>
      </c>
      <c r="K108" s="9">
        <v>1390.4936220883837</v>
      </c>
      <c r="L108" s="9">
        <v>4163.9541968412404</v>
      </c>
      <c r="M108" s="9">
        <v>3.0552937439618484</v>
      </c>
      <c r="N108" s="9">
        <v>351.03275651913856</v>
      </c>
      <c r="O108" s="9">
        <v>34.203739309954194</v>
      </c>
      <c r="P108" s="9">
        <v>2.3199071510458049</v>
      </c>
      <c r="Q108" s="9">
        <v>34.203739309954194</v>
      </c>
      <c r="R108" s="9">
        <v>119.08721246486293</v>
      </c>
      <c r="S108" s="9">
        <v>58.860745405246909</v>
      </c>
      <c r="T108" s="9">
        <v>273.77927696102313</v>
      </c>
      <c r="U108" s="9">
        <v>343.9206823498468</v>
      </c>
      <c r="V108" s="9">
        <v>343.1367445984111</v>
      </c>
      <c r="W108" s="9">
        <v>65812.919572453291</v>
      </c>
      <c r="X108" s="9">
        <v>66024.993363150672</v>
      </c>
      <c r="Y108" s="9">
        <v>212.07379069738818</v>
      </c>
      <c r="Z108" s="9">
        <v>77408.942826950442</v>
      </c>
      <c r="AA108" s="9">
        <v>77667.663702655205</v>
      </c>
      <c r="AB108" s="9">
        <v>258.72087570476936</v>
      </c>
      <c r="AC108" s="9">
        <v>45.812400184700742</v>
      </c>
      <c r="AD108" s="9">
        <v>124.5466958110672</v>
      </c>
      <c r="AE108" s="9">
        <v>96.056024647546323</v>
      </c>
      <c r="AF108" s="9">
        <v>110.83322830942926</v>
      </c>
      <c r="AG108" s="9">
        <v>1293.8822444657117</v>
      </c>
      <c r="AH108" s="9">
        <v>41855.072442435317</v>
      </c>
      <c r="AI108" s="9">
        <v>4685.0210305306273</v>
      </c>
      <c r="AJ108" s="9">
        <v>48211.224066384399</v>
      </c>
      <c r="AK108" s="9">
        <v>58477145.544175103</v>
      </c>
      <c r="AL108" s="9">
        <v>57654628.713131376</v>
      </c>
    </row>
    <row r="109" spans="1:38" x14ac:dyDescent="0.25">
      <c r="A109" s="9">
        <v>107</v>
      </c>
      <c r="B109" s="9">
        <v>53</v>
      </c>
      <c r="C109" s="9">
        <v>4.7166666666666668E-4</v>
      </c>
      <c r="D109" s="9">
        <v>8.3203567323431749</v>
      </c>
      <c r="E109" s="9">
        <v>22.773923168067814</v>
      </c>
      <c r="F109" s="9">
        <v>17.609201504977793</v>
      </c>
      <c r="G109" s="9">
        <v>21.732244312117007</v>
      </c>
      <c r="H109" s="9">
        <v>79.647079834871704</v>
      </c>
      <c r="I109" s="9">
        <v>4967.2665586019502</v>
      </c>
      <c r="J109" s="9">
        <v>3394.2296623278316</v>
      </c>
      <c r="K109" s="9">
        <v>1389.837772596632</v>
      </c>
      <c r="L109" s="9">
        <v>4157.4650284358149</v>
      </c>
      <c r="M109" s="9">
        <v>3.0503713295888466</v>
      </c>
      <c r="N109" s="9">
        <v>354.08312784872743</v>
      </c>
      <c r="O109" s="9">
        <v>34.1537313830136</v>
      </c>
      <c r="P109" s="9">
        <v>2.3162672709864012</v>
      </c>
      <c r="Q109" s="9">
        <v>34.1537313830136</v>
      </c>
      <c r="R109" s="9">
        <v>119.4775040473633</v>
      </c>
      <c r="S109" s="9">
        <v>58.893567429628206</v>
      </c>
      <c r="T109" s="9">
        <v>276.50893228652473</v>
      </c>
      <c r="U109" s="9">
        <v>348.33057905412812</v>
      </c>
      <c r="V109" s="9">
        <v>347.52934917870317</v>
      </c>
      <c r="W109" s="9">
        <v>65812.919572453291</v>
      </c>
      <c r="X109" s="9">
        <v>66024.993363150672</v>
      </c>
      <c r="Y109" s="9">
        <v>212.07379069738818</v>
      </c>
      <c r="Z109" s="9">
        <v>77408.942826950442</v>
      </c>
      <c r="AA109" s="9">
        <v>77667.663702655205</v>
      </c>
      <c r="AB109" s="9">
        <v>258.72087570476936</v>
      </c>
      <c r="AC109" s="9">
        <v>45.318209668829155</v>
      </c>
      <c r="AD109" s="9">
        <v>124.04196818874269</v>
      </c>
      <c r="AE109" s="9">
        <v>95.911450863779038</v>
      </c>
      <c r="AF109" s="9">
        <v>110.59901334508213</v>
      </c>
      <c r="AG109" s="9">
        <v>1291.0791641232704</v>
      </c>
      <c r="AH109" s="9">
        <v>41947.984626028214</v>
      </c>
      <c r="AI109" s="9">
        <v>4687.6334995612569</v>
      </c>
      <c r="AJ109" s="9">
        <v>48302.567931779173</v>
      </c>
      <c r="AK109" s="9">
        <v>58525448.112106882</v>
      </c>
      <c r="AL109" s="9">
        <v>57685585.047402859</v>
      </c>
    </row>
    <row r="110" spans="1:38" x14ac:dyDescent="0.25">
      <c r="A110" s="9">
        <v>108</v>
      </c>
      <c r="B110" s="9">
        <v>54</v>
      </c>
      <c r="C110" s="9">
        <v>4.7166666666666668E-4</v>
      </c>
      <c r="D110" s="9">
        <v>8.2306028366901494</v>
      </c>
      <c r="E110" s="9">
        <v>22.681047110299954</v>
      </c>
      <c r="F110" s="9">
        <v>17.582268306082891</v>
      </c>
      <c r="G110" s="9">
        <v>21.686432945936645</v>
      </c>
      <c r="H110" s="9">
        <v>79.474543390202228</v>
      </c>
      <c r="I110" s="9">
        <v>4967.4887109364827</v>
      </c>
      <c r="J110" s="9">
        <v>3392.6287173371002</v>
      </c>
      <c r="K110" s="9">
        <v>1389.1822324472239</v>
      </c>
      <c r="L110" s="9">
        <v>4150.985972847343</v>
      </c>
      <c r="M110" s="9">
        <v>3.0454569705153931</v>
      </c>
      <c r="N110" s="9">
        <v>357.1285848192428</v>
      </c>
      <c r="O110" s="9">
        <v>34.105173102127793</v>
      </c>
      <c r="P110" s="9">
        <v>2.3110496848722071</v>
      </c>
      <c r="Q110" s="9">
        <v>34.105173102127793</v>
      </c>
      <c r="R110" s="9">
        <v>119.85626592942789</v>
      </c>
      <c r="S110" s="9">
        <v>58.923963675149466</v>
      </c>
      <c r="T110" s="9">
        <v>279.2376656457285</v>
      </c>
      <c r="U110" s="9">
        <v>352.7449781652287</v>
      </c>
      <c r="V110" s="9">
        <v>351.91780191255594</v>
      </c>
      <c r="W110" s="9">
        <v>72074.334778665288</v>
      </c>
      <c r="X110" s="9">
        <v>72316.443476927961</v>
      </c>
      <c r="Y110" s="9">
        <v>242.10869826269234</v>
      </c>
      <c r="Z110" s="9">
        <v>86659.904809191969</v>
      </c>
      <c r="AA110" s="9">
        <v>86963.000922582796</v>
      </c>
      <c r="AB110" s="9">
        <v>303.09611339082932</v>
      </c>
      <c r="AC110" s="9">
        <v>44.829350117172346</v>
      </c>
      <c r="AD110" s="9">
        <v>123.53610326076708</v>
      </c>
      <c r="AE110" s="9">
        <v>95.764754707131473</v>
      </c>
      <c r="AF110" s="9">
        <v>110.36587166736257</v>
      </c>
      <c r="AG110" s="9">
        <v>1288.2823483551781</v>
      </c>
      <c r="AH110" s="9">
        <v>42038.144517972738</v>
      </c>
      <c r="AI110" s="9">
        <v>4690.0528887235214</v>
      </c>
      <c r="AJ110" s="9">
        <v>48390.975834803874</v>
      </c>
      <c r="AK110" s="9">
        <v>58573839.087941684</v>
      </c>
      <c r="AL110" s="9">
        <v>57716469.356248796</v>
      </c>
    </row>
    <row r="111" spans="1:38" x14ac:dyDescent="0.25">
      <c r="A111" s="9">
        <v>109</v>
      </c>
      <c r="B111" s="9">
        <v>54</v>
      </c>
      <c r="C111" s="9">
        <v>5.1916666666666669E-4</v>
      </c>
      <c r="D111" s="9">
        <v>8.1414261864885553</v>
      </c>
      <c r="E111" s="9">
        <v>22.58689663011398</v>
      </c>
      <c r="F111" s="9">
        <v>17.554113057658505</v>
      </c>
      <c r="G111" s="9">
        <v>21.639795986245765</v>
      </c>
      <c r="H111" s="9">
        <v>79.298618609009509</v>
      </c>
      <c r="I111" s="9">
        <v>4967.7103949759876</v>
      </c>
      <c r="J111" s="9">
        <v>3390.8673775946827</v>
      </c>
      <c r="K111" s="9">
        <v>1388.4610153382116</v>
      </c>
      <c r="L111" s="9">
        <v>4144.3198424821485</v>
      </c>
      <c r="M111" s="9">
        <v>3.0405506572007304</v>
      </c>
      <c r="N111" s="9">
        <v>360.16913547644356</v>
      </c>
      <c r="O111" s="9">
        <v>34.054827582858557</v>
      </c>
      <c r="P111" s="9">
        <v>2.3074238001414411</v>
      </c>
      <c r="Q111" s="9">
        <v>34.054827582858557</v>
      </c>
      <c r="R111" s="9">
        <v>120.21958310754314</v>
      </c>
      <c r="S111" s="9">
        <v>58.94919209108356</v>
      </c>
      <c r="T111" s="9">
        <v>281.96542273383795</v>
      </c>
      <c r="U111" s="9">
        <v>357.16368018637098</v>
      </c>
      <c r="V111" s="9">
        <v>356.74363115256835</v>
      </c>
      <c r="W111" s="9">
        <v>72074.334778665288</v>
      </c>
      <c r="X111" s="9">
        <v>72316.443476927961</v>
      </c>
      <c r="Y111" s="9">
        <v>242.10869826269234</v>
      </c>
      <c r="Z111" s="9">
        <v>86659.904809191969</v>
      </c>
      <c r="AA111" s="9">
        <v>86963.000922582796</v>
      </c>
      <c r="AB111" s="9">
        <v>303.09611339082932</v>
      </c>
      <c r="AC111" s="9">
        <v>44.34363462907433</v>
      </c>
      <c r="AD111" s="9">
        <v>123.02329697868747</v>
      </c>
      <c r="AE111" s="9">
        <v>95.611402454046654</v>
      </c>
      <c r="AF111" s="9">
        <v>110.12852840666906</v>
      </c>
      <c r="AG111" s="9">
        <v>1285.4306076520443</v>
      </c>
      <c r="AH111" s="9">
        <v>42123.599342942922</v>
      </c>
      <c r="AI111" s="9">
        <v>4692.0609444897955</v>
      </c>
      <c r="AJ111" s="9">
        <v>48474.197757553236</v>
      </c>
      <c r="AK111" s="9">
        <v>58622313.285699233</v>
      </c>
      <c r="AL111" s="9">
        <v>57747278.408318758</v>
      </c>
    </row>
    <row r="112" spans="1:38" x14ac:dyDescent="0.25">
      <c r="A112" s="9">
        <v>110</v>
      </c>
      <c r="B112" s="9">
        <v>54</v>
      </c>
      <c r="C112" s="9">
        <v>5.1916666666666669E-4</v>
      </c>
      <c r="D112" s="9">
        <v>8.0532157443641772</v>
      </c>
      <c r="E112" s="9">
        <v>22.492569504339048</v>
      </c>
      <c r="F112" s="9">
        <v>17.525576381146237</v>
      </c>
      <c r="G112" s="9">
        <v>21.593361633557922</v>
      </c>
      <c r="H112" s="9">
        <v>79.123097239914955</v>
      </c>
      <c r="I112" s="9">
        <v>4967.9316022810463</v>
      </c>
      <c r="J112" s="9">
        <v>3389.1069522811481</v>
      </c>
      <c r="K112" s="9">
        <v>1387.7401726610819</v>
      </c>
      <c r="L112" s="9">
        <v>4137.6644173552604</v>
      </c>
      <c r="M112" s="9">
        <v>3.0355079537399758</v>
      </c>
      <c r="N112" s="9">
        <v>363.20464343018352</v>
      </c>
      <c r="O112" s="9">
        <v>34.00431411508719</v>
      </c>
      <c r="P112" s="9">
        <v>2.3037055949128113</v>
      </c>
      <c r="Q112" s="9">
        <v>34.00431411508719</v>
      </c>
      <c r="R112" s="9">
        <v>120.57328896064674</v>
      </c>
      <c r="S112" s="9">
        <v>58.972104206879116</v>
      </c>
      <c r="T112" s="9">
        <v>284.69202061500425</v>
      </c>
      <c r="U112" s="9">
        <v>361.58626898122299</v>
      </c>
      <c r="V112" s="9">
        <v>361.56466094010079</v>
      </c>
      <c r="W112" s="9">
        <v>72074.334778665288</v>
      </c>
      <c r="X112" s="9">
        <v>72316.443476927961</v>
      </c>
      <c r="Y112" s="9">
        <v>242.10869826269234</v>
      </c>
      <c r="Z112" s="9">
        <v>86659.904809191969</v>
      </c>
      <c r="AA112" s="9">
        <v>86963.000922582796</v>
      </c>
      <c r="AB112" s="9">
        <v>303.09611339082932</v>
      </c>
      <c r="AC112" s="9">
        <v>43.863181754303547</v>
      </c>
      <c r="AD112" s="9">
        <v>122.50952856696668</v>
      </c>
      <c r="AE112" s="9">
        <v>95.455972689309831</v>
      </c>
      <c r="AF112" s="9">
        <v>109.89221624678186</v>
      </c>
      <c r="AG112" s="9">
        <v>1282.5854062590215</v>
      </c>
      <c r="AH112" s="9">
        <v>42206.384002475315</v>
      </c>
      <c r="AI112" s="9">
        <v>4693.884634346543</v>
      </c>
      <c r="AJ112" s="9">
        <v>48554.574942338244</v>
      </c>
      <c r="AK112" s="9">
        <v>58670867.860641569</v>
      </c>
      <c r="AL112" s="9">
        <v>57778010.495859027</v>
      </c>
    </row>
    <row r="113" spans="1:38" x14ac:dyDescent="0.25">
      <c r="A113" s="9">
        <v>111</v>
      </c>
      <c r="B113" s="9">
        <v>54</v>
      </c>
      <c r="C113" s="9">
        <v>5.1916666666666669E-4</v>
      </c>
      <c r="D113" s="9">
        <v>7.9659610416792468</v>
      </c>
      <c r="E113" s="9">
        <v>22.398077094507205</v>
      </c>
      <c r="F113" s="9">
        <v>17.496661213465998</v>
      </c>
      <c r="G113" s="9">
        <v>21.547123669883852</v>
      </c>
      <c r="H113" s="9">
        <v>78.947979335758134</v>
      </c>
      <c r="I113" s="9">
        <v>4968.1523349227564</v>
      </c>
      <c r="J113" s="9">
        <v>3387.3474409217556</v>
      </c>
      <c r="K113" s="9">
        <v>1387.019704221442</v>
      </c>
      <c r="L113" s="9">
        <v>4131.019680274977</v>
      </c>
      <c r="M113" s="9">
        <v>3.0304737485337636</v>
      </c>
      <c r="N113" s="9">
        <v>366.2351171787173</v>
      </c>
      <c r="O113" s="9">
        <v>33.953639003037964</v>
      </c>
      <c r="P113" s="9">
        <v>2.29999344196204</v>
      </c>
      <c r="Q113" s="9">
        <v>33.953639003037964</v>
      </c>
      <c r="R113" s="9">
        <v>120.91754543975453</v>
      </c>
      <c r="S113" s="9">
        <v>58.99275398138758</v>
      </c>
      <c r="T113" s="9">
        <v>287.41740701171688</v>
      </c>
      <c r="U113" s="9">
        <v>366.01254205812535</v>
      </c>
      <c r="V113" s="9">
        <v>366.38089174898573</v>
      </c>
      <c r="W113" s="9">
        <v>72074.334778665288</v>
      </c>
      <c r="X113" s="9">
        <v>72316.443476927961</v>
      </c>
      <c r="Y113" s="9">
        <v>242.10869826269234</v>
      </c>
      <c r="Z113" s="9">
        <v>86659.904809191969</v>
      </c>
      <c r="AA113" s="9">
        <v>86963.000922582796</v>
      </c>
      <c r="AB113" s="9">
        <v>303.09611339082932</v>
      </c>
      <c r="AC113" s="9">
        <v>43.387934473679628</v>
      </c>
      <c r="AD113" s="9">
        <v>121.99485990808256</v>
      </c>
      <c r="AE113" s="9">
        <v>95.298481409344802</v>
      </c>
      <c r="AF113" s="9">
        <v>109.65690354331723</v>
      </c>
      <c r="AG113" s="9">
        <v>1279.7467450326394</v>
      </c>
      <c r="AH113" s="9">
        <v>42286.544437541539</v>
      </c>
      <c r="AI113" s="9">
        <v>4695.5282531485445</v>
      </c>
      <c r="AJ113" s="9">
        <v>48632.157615057149</v>
      </c>
      <c r="AK113" s="9">
        <v>58719500.018256627</v>
      </c>
      <c r="AL113" s="9">
        <v>57808663.965713009</v>
      </c>
    </row>
    <row r="114" spans="1:38" x14ac:dyDescent="0.25">
      <c r="A114" s="9">
        <v>112</v>
      </c>
      <c r="B114" s="9">
        <v>54</v>
      </c>
      <c r="C114" s="9">
        <v>5.1916666666666669E-4</v>
      </c>
      <c r="D114" s="9">
        <v>7.8796517232212278</v>
      </c>
      <c r="E114" s="9">
        <v>22.303430564467341</v>
      </c>
      <c r="F114" s="9">
        <v>17.467370542686986</v>
      </c>
      <c r="G114" s="9">
        <v>21.501075975144587</v>
      </c>
      <c r="H114" s="9">
        <v>78.773264885552422</v>
      </c>
      <c r="I114" s="9">
        <v>4968.3725949086547</v>
      </c>
      <c r="J114" s="9">
        <v>3385.5888430420105</v>
      </c>
      <c r="K114" s="9">
        <v>1386.2996098250003</v>
      </c>
      <c r="L114" s="9">
        <v>4124.3856140772041</v>
      </c>
      <c r="M114" s="9">
        <v>3.0254480302535973</v>
      </c>
      <c r="N114" s="9">
        <v>369.26056520897089</v>
      </c>
      <c r="O114" s="9">
        <v>33.902808400267801</v>
      </c>
      <c r="P114" s="9">
        <v>2.2962873357321936</v>
      </c>
      <c r="Q114" s="9">
        <v>33.902808400267801</v>
      </c>
      <c r="R114" s="9">
        <v>121.25251186342867</v>
      </c>
      <c r="S114" s="9">
        <v>59.01119387605808</v>
      </c>
      <c r="T114" s="9">
        <v>290.14153062386822</v>
      </c>
      <c r="U114" s="9">
        <v>370.44230107205624</v>
      </c>
      <c r="V114" s="9">
        <v>371.1923241579367</v>
      </c>
      <c r="W114" s="9">
        <v>72074.334778665288</v>
      </c>
      <c r="X114" s="9">
        <v>72316.443476927961</v>
      </c>
      <c r="Y114" s="9">
        <v>242.10869826269234</v>
      </c>
      <c r="Z114" s="9">
        <v>86659.904809191969</v>
      </c>
      <c r="AA114" s="9">
        <v>86963.000922582796</v>
      </c>
      <c r="AB114" s="9">
        <v>303.09611339082932</v>
      </c>
      <c r="AC114" s="9">
        <v>42.917836385811619</v>
      </c>
      <c r="AD114" s="9">
        <v>121.47935180779878</v>
      </c>
      <c r="AE114" s="9">
        <v>95.138944889168442</v>
      </c>
      <c r="AF114" s="9">
        <v>109.42255915017333</v>
      </c>
      <c r="AG114" s="9">
        <v>1276.9146237948048</v>
      </c>
      <c r="AH114" s="9">
        <v>42364.125829200566</v>
      </c>
      <c r="AI114" s="9">
        <v>4696.9959765648427</v>
      </c>
      <c r="AJ114" s="9">
        <v>48706.995121793167</v>
      </c>
      <c r="AK114" s="9">
        <v>58768207.013378419</v>
      </c>
      <c r="AL114" s="9">
        <v>57839237.21805156</v>
      </c>
    </row>
    <row r="115" spans="1:38" x14ac:dyDescent="0.25">
      <c r="A115" s="9">
        <v>113</v>
      </c>
      <c r="B115" s="9">
        <v>54</v>
      </c>
      <c r="C115" s="9">
        <v>5.1916666666666669E-4</v>
      </c>
      <c r="D115" s="9">
        <v>7.7942775459738813</v>
      </c>
      <c r="E115" s="9">
        <v>22.208640883115844</v>
      </c>
      <c r="F115" s="9">
        <v>17.437707406001184</v>
      </c>
      <c r="G115" s="9">
        <v>21.455212526661747</v>
      </c>
      <c r="H115" s="9">
        <v>78.598953815805231</v>
      </c>
      <c r="I115" s="9">
        <v>4968.5923841837175</v>
      </c>
      <c r="J115" s="9">
        <v>3383.8311581676644</v>
      </c>
      <c r="K115" s="9">
        <v>1385.5798892775661</v>
      </c>
      <c r="L115" s="9">
        <v>4117.7622016254118</v>
      </c>
      <c r="M115" s="9">
        <v>3.020430787378213</v>
      </c>
      <c r="N115" s="9">
        <v>372.28099599634908</v>
      </c>
      <c r="O115" s="9">
        <v>33.851828312519082</v>
      </c>
      <c r="P115" s="9">
        <v>2.2925872704809152</v>
      </c>
      <c r="Q115" s="9">
        <v>33.851828312519082</v>
      </c>
      <c r="R115" s="9">
        <v>121.57834496029133</v>
      </c>
      <c r="S115" s="9">
        <v>59.027474907266864</v>
      </c>
      <c r="T115" s="9">
        <v>292.8643411124055</v>
      </c>
      <c r="U115" s="9">
        <v>374.8753517283003</v>
      </c>
      <c r="V115" s="9">
        <v>375.99895884834075</v>
      </c>
      <c r="W115" s="9">
        <v>72074.334778665288</v>
      </c>
      <c r="X115" s="9">
        <v>72316.443476927961</v>
      </c>
      <c r="Y115" s="9">
        <v>242.10869826269234</v>
      </c>
      <c r="Z115" s="9">
        <v>86659.904809191969</v>
      </c>
      <c r="AA115" s="9">
        <v>86963.000922582796</v>
      </c>
      <c r="AB115" s="9">
        <v>303.09611339082932</v>
      </c>
      <c r="AC115" s="9">
        <v>42.452831700404403</v>
      </c>
      <c r="AD115" s="9">
        <v>120.96306401003763</v>
      </c>
      <c r="AE115" s="9">
        <v>94.977379671353106</v>
      </c>
      <c r="AF115" s="9">
        <v>109.18915241693607</v>
      </c>
      <c r="AG115" s="9">
        <v>1274.0890413542029</v>
      </c>
      <c r="AH115" s="9">
        <v>42439.172610985734</v>
      </c>
      <c r="AI115" s="9">
        <v>4698.2918652439057</v>
      </c>
      <c r="AJ115" s="9">
        <v>48779.135945382572</v>
      </c>
      <c r="AK115" s="9">
        <v>58816986.149323799</v>
      </c>
      <c r="AL115" s="9">
        <v>57869728.705131926</v>
      </c>
    </row>
    <row r="116" spans="1:38" x14ac:dyDescent="0.25">
      <c r="A116" s="9">
        <v>114</v>
      </c>
      <c r="B116" s="9">
        <v>54</v>
      </c>
      <c r="C116" s="9">
        <v>5.1916666666666669E-4</v>
      </c>
      <c r="D116" s="9">
        <v>7.7098283779016468</v>
      </c>
      <c r="E116" s="9">
        <v>22.113718827093003</v>
      </c>
      <c r="F116" s="9">
        <v>17.407674887739521</v>
      </c>
      <c r="G116" s="9">
        <v>21.409527398631845</v>
      </c>
      <c r="H116" s="9">
        <v>78.425045991826337</v>
      </c>
      <c r="I116" s="9">
        <v>4968.8117046313546</v>
      </c>
      <c r="J116" s="9">
        <v>3382.0743858247156</v>
      </c>
      <c r="K116" s="9">
        <v>1384.8605423850495</v>
      </c>
      <c r="L116" s="9">
        <v>4111.1494258105913</v>
      </c>
      <c r="M116" s="9">
        <v>3.0154220081979228</v>
      </c>
      <c r="N116" s="9">
        <v>375.29641800454698</v>
      </c>
      <c r="O116" s="9">
        <v>33.800704602716074</v>
      </c>
      <c r="P116" s="9">
        <v>2.2888932402839277</v>
      </c>
      <c r="Q116" s="9">
        <v>33.800704602716074</v>
      </c>
      <c r="R116" s="9">
        <v>121.89519891085254</v>
      </c>
      <c r="S116" s="9">
        <v>59.041646696513659</v>
      </c>
      <c r="T116" s="9">
        <v>295.58578908324898</v>
      </c>
      <c r="U116" s="9">
        <v>379.31150368895692</v>
      </c>
      <c r="V116" s="9">
        <v>380.80079660210225</v>
      </c>
      <c r="W116" s="9">
        <v>72074.334778665288</v>
      </c>
      <c r="X116" s="9">
        <v>72316.443476927961</v>
      </c>
      <c r="Y116" s="9">
        <v>242.10869826269234</v>
      </c>
      <c r="Z116" s="9">
        <v>86659.904809191969</v>
      </c>
      <c r="AA116" s="9">
        <v>86963.000922582796</v>
      </c>
      <c r="AB116" s="9">
        <v>303.09611339082932</v>
      </c>
      <c r="AC116" s="9">
        <v>41.99286523163763</v>
      </c>
      <c r="AD116" s="9">
        <v>120.44605521156655</v>
      </c>
      <c r="AE116" s="9">
        <v>94.813802555221258</v>
      </c>
      <c r="AF116" s="9">
        <v>108.95665318620389</v>
      </c>
      <c r="AG116" s="9">
        <v>1271.269995527505</v>
      </c>
      <c r="AH116" s="9">
        <v>42511.728481689825</v>
      </c>
      <c r="AI116" s="9">
        <v>4699.4198688090046</v>
      </c>
      <c r="AJ116" s="9">
        <v>48848.627722210964</v>
      </c>
      <c r="AK116" s="9">
        <v>58865834.77704601</v>
      </c>
      <c r="AL116" s="9">
        <v>57900136.930084921</v>
      </c>
    </row>
    <row r="117" spans="1:38" x14ac:dyDescent="0.25">
      <c r="A117" s="9">
        <v>115</v>
      </c>
      <c r="B117" s="9">
        <v>54</v>
      </c>
      <c r="C117" s="9">
        <v>5.1916666666666669E-4</v>
      </c>
      <c r="D117" s="9">
        <v>7.6262941967471898</v>
      </c>
      <c r="E117" s="9">
        <v>22.018674983445599</v>
      </c>
      <c r="F117" s="9">
        <v>17.377276117429947</v>
      </c>
      <c r="G117" s="9">
        <v>21.364014761585203</v>
      </c>
      <c r="H117" s="9">
        <v>78.251541219024375</v>
      </c>
      <c r="I117" s="9">
        <v>4969.0305580744016</v>
      </c>
      <c r="J117" s="9">
        <v>3380.3185255394083</v>
      </c>
      <c r="K117" s="9">
        <v>1384.1415689534613</v>
      </c>
      <c r="L117" s="9">
        <v>4104.547269551208</v>
      </c>
      <c r="M117" s="9">
        <v>3.0104216808189164</v>
      </c>
      <c r="N117" s="9">
        <v>378.3068396853659</v>
      </c>
      <c r="O117" s="9">
        <v>33.749442992961484</v>
      </c>
      <c r="P117" s="9">
        <v>2.2852052390385187</v>
      </c>
      <c r="Q117" s="9">
        <v>33.749442992961484</v>
      </c>
      <c r="R117" s="9">
        <v>122.20322538866283</v>
      </c>
      <c r="S117" s="9">
        <v>59.05375751859129</v>
      </c>
      <c r="T117" s="9">
        <v>298.30582607148619</v>
      </c>
      <c r="U117" s="9">
        <v>383.7505704822193</v>
      </c>
      <c r="V117" s="9">
        <v>385.59783829953693</v>
      </c>
      <c r="W117" s="9">
        <v>72074.334778665288</v>
      </c>
      <c r="X117" s="9">
        <v>72316.443476927961</v>
      </c>
      <c r="Y117" s="9">
        <v>242.10869826269234</v>
      </c>
      <c r="Z117" s="9">
        <v>86659.904809191969</v>
      </c>
      <c r="AA117" s="9">
        <v>86963.000922582796</v>
      </c>
      <c r="AB117" s="9">
        <v>303.09611339082932</v>
      </c>
      <c r="AC117" s="9">
        <v>41.537882391616357</v>
      </c>
      <c r="AD117" s="9">
        <v>119.92838307650035</v>
      </c>
      <c r="AE117" s="9">
        <v>94.64823058626844</v>
      </c>
      <c r="AF117" s="9">
        <v>108.72503179083402</v>
      </c>
      <c r="AG117" s="9">
        <v>1268.4574831603852</v>
      </c>
      <c r="AH117" s="9">
        <v>42581.836417146646</v>
      </c>
      <c r="AI117" s="9">
        <v>4700.383829692274</v>
      </c>
      <c r="AJ117" s="9">
        <v>48915.517257844527</v>
      </c>
      <c r="AK117" s="9">
        <v>58914750.294303857</v>
      </c>
      <c r="AL117" s="9">
        <v>57930460.445729278</v>
      </c>
    </row>
    <row r="118" spans="1:38" x14ac:dyDescent="0.25">
      <c r="A118" s="9">
        <v>116</v>
      </c>
      <c r="B118" s="9">
        <v>54</v>
      </c>
      <c r="C118" s="9">
        <v>5.1916666666666669E-4</v>
      </c>
      <c r="D118" s="9">
        <v>7.5436650888419825</v>
      </c>
      <c r="E118" s="9">
        <v>21.923519752256063</v>
      </c>
      <c r="F118" s="9">
        <v>17.346514267896762</v>
      </c>
      <c r="G118" s="9">
        <v>21.318668881830114</v>
      </c>
      <c r="H118" s="9">
        <v>78.07843924419123</v>
      </c>
      <c r="I118" s="9">
        <v>4969.2489462761041</v>
      </c>
      <c r="J118" s="9">
        <v>3378.5635768382322</v>
      </c>
      <c r="K118" s="9">
        <v>1383.4229687889128</v>
      </c>
      <c r="L118" s="9">
        <v>4097.9557157931586</v>
      </c>
      <c r="M118" s="9">
        <v>3.0054297931675169</v>
      </c>
      <c r="N118" s="9">
        <v>381.31226947853344</v>
      </c>
      <c r="O118" s="9">
        <v>33.698049068533003</v>
      </c>
      <c r="P118" s="9">
        <v>2.281523260466999</v>
      </c>
      <c r="Q118" s="9">
        <v>33.698049068533003</v>
      </c>
      <c r="R118" s="9">
        <v>122.50257360080199</v>
      </c>
      <c r="S118" s="9">
        <v>59.063854347799989</v>
      </c>
      <c r="T118" s="9">
        <v>301.02440452582005</v>
      </c>
      <c r="U118" s="9">
        <v>388.19236941427641</v>
      </c>
      <c r="V118" s="9">
        <v>390.39008491731329</v>
      </c>
      <c r="W118" s="9">
        <v>72074.334778665288</v>
      </c>
      <c r="X118" s="9">
        <v>72316.443476927961</v>
      </c>
      <c r="Y118" s="9">
        <v>242.10869826269234</v>
      </c>
      <c r="Z118" s="9">
        <v>86659.904809191969</v>
      </c>
      <c r="AA118" s="9">
        <v>86963.000922582796</v>
      </c>
      <c r="AB118" s="9">
        <v>303.09611339082932</v>
      </c>
      <c r="AC118" s="9">
        <v>41.087829183892659</v>
      </c>
      <c r="AD118" s="9">
        <v>119.41010425062134</v>
      </c>
      <c r="AE118" s="9">
        <v>94.480681045811025</v>
      </c>
      <c r="AF118" s="9">
        <v>108.49425905111374</v>
      </c>
      <c r="AG118" s="9">
        <v>1265.6515001483399</v>
      </c>
      <c r="AH118" s="9">
        <v>42649.538682377461</v>
      </c>
      <c r="AI118" s="9">
        <v>4701.1874868131399</v>
      </c>
      <c r="AJ118" s="9">
        <v>48979.850542870379</v>
      </c>
      <c r="AK118" s="9">
        <v>58963730.14484673</v>
      </c>
      <c r="AL118" s="9">
        <v>57960697.85341274</v>
      </c>
    </row>
    <row r="119" spans="1:38" x14ac:dyDescent="0.25">
      <c r="A119" s="9">
        <v>117</v>
      </c>
      <c r="B119" s="9">
        <v>54</v>
      </c>
      <c r="C119" s="9">
        <v>5.1916666666666669E-4</v>
      </c>
      <c r="D119" s="9">
        <v>7.461931247929769</v>
      </c>
      <c r="E119" s="9">
        <v>21.828263349238618</v>
      </c>
      <c r="F119" s="9">
        <v>17.315392553400436</v>
      </c>
      <c r="G119" s="9">
        <v>21.273484120882824</v>
      </c>
      <c r="H119" s="9">
        <v>77.905739756774381</v>
      </c>
      <c r="I119" s="9">
        <v>4969.4668709410953</v>
      </c>
      <c r="J119" s="9">
        <v>3376.8095392479236</v>
      </c>
      <c r="K119" s="9">
        <v>1382.7047416976166</v>
      </c>
      <c r="L119" s="9">
        <v>4091.3747475097289</v>
      </c>
      <c r="M119" s="9">
        <v>3.0004463329944069</v>
      </c>
      <c r="N119" s="9">
        <v>384.31271581152782</v>
      </c>
      <c r="O119" s="9">
        <v>33.646528279879867</v>
      </c>
      <c r="P119" s="9">
        <v>2.2778472981201361</v>
      </c>
      <c r="Q119" s="9">
        <v>33.646528279879867</v>
      </c>
      <c r="R119" s="9">
        <v>122.79339032771446</v>
      </c>
      <c r="S119" s="9">
        <v>59.071982902303887</v>
      </c>
      <c r="T119" s="9">
        <v>303.74147779327842</v>
      </c>
      <c r="U119" s="9">
        <v>392.63672148377572</v>
      </c>
      <c r="V119" s="9">
        <v>395.17753752644154</v>
      </c>
      <c r="W119" s="9">
        <v>72074.334778665288</v>
      </c>
      <c r="X119" s="9">
        <v>72316.443476927961</v>
      </c>
      <c r="Y119" s="9">
        <v>242.10869826269234</v>
      </c>
      <c r="Z119" s="9">
        <v>86659.904809191969</v>
      </c>
      <c r="AA119" s="9">
        <v>86963.000922582796</v>
      </c>
      <c r="AB119" s="9">
        <v>303.09611339082932</v>
      </c>
      <c r="AC119" s="9">
        <v>40.642652197057473</v>
      </c>
      <c r="AD119" s="9">
        <v>118.89127437551967</v>
      </c>
      <c r="AE119" s="9">
        <v>94.311171440854366</v>
      </c>
      <c r="AF119" s="9">
        <v>108.2643062718595</v>
      </c>
      <c r="AG119" s="9">
        <v>1262.8520414573127</v>
      </c>
      <c r="AH119" s="9">
        <v>42714.876843012913</v>
      </c>
      <c r="AI119" s="9">
        <v>4701.8344791088775</v>
      </c>
      <c r="AJ119" s="9">
        <v>49041.672767864395</v>
      </c>
      <c r="AK119" s="9">
        <v>59012771.817614593</v>
      </c>
      <c r="AL119" s="9">
        <v>57990847.801879019</v>
      </c>
    </row>
    <row r="120" spans="1:38" x14ac:dyDescent="0.25">
      <c r="A120" s="9">
        <v>118</v>
      </c>
      <c r="B120" s="9">
        <v>54</v>
      </c>
      <c r="C120" s="9">
        <v>5.1916666666666669E-4</v>
      </c>
      <c r="D120" s="9">
        <v>7.381082974002779</v>
      </c>
      <c r="E120" s="9">
        <v>21.732915808302778</v>
      </c>
      <c r="F120" s="9">
        <v>17.283914227817267</v>
      </c>
      <c r="G120" s="9">
        <v>21.228454934883935</v>
      </c>
      <c r="H120" s="9">
        <v>77.733442390137014</v>
      </c>
      <c r="I120" s="9">
        <v>4969.6843337163718</v>
      </c>
      <c r="J120" s="9">
        <v>3375.0564122954638</v>
      </c>
      <c r="K120" s="9">
        <v>1381.9868874858853</v>
      </c>
      <c r="L120" s="9">
        <v>4084.8043477015467</v>
      </c>
      <c r="M120" s="9">
        <v>2.995471287878809</v>
      </c>
      <c r="N120" s="9">
        <v>387.30818709940661</v>
      </c>
      <c r="O120" s="9">
        <v>33.594885947619439</v>
      </c>
      <c r="P120" s="9">
        <v>2.2741773453805623</v>
      </c>
      <c r="Q120" s="9">
        <v>33.594885947619439</v>
      </c>
      <c r="R120" s="9">
        <v>123.07581996240197</v>
      </c>
      <c r="S120" s="9">
        <v>59.078187686699401</v>
      </c>
      <c r="T120" s="9">
        <v>306.4570001041705</v>
      </c>
      <c r="U120" s="9">
        <v>397.08345129872288</v>
      </c>
      <c r="V120" s="9">
        <v>399.96019729030724</v>
      </c>
      <c r="W120" s="9">
        <v>72074.334778665288</v>
      </c>
      <c r="X120" s="9">
        <v>72316.443476927961</v>
      </c>
      <c r="Y120" s="9">
        <v>242.10869826269234</v>
      </c>
      <c r="Z120" s="9">
        <v>86659.904809191969</v>
      </c>
      <c r="AA120" s="9">
        <v>86963.000922582796</v>
      </c>
      <c r="AB120" s="9">
        <v>303.09611339082932</v>
      </c>
      <c r="AC120" s="9">
        <v>40.202298598401804</v>
      </c>
      <c r="AD120" s="9">
        <v>118.37194810255579</v>
      </c>
      <c r="AE120" s="9">
        <v>94.139719494178038</v>
      </c>
      <c r="AF120" s="9">
        <v>108.03514523944682</v>
      </c>
      <c r="AG120" s="9">
        <v>1260.0591011441211</v>
      </c>
      <c r="AH120" s="9">
        <v>42777.891777358614</v>
      </c>
      <c r="AI120" s="9">
        <v>4702.3283489228388</v>
      </c>
      <c r="AJ120" s="9">
        <v>49101.02833886016</v>
      </c>
      <c r="AK120" s="9">
        <v>59061872.84595345</v>
      </c>
      <c r="AL120" s="9">
        <v>58020908.986160502</v>
      </c>
    </row>
    <row r="121" spans="1:38" x14ac:dyDescent="0.25">
      <c r="A121" s="9">
        <v>119</v>
      </c>
      <c r="B121" s="9">
        <v>54</v>
      </c>
      <c r="C121" s="9">
        <v>5.1916666666666669E-4</v>
      </c>
      <c r="D121" s="9">
        <v>7.3011106721505508</v>
      </c>
      <c r="E121" s="9">
        <v>21.63748698408461</v>
      </c>
      <c r="F121" s="9">
        <v>17.252082582858176</v>
      </c>
      <c r="G121" s="9">
        <v>21.183575874001789</v>
      </c>
      <c r="H121" s="9">
        <v>77.561546722805915</v>
      </c>
      <c r="I121" s="9">
        <v>4969.9013361922589</v>
      </c>
      <c r="J121" s="9">
        <v>3373.3041955080803</v>
      </c>
      <c r="K121" s="9">
        <v>1381.2694059601322</v>
      </c>
      <c r="L121" s="9">
        <v>4078.2444993965396</v>
      </c>
      <c r="M121" s="9">
        <v>2.990504645232626</v>
      </c>
      <c r="N121" s="9">
        <v>390.29869174463926</v>
      </c>
      <c r="O121" s="9">
        <v>33.543127262533837</v>
      </c>
      <c r="P121" s="9">
        <v>2.2705133954661623</v>
      </c>
      <c r="Q121" s="9">
        <v>33.543127262533837</v>
      </c>
      <c r="R121" s="9">
        <v>123.35000454898388</v>
      </c>
      <c r="S121" s="9">
        <v>59.082512032891188</v>
      </c>
      <c r="T121" s="9">
        <v>309.17092655730266</v>
      </c>
      <c r="U121" s="9">
        <v>401.53238699578054</v>
      </c>
      <c r="V121" s="9">
        <v>404.73806546275011</v>
      </c>
      <c r="W121" s="9">
        <v>72074.334778665288</v>
      </c>
      <c r="X121" s="9">
        <v>72316.443476927961</v>
      </c>
      <c r="Y121" s="9">
        <v>242.10869826269234</v>
      </c>
      <c r="Z121" s="9">
        <v>86659.904809191969</v>
      </c>
      <c r="AA121" s="9">
        <v>86963.000922582796</v>
      </c>
      <c r="AB121" s="9">
        <v>303.09611339082932</v>
      </c>
      <c r="AC121" s="9">
        <v>39.766716127646667</v>
      </c>
      <c r="AD121" s="9">
        <v>117.8521791066475</v>
      </c>
      <c r="AE121" s="9">
        <v>93.966343134634187</v>
      </c>
      <c r="AF121" s="9">
        <v>107.8067482187741</v>
      </c>
      <c r="AG121" s="9">
        <v>1257.2726723766839</v>
      </c>
      <c r="AH121" s="9">
        <v>42838.623686922838</v>
      </c>
      <c r="AI121" s="9">
        <v>4702.672545257974</v>
      </c>
      <c r="AJ121" s="9">
        <v>49157.960891145201</v>
      </c>
      <c r="AK121" s="9">
        <v>59111030.806844592</v>
      </c>
      <c r="AL121" s="9">
        <v>58050880.14649529</v>
      </c>
    </row>
    <row r="122" spans="1:38" x14ac:dyDescent="0.25">
      <c r="A122" s="9">
        <v>120</v>
      </c>
      <c r="B122" s="9">
        <v>55</v>
      </c>
      <c r="C122" s="9">
        <v>5.1916666666666669E-4</v>
      </c>
      <c r="D122" s="9">
        <v>7.2220048514212234</v>
      </c>
      <c r="E122" s="9">
        <v>21.541986554446147</v>
      </c>
      <c r="F122" s="9">
        <v>17.219900946325975</v>
      </c>
      <c r="G122" s="9">
        <v>21.138841581823375</v>
      </c>
      <c r="H122" s="9">
        <v>77.390052279706964</v>
      </c>
      <c r="I122" s="9">
        <v>4970.1178799033723</v>
      </c>
      <c r="J122" s="9">
        <v>3371.5528884132455</v>
      </c>
      <c r="K122" s="9">
        <v>1380.5522969268711</v>
      </c>
      <c r="L122" s="9">
        <v>4071.6951856498913</v>
      </c>
      <c r="M122" s="9">
        <v>2.9855463923045416</v>
      </c>
      <c r="N122" s="9">
        <v>393.28423813694377</v>
      </c>
      <c r="O122" s="9">
        <v>33.492993202039763</v>
      </c>
      <c r="P122" s="9">
        <v>2.2651195309602339</v>
      </c>
      <c r="Q122" s="9">
        <v>33.492993202039763</v>
      </c>
      <c r="R122" s="9">
        <v>123.61434791016222</v>
      </c>
      <c r="S122" s="9">
        <v>59.084998139320476</v>
      </c>
      <c r="T122" s="9">
        <v>311.88321310542176</v>
      </c>
      <c r="U122" s="9">
        <v>405.98336016180059</v>
      </c>
      <c r="V122" s="9">
        <v>409.5111433861839</v>
      </c>
      <c r="W122" s="9">
        <v>77965.753381213115</v>
      </c>
      <c r="X122" s="9">
        <v>78236.857610994382</v>
      </c>
      <c r="Y122" s="9">
        <v>271.10422978129083</v>
      </c>
      <c r="Z122" s="9">
        <v>95799.428719465126</v>
      </c>
      <c r="AA122" s="9">
        <v>96147.506419038051</v>
      </c>
      <c r="AB122" s="9">
        <v>348.07769957292555</v>
      </c>
      <c r="AC122" s="9">
        <v>39.335853090740926</v>
      </c>
      <c r="AD122" s="9">
        <v>117.33202009988334</v>
      </c>
      <c r="AE122" s="9">
        <v>93.791060487655471</v>
      </c>
      <c r="AF122" s="9">
        <v>107.57908795016279</v>
      </c>
      <c r="AG122" s="9">
        <v>1254.49274745405</v>
      </c>
      <c r="AH122" s="9">
        <v>42897.112108412672</v>
      </c>
      <c r="AI122" s="9">
        <v>4702.8704268992133</v>
      </c>
      <c r="AJ122" s="9">
        <v>49212.513304394379</v>
      </c>
      <c r="AK122" s="9">
        <v>59160243.32014899</v>
      </c>
      <c r="AL122" s="9">
        <v>58080760.067268915</v>
      </c>
    </row>
    <row r="123" spans="1:38" x14ac:dyDescent="0.25">
      <c r="A123" s="9">
        <v>121</v>
      </c>
      <c r="B123" s="9">
        <v>55</v>
      </c>
      <c r="C123" s="9">
        <v>5.7416666666666673E-4</v>
      </c>
      <c r="D123" s="9">
        <v>7.1433589134283464</v>
      </c>
      <c r="E123" s="9">
        <v>21.445239213682814</v>
      </c>
      <c r="F123" s="9">
        <v>17.18642558585838</v>
      </c>
      <c r="G123" s="9">
        <v>21.09308415844632</v>
      </c>
      <c r="H123" s="9">
        <v>77.214702080512879</v>
      </c>
      <c r="I123" s="9">
        <v>4970.3339663295728</v>
      </c>
      <c r="J123" s="9">
        <v>3369.6170551298151</v>
      </c>
      <c r="K123" s="9">
        <v>1379.7596298163855</v>
      </c>
      <c r="L123" s="9">
        <v>4064.932446308786</v>
      </c>
      <c r="M123" s="9">
        <v>2.9805965161840797</v>
      </c>
      <c r="N123" s="9">
        <v>396.26483465312788</v>
      </c>
      <c r="O123" s="9">
        <v>33.440868011693816</v>
      </c>
      <c r="P123" s="9">
        <v>2.2614703623061874</v>
      </c>
      <c r="Q123" s="9">
        <v>33.440868011693816</v>
      </c>
      <c r="R123" s="9">
        <v>123.86395558044907</v>
      </c>
      <c r="S123" s="9">
        <v>59.082437433754976</v>
      </c>
      <c r="T123" s="9">
        <v>314.59381654091675</v>
      </c>
      <c r="U123" s="9">
        <v>410.43621747835016</v>
      </c>
      <c r="V123" s="9">
        <v>414.7845802920653</v>
      </c>
      <c r="W123" s="9">
        <v>77965.753381213115</v>
      </c>
      <c r="X123" s="9">
        <v>78236.857610994382</v>
      </c>
      <c r="Y123" s="9">
        <v>271.10422978129083</v>
      </c>
      <c r="Z123" s="9">
        <v>95799.428719465126</v>
      </c>
      <c r="AA123" s="9">
        <v>96147.506419038051</v>
      </c>
      <c r="AB123" s="9">
        <v>348.07769957292555</v>
      </c>
      <c r="AC123" s="9">
        <v>38.907494881806393</v>
      </c>
      <c r="AD123" s="9">
        <v>116.80506958385905</v>
      </c>
      <c r="AE123" s="9">
        <v>93.608731357641972</v>
      </c>
      <c r="AF123" s="9">
        <v>107.34622079635973</v>
      </c>
      <c r="AG123" s="9">
        <v>1251.6503207251139</v>
      </c>
      <c r="AH123" s="9">
        <v>42951.033383010668</v>
      </c>
      <c r="AI123" s="9">
        <v>4702.666607539727</v>
      </c>
      <c r="AJ123" s="9">
        <v>49262.017827895179</v>
      </c>
      <c r="AK123" s="9">
        <v>59209505.337976888</v>
      </c>
      <c r="AL123" s="9">
        <v>58110545.93746803</v>
      </c>
    </row>
    <row r="124" spans="1:38" x14ac:dyDescent="0.25">
      <c r="A124" s="9">
        <v>122</v>
      </c>
      <c r="B124" s="9">
        <v>55</v>
      </c>
      <c r="C124" s="9">
        <v>5.7416666666666673E-4</v>
      </c>
      <c r="D124" s="9">
        <v>7.0655694112438114</v>
      </c>
      <c r="E124" s="9">
        <v>21.348449679784707</v>
      </c>
      <c r="F124" s="9">
        <v>17.15261062111583</v>
      </c>
      <c r="G124" s="9">
        <v>21.047466038079065</v>
      </c>
      <c r="H124" s="9">
        <v>77.039771053896999</v>
      </c>
      <c r="I124" s="9">
        <v>4970.5495850121624</v>
      </c>
      <c r="J124" s="9">
        <v>3367.6823333373281</v>
      </c>
      <c r="K124" s="9">
        <v>1378.9674178289326</v>
      </c>
      <c r="L124" s="9">
        <v>4058.1809393024482</v>
      </c>
      <c r="M124" s="9">
        <v>2.9754910709972342</v>
      </c>
      <c r="N124" s="9">
        <v>399.24032572412511</v>
      </c>
      <c r="O124" s="9">
        <v>33.388588287246819</v>
      </c>
      <c r="P124" s="9">
        <v>2.2577197507531817</v>
      </c>
      <c r="Q124" s="9">
        <v>33.388588287246819</v>
      </c>
      <c r="R124" s="9">
        <v>124.10575019523542</v>
      </c>
      <c r="S124" s="9">
        <v>59.078119668535265</v>
      </c>
      <c r="T124" s="9">
        <v>317.30254532998026</v>
      </c>
      <c r="U124" s="9">
        <v>414.89055189538703</v>
      </c>
      <c r="V124" s="9">
        <v>420.05243268401398</v>
      </c>
      <c r="W124" s="9">
        <v>77965.753381213115</v>
      </c>
      <c r="X124" s="9">
        <v>78236.857610994382</v>
      </c>
      <c r="Y124" s="9">
        <v>271.10422978129083</v>
      </c>
      <c r="Z124" s="9">
        <v>95799.428719465126</v>
      </c>
      <c r="AA124" s="9">
        <v>96147.506419038051</v>
      </c>
      <c r="AB124" s="9">
        <v>348.07769957292555</v>
      </c>
      <c r="AC124" s="9">
        <v>38.483801393241293</v>
      </c>
      <c r="AD124" s="9">
        <v>116.27788925589402</v>
      </c>
      <c r="AE124" s="9">
        <v>93.424552516344221</v>
      </c>
      <c r="AF124" s="9">
        <v>107.11406257879071</v>
      </c>
      <c r="AG124" s="9">
        <v>1248.8146887836704</v>
      </c>
      <c r="AH124" s="9">
        <v>43002.779160385224</v>
      </c>
      <c r="AI124" s="9">
        <v>4702.3229350170641</v>
      </c>
      <c r="AJ124" s="9">
        <v>49309.217089930229</v>
      </c>
      <c r="AK124" s="9">
        <v>59258814.555066817</v>
      </c>
      <c r="AL124" s="9">
        <v>58140236.635069169</v>
      </c>
    </row>
    <row r="125" spans="1:38" x14ac:dyDescent="0.25">
      <c r="A125" s="9">
        <v>123</v>
      </c>
      <c r="B125" s="9">
        <v>55</v>
      </c>
      <c r="C125" s="9">
        <v>5.7416666666666673E-4</v>
      </c>
      <c r="D125" s="9">
        <v>6.988627018482652</v>
      </c>
      <c r="E125" s="9">
        <v>21.251627122811527</v>
      </c>
      <c r="F125" s="9">
        <v>17.118459534430798</v>
      </c>
      <c r="G125" s="9">
        <v>21.001982118220162</v>
      </c>
      <c r="H125" s="9">
        <v>76.865258503686206</v>
      </c>
      <c r="I125" s="9">
        <v>4970.7647373751306</v>
      </c>
      <c r="J125" s="9">
        <v>3365.7487223976036</v>
      </c>
      <c r="K125" s="9">
        <v>1378.1756607031959</v>
      </c>
      <c r="L125" s="9">
        <v>4051.4406459749252</v>
      </c>
      <c r="M125" s="9">
        <v>2.9703945289182827</v>
      </c>
      <c r="N125" s="9">
        <v>402.21072025304341</v>
      </c>
      <c r="O125" s="9">
        <v>33.336160169053045</v>
      </c>
      <c r="P125" s="9">
        <v>2.2539754599469575</v>
      </c>
      <c r="Q125" s="9">
        <v>33.336160169053045</v>
      </c>
      <c r="R125" s="9">
        <v>124.33986523522266</v>
      </c>
      <c r="S125" s="9">
        <v>59.072084089201674</v>
      </c>
      <c r="T125" s="9">
        <v>320.00935803453751</v>
      </c>
      <c r="U125" s="9">
        <v>419.3462042155914</v>
      </c>
      <c r="V125" s="9">
        <v>425.31470292036983</v>
      </c>
      <c r="W125" s="9">
        <v>77965.753381213115</v>
      </c>
      <c r="X125" s="9">
        <v>78236.857610994382</v>
      </c>
      <c r="Y125" s="9">
        <v>271.10422978129083</v>
      </c>
      <c r="Z125" s="9">
        <v>95799.428719465126</v>
      </c>
      <c r="AA125" s="9">
        <v>96147.506419038051</v>
      </c>
      <c r="AB125" s="9">
        <v>348.07769957292555</v>
      </c>
      <c r="AC125" s="9">
        <v>38.064721827335511</v>
      </c>
      <c r="AD125" s="9">
        <v>115.75052906224678</v>
      </c>
      <c r="AE125" s="9">
        <v>93.238542930866402</v>
      </c>
      <c r="AF125" s="9">
        <v>106.88258732997544</v>
      </c>
      <c r="AG125" s="9">
        <v>1245.9858403447536</v>
      </c>
      <c r="AH125" s="9">
        <v>43052.387563134791</v>
      </c>
      <c r="AI125" s="9">
        <v>4701.8425330800073</v>
      </c>
      <c r="AJ125" s="9">
        <v>49354.152317709973</v>
      </c>
      <c r="AK125" s="9">
        <v>59308168.707384527</v>
      </c>
      <c r="AL125" s="9">
        <v>58169831.079460464</v>
      </c>
    </row>
    <row r="126" spans="1:38" x14ac:dyDescent="0.25">
      <c r="A126" s="9">
        <v>124</v>
      </c>
      <c r="B126" s="9">
        <v>55</v>
      </c>
      <c r="C126" s="9">
        <v>5.7416666666666673E-4</v>
      </c>
      <c r="D126" s="9">
        <v>6.9125225103220451</v>
      </c>
      <c r="E126" s="9">
        <v>21.154780543718928</v>
      </c>
      <c r="F126" s="9">
        <v>17.083975836868344</v>
      </c>
      <c r="G126" s="9">
        <v>20.956627388356502</v>
      </c>
      <c r="H126" s="9">
        <v>76.691163685069583</v>
      </c>
      <c r="I126" s="9">
        <v>4970.9794247903083</v>
      </c>
      <c r="J126" s="9">
        <v>3363.8162216728269</v>
      </c>
      <c r="K126" s="9">
        <v>1377.3843581780088</v>
      </c>
      <c r="L126" s="9">
        <v>4044.7115477012503</v>
      </c>
      <c r="M126" s="9">
        <v>2.9653068751600422</v>
      </c>
      <c r="N126" s="9">
        <v>405.17602712820343</v>
      </c>
      <c r="O126" s="9">
        <v>33.283589651538286</v>
      </c>
      <c r="P126" s="9">
        <v>2.2502374814617179</v>
      </c>
      <c r="Q126" s="9">
        <v>33.283589651538286</v>
      </c>
      <c r="R126" s="9">
        <v>124.5664320002457</v>
      </c>
      <c r="S126" s="9">
        <v>59.06436894751527</v>
      </c>
      <c r="T126" s="9">
        <v>322.71421402487715</v>
      </c>
      <c r="U126" s="9">
        <v>423.80301843795098</v>
      </c>
      <c r="V126" s="9">
        <v>430.57139344952418</v>
      </c>
      <c r="W126" s="9">
        <v>77965.753381213115</v>
      </c>
      <c r="X126" s="9">
        <v>78236.857610994382</v>
      </c>
      <c r="Y126" s="9">
        <v>271.10422978129083</v>
      </c>
      <c r="Z126" s="9">
        <v>95799.428719465126</v>
      </c>
      <c r="AA126" s="9">
        <v>96147.506419038051</v>
      </c>
      <c r="AB126" s="9">
        <v>348.07769957292555</v>
      </c>
      <c r="AC126" s="9">
        <v>37.65020593955407</v>
      </c>
      <c r="AD126" s="9">
        <v>115.22303802812242</v>
      </c>
      <c r="AE126" s="9">
        <v>93.050721724809577</v>
      </c>
      <c r="AF126" s="9">
        <v>106.65176955057763</v>
      </c>
      <c r="AG126" s="9">
        <v>1243.1637633349781</v>
      </c>
      <c r="AH126" s="9">
        <v>43099.89607854194</v>
      </c>
      <c r="AI126" s="9">
        <v>4701.2284463774777</v>
      </c>
      <c r="AJ126" s="9">
        <v>49396.864023497459</v>
      </c>
      <c r="AK126" s="9">
        <v>59357565.571408026</v>
      </c>
      <c r="AL126" s="9">
        <v>58199328.230461292</v>
      </c>
    </row>
    <row r="127" spans="1:38" x14ac:dyDescent="0.25">
      <c r="A127" s="9">
        <v>125</v>
      </c>
      <c r="B127" s="9">
        <v>55</v>
      </c>
      <c r="C127" s="9">
        <v>5.7416666666666673E-4</v>
      </c>
      <c r="D127" s="9">
        <v>6.8372467623953224</v>
      </c>
      <c r="E127" s="9">
        <v>21.057918776750469</v>
      </c>
      <c r="F127" s="9">
        <v>17.049163066657972</v>
      </c>
      <c r="G127" s="9">
        <v>20.91139692927463</v>
      </c>
      <c r="H127" s="9">
        <v>76.517485805784759</v>
      </c>
      <c r="I127" s="9">
        <v>4971.1936485783071</v>
      </c>
      <c r="J127" s="9">
        <v>3361.8848305255497</v>
      </c>
      <c r="K127" s="9">
        <v>1376.5935099923549</v>
      </c>
      <c r="L127" s="9">
        <v>4037.9936258873913</v>
      </c>
      <c r="M127" s="9">
        <v>2.9602280947950925</v>
      </c>
      <c r="N127" s="9">
        <v>408.1362552229985</v>
      </c>
      <c r="O127" s="9">
        <v>33.230882582271704</v>
      </c>
      <c r="P127" s="9">
        <v>2.2465058067282935</v>
      </c>
      <c r="Q127" s="9">
        <v>33.230882582271704</v>
      </c>
      <c r="R127" s="9">
        <v>124.78557964462384</v>
      </c>
      <c r="S127" s="9">
        <v>59.055011533432832</v>
      </c>
      <c r="T127" s="9">
        <v>325.41707346599202</v>
      </c>
      <c r="U127" s="9">
        <v>428.26084168879379</v>
      </c>
      <c r="V127" s="9">
        <v>435.82250680803395</v>
      </c>
      <c r="W127" s="9">
        <v>77965.753381213115</v>
      </c>
      <c r="X127" s="9">
        <v>78236.857610994382</v>
      </c>
      <c r="Y127" s="9">
        <v>271.10422978129083</v>
      </c>
      <c r="Z127" s="9">
        <v>95799.428719465126</v>
      </c>
      <c r="AA127" s="9">
        <v>96147.506419038051</v>
      </c>
      <c r="AB127" s="9">
        <v>348.07769957292555</v>
      </c>
      <c r="AC127" s="9">
        <v>37.240204032513184</v>
      </c>
      <c r="AD127" s="9">
        <v>114.69546427070088</v>
      </c>
      <c r="AE127" s="9">
        <v>92.861108169730414</v>
      </c>
      <c r="AF127" s="9">
        <v>106.42158420590013</v>
      </c>
      <c r="AG127" s="9">
        <v>1240.3484449117709</v>
      </c>
      <c r="AH127" s="9">
        <v>43145.341567972318</v>
      </c>
      <c r="AI127" s="9">
        <v>4700.4836430035866</v>
      </c>
      <c r="AJ127" s="9">
        <v>49437.392016566519</v>
      </c>
      <c r="AK127" s="9">
        <v>59407002.963424593</v>
      </c>
      <c r="AL127" s="9">
        <v>58228727.087363198</v>
      </c>
    </row>
    <row r="128" spans="1:38" x14ac:dyDescent="0.25">
      <c r="A128" s="9">
        <v>126</v>
      </c>
      <c r="B128" s="9">
        <v>55</v>
      </c>
      <c r="C128" s="9">
        <v>5.7416666666666673E-4</v>
      </c>
      <c r="D128" s="9">
        <v>6.762790749698028</v>
      </c>
      <c r="E128" s="9">
        <v>20.961050491799153</v>
      </c>
      <c r="F128" s="9">
        <v>17.014024787660649</v>
      </c>
      <c r="G128" s="9">
        <v>20.866285912362883</v>
      </c>
      <c r="H128" s="9">
        <v>76.344224027291204</v>
      </c>
      <c r="I128" s="9">
        <v>4971.4074100094531</v>
      </c>
      <c r="J128" s="9">
        <v>3359.9545483186894</v>
      </c>
      <c r="K128" s="9">
        <v>1375.8031158853676</v>
      </c>
      <c r="L128" s="9">
        <v>4031.2868619701994</v>
      </c>
      <c r="M128" s="9">
        <v>2.9551581727596679</v>
      </c>
      <c r="N128" s="9">
        <v>411.0914133957582</v>
      </c>
      <c r="O128" s="9">
        <v>33.178044668962634</v>
      </c>
      <c r="P128" s="9">
        <v>2.2427804270373692</v>
      </c>
      <c r="Q128" s="9">
        <v>33.178044668962634</v>
      </c>
      <c r="R128" s="9">
        <v>124.99743521193957</v>
      </c>
      <c r="S128" s="9">
        <v>59.044048205816317</v>
      </c>
      <c r="T128" s="9">
        <v>328.11789730412301</v>
      </c>
      <c r="U128" s="9">
        <v>432.71952415460368</v>
      </c>
      <c r="V128" s="9">
        <v>441.06804561877397</v>
      </c>
      <c r="W128" s="9">
        <v>77965.753381213115</v>
      </c>
      <c r="X128" s="9">
        <v>78236.857610994382</v>
      </c>
      <c r="Y128" s="9">
        <v>271.10422978129083</v>
      </c>
      <c r="Z128" s="9">
        <v>95799.428719465126</v>
      </c>
      <c r="AA128" s="9">
        <v>96147.506419038051</v>
      </c>
      <c r="AB128" s="9">
        <v>348.07769957292555</v>
      </c>
      <c r="AC128" s="9">
        <v>36.834666950021926</v>
      </c>
      <c r="AD128" s="9">
        <v>114.16785501199938</v>
      </c>
      <c r="AE128" s="9">
        <v>92.669721676791667</v>
      </c>
      <c r="AF128" s="9">
        <v>106.19200672233343</v>
      </c>
      <c r="AG128" s="9">
        <v>1237.5398714823905</v>
      </c>
      <c r="AH128" s="9">
        <v>43188.760278281145</v>
      </c>
      <c r="AI128" s="9">
        <v>4699.6110169419499</v>
      </c>
      <c r="AJ128" s="9">
        <v>49475.77541706663</v>
      </c>
      <c r="AK128" s="9">
        <v>59456478.73884166</v>
      </c>
      <c r="AL128" s="9">
        <v>58258026.687992796</v>
      </c>
    </row>
    <row r="129" spans="1:38" x14ac:dyDescent="0.25">
      <c r="A129" s="9">
        <v>127</v>
      </c>
      <c r="B129" s="9">
        <v>55</v>
      </c>
      <c r="C129" s="9">
        <v>5.7416666666666673E-4</v>
      </c>
      <c r="D129" s="9">
        <v>6.6891455455058866</v>
      </c>
      <c r="E129" s="9">
        <v>20.864184196738901</v>
      </c>
      <c r="F129" s="9">
        <v>16.978564587870355</v>
      </c>
      <c r="G129" s="9">
        <v>20.821289598904809</v>
      </c>
      <c r="H129" s="9">
        <v>76.171377465930419</v>
      </c>
      <c r="I129" s="9">
        <v>4971.6207103047145</v>
      </c>
      <c r="J129" s="9">
        <v>3358.0253744155298</v>
      </c>
      <c r="K129" s="9">
        <v>1375.01317559633</v>
      </c>
      <c r="L129" s="9">
        <v>4024.5912374173572</v>
      </c>
      <c r="M129" s="9">
        <v>2.9500970938575053</v>
      </c>
      <c r="N129" s="9">
        <v>414.04151048961569</v>
      </c>
      <c r="O129" s="9">
        <v>33.125081481457315</v>
      </c>
      <c r="P129" s="9">
        <v>2.2390613335426854</v>
      </c>
      <c r="Q129" s="9">
        <v>33.125081481457315</v>
      </c>
      <c r="R129" s="9">
        <v>125.20212366925458</v>
      </c>
      <c r="S129" s="9">
        <v>59.031514421977953</v>
      </c>
      <c r="T129" s="9">
        <v>330.81664725354852</v>
      </c>
      <c r="U129" s="9">
        <v>437.17891901668719</v>
      </c>
      <c r="V129" s="9">
        <v>446.3080125891309</v>
      </c>
      <c r="W129" s="9">
        <v>77965.753381213115</v>
      </c>
      <c r="X129" s="9">
        <v>78236.857610994382</v>
      </c>
      <c r="Y129" s="9">
        <v>271.10422978129083</v>
      </c>
      <c r="Z129" s="9">
        <v>95799.428719465126</v>
      </c>
      <c r="AA129" s="9">
        <v>96147.506419038051</v>
      </c>
      <c r="AB129" s="9">
        <v>348.07769957292555</v>
      </c>
      <c r="AC129" s="9">
        <v>36.433546071188729</v>
      </c>
      <c r="AD129" s="9">
        <v>113.6402565915712</v>
      </c>
      <c r="AE129" s="9">
        <v>92.476581788600527</v>
      </c>
      <c r="AF129" s="9">
        <v>105.96301298375971</v>
      </c>
      <c r="AG129" s="9">
        <v>1234.7380287227322</v>
      </c>
      <c r="AH129" s="9">
        <v>43230.187851700881</v>
      </c>
      <c r="AI129" s="9">
        <v>4698.6133904173348</v>
      </c>
      <c r="AJ129" s="9">
        <v>49512.052668276068</v>
      </c>
      <c r="AK129" s="9">
        <v>59505990.791509934</v>
      </c>
      <c r="AL129" s="9">
        <v>58287226.107795425</v>
      </c>
    </row>
    <row r="130" spans="1:38" x14ac:dyDescent="0.25">
      <c r="A130" s="9">
        <v>128</v>
      </c>
      <c r="B130" s="9">
        <v>55</v>
      </c>
      <c r="C130" s="9">
        <v>5.7416666666666673E-4</v>
      </c>
      <c r="D130" s="9">
        <v>6.6163023203045555</v>
      </c>
      <c r="E130" s="9">
        <v>20.767328239726325</v>
      </c>
      <c r="F130" s="9">
        <v>16.942786077949581</v>
      </c>
      <c r="G130" s="9">
        <v>20.776403339364339</v>
      </c>
      <c r="H130" s="9">
        <v>75.99894519407313</v>
      </c>
      <c r="I130" s="9">
        <v>4971.8335506366175</v>
      </c>
      <c r="J130" s="9">
        <v>3356.0973081797197</v>
      </c>
      <c r="K130" s="9">
        <v>1374.2236888646751</v>
      </c>
      <c r="L130" s="9">
        <v>4017.9067337273282</v>
      </c>
      <c r="M130" s="9">
        <v>2.9450448427636506</v>
      </c>
      <c r="N130" s="9">
        <v>416.98655533237934</v>
      </c>
      <c r="O130" s="9">
        <v>33.071998455735795</v>
      </c>
      <c r="P130" s="9">
        <v>2.235348517264204</v>
      </c>
      <c r="Q130" s="9">
        <v>33.071998455735795</v>
      </c>
      <c r="R130" s="9">
        <v>125.39976794077194</v>
      </c>
      <c r="S130" s="9">
        <v>59.017444766081873</v>
      </c>
      <c r="T130" s="9">
        <v>333.51328578358738</v>
      </c>
      <c r="U130" s="9">
        <v>441.63888238755021</v>
      </c>
      <c r="V130" s="9">
        <v>451.54241050923542</v>
      </c>
      <c r="W130" s="9">
        <v>77965.753381213115</v>
      </c>
      <c r="X130" s="9">
        <v>78236.857610994382</v>
      </c>
      <c r="Y130" s="9">
        <v>271.10422978129083</v>
      </c>
      <c r="Z130" s="9">
        <v>95799.428719465126</v>
      </c>
      <c r="AA130" s="9">
        <v>96147.506419038051</v>
      </c>
      <c r="AB130" s="9">
        <v>348.07769957292555</v>
      </c>
      <c r="AC130" s="9">
        <v>36.036793304592145</v>
      </c>
      <c r="AD130" s="9">
        <v>113.11271447904271</v>
      </c>
      <c r="AE130" s="9">
        <v>92.28170817123204</v>
      </c>
      <c r="AF130" s="9">
        <v>105.73457932791501</v>
      </c>
      <c r="AG130" s="9">
        <v>1231.9429015959256</v>
      </c>
      <c r="AH130" s="9">
        <v>43269.659336123797</v>
      </c>
      <c r="AI130" s="9">
        <v>4697.4935161562862</v>
      </c>
      <c r="AJ130" s="9">
        <v>49546.261549158793</v>
      </c>
      <c r="AK130" s="9">
        <v>59555537.053059094</v>
      </c>
      <c r="AL130" s="9">
        <v>58316324.458939351</v>
      </c>
    </row>
    <row r="131" spans="1:38" x14ac:dyDescent="0.25">
      <c r="A131" s="9">
        <v>129</v>
      </c>
      <c r="B131" s="9">
        <v>55</v>
      </c>
      <c r="C131" s="9">
        <v>5.7416666666666673E-4</v>
      </c>
      <c r="D131" s="9">
        <v>6.5442523407310302</v>
      </c>
      <c r="E131" s="9">
        <v>20.670490811473179</v>
      </c>
      <c r="F131" s="9">
        <v>16.906692889798144</v>
      </c>
      <c r="G131" s="9">
        <v>20.731622572663163</v>
      </c>
      <c r="H131" s="9">
        <v>75.826926241253275</v>
      </c>
      <c r="I131" s="9">
        <v>4972.0459321301596</v>
      </c>
      <c r="J131" s="9">
        <v>3354.1703489752731</v>
      </c>
      <c r="K131" s="9">
        <v>1373.4346554299852</v>
      </c>
      <c r="L131" s="9">
        <v>4011.2333324293054</v>
      </c>
      <c r="M131" s="9">
        <v>2.9400014040282216</v>
      </c>
      <c r="N131" s="9">
        <v>419.92655673640758</v>
      </c>
      <c r="O131" s="9">
        <v>33.018800895908747</v>
      </c>
      <c r="P131" s="9">
        <v>2.2316419690912501</v>
      </c>
      <c r="Q131" s="9">
        <v>33.018800895908747</v>
      </c>
      <c r="R131" s="9">
        <v>125.5904889409537</v>
      </c>
      <c r="S131" s="9">
        <v>59.001872976463233</v>
      </c>
      <c r="T131" s="9">
        <v>336.20777610582297</v>
      </c>
      <c r="U131" s="9">
        <v>446.09927324896046</v>
      </c>
      <c r="V131" s="9">
        <v>456.77124225023198</v>
      </c>
      <c r="W131" s="9">
        <v>77965.753381213115</v>
      </c>
      <c r="X131" s="9">
        <v>78236.857610994382</v>
      </c>
      <c r="Y131" s="9">
        <v>271.10422978129083</v>
      </c>
      <c r="Z131" s="9">
        <v>95799.428719465126</v>
      </c>
      <c r="AA131" s="9">
        <v>96147.506419038051</v>
      </c>
      <c r="AB131" s="9">
        <v>348.07769957292555</v>
      </c>
      <c r="AC131" s="9">
        <v>35.644361082515012</v>
      </c>
      <c r="AD131" s="9">
        <v>112.58527328649058</v>
      </c>
      <c r="AE131" s="9">
        <v>92.08512060643389</v>
      </c>
      <c r="AF131" s="9">
        <v>105.5066825427116</v>
      </c>
      <c r="AG131" s="9">
        <v>1229.1544743707157</v>
      </c>
      <c r="AH131" s="9">
        <v>43307.20919468972</v>
      </c>
      <c r="AI131" s="9">
        <v>4696.2540795615905</v>
      </c>
      <c r="AJ131" s="9">
        <v>49578.439186140175</v>
      </c>
      <c r="AK131" s="9">
        <v>59605115.492245235</v>
      </c>
      <c r="AL131" s="9">
        <v>58345320.889439784</v>
      </c>
    </row>
    <row r="132" spans="1:38" x14ac:dyDescent="0.25">
      <c r="A132" s="9">
        <v>130</v>
      </c>
      <c r="B132" s="9">
        <v>55</v>
      </c>
      <c r="C132" s="9">
        <v>5.7416666666666673E-4</v>
      </c>
      <c r="D132" s="9">
        <v>6.4729869685265813</v>
      </c>
      <c r="E132" s="9">
        <v>20.573679947489804</v>
      </c>
      <c r="F132" s="9">
        <v>16.870288675154768</v>
      </c>
      <c r="G132" s="9">
        <v>20.686942825450735</v>
      </c>
      <c r="H132" s="9">
        <v>75.655319595288915</v>
      </c>
      <c r="I132" s="9">
        <v>4972.2578558637151</v>
      </c>
      <c r="J132" s="9">
        <v>3352.2444961665697</v>
      </c>
      <c r="K132" s="9">
        <v>1372.6460750319925</v>
      </c>
      <c r="L132" s="9">
        <v>4004.5710150831601</v>
      </c>
      <c r="M132" s="9">
        <v>2.934966762080125</v>
      </c>
      <c r="N132" s="9">
        <v>422.86152349848771</v>
      </c>
      <c r="O132" s="9">
        <v>32.965493976214375</v>
      </c>
      <c r="P132" s="9">
        <v>2.227941679785622</v>
      </c>
      <c r="Q132" s="9">
        <v>32.965493976214375</v>
      </c>
      <c r="R132" s="9">
        <v>125.77440560710254</v>
      </c>
      <c r="S132" s="9">
        <v>58.984831971899624</v>
      </c>
      <c r="T132" s="9">
        <v>338.90008216153478</v>
      </c>
      <c r="U132" s="9">
        <v>450.55995339160808</v>
      </c>
      <c r="V132" s="9">
        <v>461.99451076258458</v>
      </c>
      <c r="W132" s="9">
        <v>77965.753381213115</v>
      </c>
      <c r="X132" s="9">
        <v>78236.857610994382</v>
      </c>
      <c r="Y132" s="9">
        <v>271.10422978129083</v>
      </c>
      <c r="Z132" s="9">
        <v>95799.428719465126</v>
      </c>
      <c r="AA132" s="9">
        <v>96147.506419038051</v>
      </c>
      <c r="AB132" s="9">
        <v>348.07769957292555</v>
      </c>
      <c r="AC132" s="9">
        <v>35.256202355241442</v>
      </c>
      <c r="AD132" s="9">
        <v>112.05797678066112</v>
      </c>
      <c r="AE132" s="9">
        <v>91.886838984009628</v>
      </c>
      <c r="AF132" s="9">
        <v>105.27929986252303</v>
      </c>
      <c r="AG132" s="9">
        <v>1226.3727306396333</v>
      </c>
      <c r="AH132" s="9">
        <v>43342.871315227465</v>
      </c>
      <c r="AI132" s="9">
        <v>4694.8977008033507</v>
      </c>
      <c r="AJ132" s="9">
        <v>49608.622064652882</v>
      </c>
      <c r="AK132" s="9">
        <v>59654724.114309885</v>
      </c>
      <c r="AL132" s="9">
        <v>58374214.582302213</v>
      </c>
    </row>
    <row r="133" spans="1:38" x14ac:dyDescent="0.25">
      <c r="A133" s="9">
        <v>131</v>
      </c>
      <c r="B133" s="9">
        <v>55</v>
      </c>
      <c r="C133" s="9">
        <v>5.7416666666666673E-4</v>
      </c>
      <c r="D133" s="9">
        <v>6.4024976595010878</v>
      </c>
      <c r="E133" s="9">
        <v>20.47690353029996</v>
      </c>
      <c r="F133" s="9">
        <v>16.83357710423082</v>
      </c>
      <c r="G133" s="9">
        <v>20.642359711367355</v>
      </c>
      <c r="H133" s="9">
        <v>75.48412420339001</v>
      </c>
      <c r="I133" s="9">
        <v>4972.4693228699307</v>
      </c>
      <c r="J133" s="9">
        <v>3350.3197491183541</v>
      </c>
      <c r="K133" s="9">
        <v>1371.8579474105784</v>
      </c>
      <c r="L133" s="9">
        <v>3997.9197632793907</v>
      </c>
      <c r="M133" s="9">
        <v>2.9299409012307329</v>
      </c>
      <c r="N133" s="9">
        <v>425.79146439971845</v>
      </c>
      <c r="O133" s="9">
        <v>32.912082747015333</v>
      </c>
      <c r="P133" s="9">
        <v>2.2242476399846702</v>
      </c>
      <c r="Q133" s="9">
        <v>32.912082747015333</v>
      </c>
      <c r="R133" s="9">
        <v>125.95163493141614</v>
      </c>
      <c r="S133" s="9">
        <v>58.966353876879737</v>
      </c>
      <c r="T133" s="9">
        <v>341.59016860933298</v>
      </c>
      <c r="U133" s="9">
        <v>455.02078735631176</v>
      </c>
      <c r="V133" s="9">
        <v>467.21221907441776</v>
      </c>
      <c r="W133" s="9">
        <v>77965.753381213115</v>
      </c>
      <c r="X133" s="9">
        <v>78236.857610994382</v>
      </c>
      <c r="Y133" s="9">
        <v>271.10422978129083</v>
      </c>
      <c r="Z133" s="9">
        <v>95799.428719465126</v>
      </c>
      <c r="AA133" s="9">
        <v>96147.506419038051</v>
      </c>
      <c r="AB133" s="9">
        <v>348.07769957292555</v>
      </c>
      <c r="AC133" s="9">
        <v>34.872270585415926</v>
      </c>
      <c r="AD133" s="9">
        <v>111.53086789503378</v>
      </c>
      <c r="AE133" s="9">
        <v>91.686883294377196</v>
      </c>
      <c r="AF133" s="9">
        <v>105.0524089644337</v>
      </c>
      <c r="AG133" s="9">
        <v>1223.5976533369521</v>
      </c>
      <c r="AH133" s="9">
        <v>43376.679020644529</v>
      </c>
      <c r="AI133" s="9">
        <v>4693.426936830243</v>
      </c>
      <c r="AJ133" s="9">
        <v>49636.846041550984</v>
      </c>
      <c r="AK133" s="9">
        <v>59704360.960351437</v>
      </c>
      <c r="AL133" s="9">
        <v>58403004.754685335</v>
      </c>
    </row>
    <row r="134" spans="1:38" x14ac:dyDescent="0.25">
      <c r="A134" s="9">
        <v>132</v>
      </c>
      <c r="B134" s="9">
        <v>56</v>
      </c>
      <c r="C134" s="9">
        <v>5.7416666666666673E-4</v>
      </c>
      <c r="D134" s="9">
        <v>6.3327759625086566</v>
      </c>
      <c r="E134" s="9">
        <v>20.380169291627354</v>
      </c>
      <c r="F134" s="9">
        <v>16.796561864375644</v>
      </c>
      <c r="G134" s="9">
        <v>20.597868930300706</v>
      </c>
      <c r="H134" s="9">
        <v>75.313338973253067</v>
      </c>
      <c r="I134" s="9">
        <v>4972.6803341366131</v>
      </c>
      <c r="J134" s="9">
        <v>3348.3961071957356</v>
      </c>
      <c r="K134" s="9">
        <v>1371.0702723057734</v>
      </c>
      <c r="L134" s="9">
        <v>3991.279558639073</v>
      </c>
      <c r="M134" s="9">
        <v>2.9249238056775151</v>
      </c>
      <c r="N134" s="9">
        <v>428.71638820539596</v>
      </c>
      <c r="O134" s="9">
        <v>32.860542596414575</v>
      </c>
      <c r="P134" s="9">
        <v>2.2185893795854277</v>
      </c>
      <c r="Q134" s="9">
        <v>32.860542596414575</v>
      </c>
      <c r="R134" s="9">
        <v>126.12032153190415</v>
      </c>
      <c r="S134" s="9">
        <v>58.946470045935619</v>
      </c>
      <c r="T134" s="9">
        <v>344.27800081301734</v>
      </c>
      <c r="U134" s="9">
        <v>459.48164237678583</v>
      </c>
      <c r="V134" s="9">
        <v>472.42437028989389</v>
      </c>
      <c r="W134" s="9">
        <v>83504.98143306034</v>
      </c>
      <c r="X134" s="9">
        <v>83803.880694173771</v>
      </c>
      <c r="Y134" s="9">
        <v>298.89926111345335</v>
      </c>
      <c r="Z134" s="9">
        <v>104822.24752961396</v>
      </c>
      <c r="AA134" s="9">
        <v>105215.60040637496</v>
      </c>
      <c r="AB134" s="9">
        <v>393.35287676099574</v>
      </c>
      <c r="AC134" s="9">
        <v>34.492519742463813</v>
      </c>
      <c r="AD134" s="9">
        <v>111.00398874173031</v>
      </c>
      <c r="AE134" s="9">
        <v>91.485273621299328</v>
      </c>
      <c r="AF134" s="9">
        <v>104.82598796445534</v>
      </c>
      <c r="AG134" s="9">
        <v>1220.8292247564323</v>
      </c>
      <c r="AH134" s="9">
        <v>43408.665077809907</v>
      </c>
      <c r="AI134" s="9">
        <v>4691.8442833062454</v>
      </c>
      <c r="AJ134" s="9">
        <v>49663.146355942532</v>
      </c>
      <c r="AK134" s="9">
        <v>59754024.106707379</v>
      </c>
      <c r="AL134" s="9">
        <v>58431690.657082252</v>
      </c>
    </row>
    <row r="135" spans="1:38" x14ac:dyDescent="0.25">
      <c r="A135" s="9">
        <v>133</v>
      </c>
      <c r="B135" s="9">
        <v>56</v>
      </c>
      <c r="C135" s="9">
        <v>6.358333333333333E-4</v>
      </c>
      <c r="D135" s="9">
        <v>6.263422997250033</v>
      </c>
      <c r="E135" s="9">
        <v>20.282228037447897</v>
      </c>
      <c r="F135" s="9">
        <v>16.758210870791299</v>
      </c>
      <c r="G135" s="9">
        <v>20.552196065718931</v>
      </c>
      <c r="H135" s="9">
        <v>75.138318451572616</v>
      </c>
      <c r="I135" s="9">
        <v>4972.8908906076131</v>
      </c>
      <c r="J135" s="9">
        <v>3346.2670853375771</v>
      </c>
      <c r="K135" s="9">
        <v>1370.198500124299</v>
      </c>
      <c r="L135" s="9">
        <v>3984.4042539076922</v>
      </c>
      <c r="M135" s="9">
        <v>2.9199154595076289</v>
      </c>
      <c r="N135" s="9">
        <v>431.63630366490361</v>
      </c>
      <c r="O135" s="9">
        <v>32.806832828858447</v>
      </c>
      <c r="P135" s="9">
        <v>2.2149110771415517</v>
      </c>
      <c r="Q135" s="9">
        <v>32.806832828858447</v>
      </c>
      <c r="R135" s="9">
        <v>126.27480698223204</v>
      </c>
      <c r="S135" s="9">
        <v>58.921576054729748</v>
      </c>
      <c r="T135" s="9">
        <v>346.96354482962766</v>
      </c>
      <c r="U135" s="9">
        <v>463.94240162824525</v>
      </c>
      <c r="V135" s="9">
        <v>478.19016671684227</v>
      </c>
      <c r="W135" s="9">
        <v>83504.98143306034</v>
      </c>
      <c r="X135" s="9">
        <v>83803.880694173771</v>
      </c>
      <c r="Y135" s="9">
        <v>298.89926111345335</v>
      </c>
      <c r="Z135" s="9">
        <v>104822.24752961396</v>
      </c>
      <c r="AA135" s="9">
        <v>105215.60040637496</v>
      </c>
      <c r="AB135" s="9">
        <v>393.35287676099574</v>
      </c>
      <c r="AC135" s="9">
        <v>34.114777258355176</v>
      </c>
      <c r="AD135" s="9">
        <v>110.47053537729954</v>
      </c>
      <c r="AE135" s="9">
        <v>91.276388542909928</v>
      </c>
      <c r="AF135" s="9">
        <v>104.59355114445459</v>
      </c>
      <c r="AG135" s="9">
        <v>1217.9921420999922</v>
      </c>
      <c r="AH135" s="9">
        <v>43436.181206152854</v>
      </c>
      <c r="AI135" s="9">
        <v>4689.8628460762138</v>
      </c>
      <c r="AJ135" s="9">
        <v>49684.491446652079</v>
      </c>
      <c r="AK135" s="9">
        <v>59803708.598154031</v>
      </c>
      <c r="AL135" s="9">
        <v>58460269.808806315</v>
      </c>
    </row>
    <row r="136" spans="1:38" x14ac:dyDescent="0.25">
      <c r="A136" s="9">
        <v>134</v>
      </c>
      <c r="B136" s="9">
        <v>56</v>
      </c>
      <c r="C136" s="9">
        <v>6.358333333333333E-4</v>
      </c>
      <c r="D136" s="9">
        <v>6.1948295462737146</v>
      </c>
      <c r="E136" s="9">
        <v>20.18435598335973</v>
      </c>
      <c r="F136" s="9">
        <v>16.719568295286603</v>
      </c>
      <c r="G136" s="9">
        <v>20.506612744324972</v>
      </c>
      <c r="H136" s="9">
        <v>74.963727092284046</v>
      </c>
      <c r="I136" s="9">
        <v>4973.1009801993832</v>
      </c>
      <c r="J136" s="9">
        <v>3344.1394171824832</v>
      </c>
      <c r="K136" s="9">
        <v>1369.3272822446368</v>
      </c>
      <c r="L136" s="9">
        <v>3977.5407924497417</v>
      </c>
      <c r="M136" s="9">
        <v>2.9147357852481259</v>
      </c>
      <c r="N136" s="9">
        <v>434.55103945015173</v>
      </c>
      <c r="O136" s="9">
        <v>32.752977395231248</v>
      </c>
      <c r="P136" s="9">
        <v>2.2111171697687548</v>
      </c>
      <c r="Q136" s="9">
        <v>32.752977395231248</v>
      </c>
      <c r="R136" s="9">
        <v>126.42297469891584</v>
      </c>
      <c r="S136" s="9">
        <v>58.895339587788285</v>
      </c>
      <c r="T136" s="9">
        <v>349.64660171129077</v>
      </c>
      <c r="U136" s="9">
        <v>468.40266202456377</v>
      </c>
      <c r="V136" s="9">
        <v>483.94946075880489</v>
      </c>
      <c r="W136" s="9">
        <v>83504.98143306034</v>
      </c>
      <c r="X136" s="9">
        <v>83803.880694173771</v>
      </c>
      <c r="Y136" s="9">
        <v>298.89926111345335</v>
      </c>
      <c r="Z136" s="9">
        <v>104822.24752961396</v>
      </c>
      <c r="AA136" s="9">
        <v>105215.60040637496</v>
      </c>
      <c r="AB136" s="9">
        <v>393.35287676099574</v>
      </c>
      <c r="AC136" s="9">
        <v>33.74117159537083</v>
      </c>
      <c r="AD136" s="9">
        <v>109.93745892269932</v>
      </c>
      <c r="AE136" s="9">
        <v>91.065915314994356</v>
      </c>
      <c r="AF136" s="9">
        <v>104.36157002466049</v>
      </c>
      <c r="AG136" s="9">
        <v>1215.1620161659243</v>
      </c>
      <c r="AH136" s="9">
        <v>43461.932546292905</v>
      </c>
      <c r="AI136" s="9">
        <v>4687.7745544900081</v>
      </c>
      <c r="AJ136" s="9">
        <v>49703.975232806559</v>
      </c>
      <c r="AK136" s="9">
        <v>59853412.573386841</v>
      </c>
      <c r="AL136" s="9">
        <v>58488741.535656899</v>
      </c>
    </row>
    <row r="137" spans="1:38" x14ac:dyDescent="0.25">
      <c r="A137" s="9">
        <v>135</v>
      </c>
      <c r="B137" s="9">
        <v>56</v>
      </c>
      <c r="C137" s="9">
        <v>6.358333333333333E-4</v>
      </c>
      <c r="D137" s="9">
        <v>6.1269872918106936</v>
      </c>
      <c r="E137" s="9">
        <v>20.086560409838327</v>
      </c>
      <c r="F137" s="9">
        <v>16.680637923300683</v>
      </c>
      <c r="G137" s="9">
        <v>20.461114904179531</v>
      </c>
      <c r="H137" s="9">
        <v>74.789563613563942</v>
      </c>
      <c r="I137" s="9">
        <v>4973.3106038272554</v>
      </c>
      <c r="J137" s="9">
        <v>3342.0131018697248</v>
      </c>
      <c r="K137" s="9">
        <v>1368.4566183143429</v>
      </c>
      <c r="L137" s="9">
        <v>3970.6891538642162</v>
      </c>
      <c r="M137" s="9">
        <v>2.9095654559521669</v>
      </c>
      <c r="N137" s="9">
        <v>437.46060490610392</v>
      </c>
      <c r="O137" s="9">
        <v>32.698982386615533</v>
      </c>
      <c r="P137" s="9">
        <v>2.2073298783844653</v>
      </c>
      <c r="Q137" s="9">
        <v>32.698982386615533</v>
      </c>
      <c r="R137" s="9">
        <v>126.56493451065511</v>
      </c>
      <c r="S137" s="9">
        <v>58.867790004295586</v>
      </c>
      <c r="T137" s="9">
        <v>352.32713908835035</v>
      </c>
      <c r="U137" s="9">
        <v>472.86229804378422</v>
      </c>
      <c r="V137" s="9">
        <v>489.70225686740417</v>
      </c>
      <c r="W137" s="9">
        <v>83504.98143306034</v>
      </c>
      <c r="X137" s="9">
        <v>83803.880694173771</v>
      </c>
      <c r="Y137" s="9">
        <v>298.89926111345335</v>
      </c>
      <c r="Z137" s="9">
        <v>104822.24752961396</v>
      </c>
      <c r="AA137" s="9">
        <v>105215.60040637496</v>
      </c>
      <c r="AB137" s="9">
        <v>393.35287676099574</v>
      </c>
      <c r="AC137" s="9">
        <v>33.371657449395578</v>
      </c>
      <c r="AD137" s="9">
        <v>109.40479903225275</v>
      </c>
      <c r="AE137" s="9">
        <v>90.853874555577718</v>
      </c>
      <c r="AF137" s="9">
        <v>104.13002393318699</v>
      </c>
      <c r="AG137" s="9">
        <v>1212.3388261758716</v>
      </c>
      <c r="AH137" s="9">
        <v>43485.950749353768</v>
      </c>
      <c r="AI137" s="9">
        <v>4685.5817453919071</v>
      </c>
      <c r="AJ137" s="9">
        <v>49721.631675891957</v>
      </c>
      <c r="AK137" s="9">
        <v>59903134.205062732</v>
      </c>
      <c r="AL137" s="9">
        <v>58517105.194663748</v>
      </c>
    </row>
    <row r="138" spans="1:38" x14ac:dyDescent="0.25">
      <c r="A138" s="9">
        <v>136</v>
      </c>
      <c r="B138" s="9">
        <v>56</v>
      </c>
      <c r="C138" s="9">
        <v>6.358333333333333E-4</v>
      </c>
      <c r="D138" s="9">
        <v>6.0598880071834431</v>
      </c>
      <c r="E138" s="9">
        <v>19.988848453231753</v>
      </c>
      <c r="F138" s="9">
        <v>16.641423551449801</v>
      </c>
      <c r="G138" s="9">
        <v>20.415698567559602</v>
      </c>
      <c r="H138" s="9">
        <v>74.615826698629206</v>
      </c>
      <c r="I138" s="9">
        <v>4973.5197623650402</v>
      </c>
      <c r="J138" s="9">
        <v>3339.8881385391192</v>
      </c>
      <c r="K138" s="9">
        <v>1367.5865079811981</v>
      </c>
      <c r="L138" s="9">
        <v>3963.8493177852538</v>
      </c>
      <c r="M138" s="9">
        <v>2.9044044537266536</v>
      </c>
      <c r="N138" s="9">
        <v>440.36500935983059</v>
      </c>
      <c r="O138" s="9">
        <v>32.644853747999818</v>
      </c>
      <c r="P138" s="9">
        <v>2.2035491920001791</v>
      </c>
      <c r="Q138" s="9">
        <v>32.644853747999818</v>
      </c>
      <c r="R138" s="9">
        <v>126.70079444089123</v>
      </c>
      <c r="S138" s="9">
        <v>58.838955981723586</v>
      </c>
      <c r="T138" s="9">
        <v>355.00512525941241</v>
      </c>
      <c r="U138" s="9">
        <v>477.32118667816974</v>
      </c>
      <c r="V138" s="9">
        <v>495.44855957124219</v>
      </c>
      <c r="W138" s="9">
        <v>83504.98143306034</v>
      </c>
      <c r="X138" s="9">
        <v>83803.880694173771</v>
      </c>
      <c r="Y138" s="9">
        <v>298.89926111345335</v>
      </c>
      <c r="Z138" s="9">
        <v>104822.24752961396</v>
      </c>
      <c r="AA138" s="9">
        <v>105215.60040637496</v>
      </c>
      <c r="AB138" s="9">
        <v>393.35287676099574</v>
      </c>
      <c r="AC138" s="9">
        <v>33.00619001245915</v>
      </c>
      <c r="AD138" s="9">
        <v>108.87259457526895</v>
      </c>
      <c r="AE138" s="9">
        <v>90.64028694356324</v>
      </c>
      <c r="AF138" s="9">
        <v>103.89889262673873</v>
      </c>
      <c r="AG138" s="9">
        <v>1209.5225507847795</v>
      </c>
      <c r="AH138" s="9">
        <v>43508.266933655446</v>
      </c>
      <c r="AI138" s="9">
        <v>4683.2867013652885</v>
      </c>
      <c r="AJ138" s="9">
        <v>49737.494149963546</v>
      </c>
      <c r="AK138" s="9">
        <v>59952871.699212693</v>
      </c>
      <c r="AL138" s="9">
        <v>58545360.173326559</v>
      </c>
    </row>
    <row r="139" spans="1:38" x14ac:dyDescent="0.25">
      <c r="A139" s="9">
        <v>137</v>
      </c>
      <c r="B139" s="9">
        <v>56</v>
      </c>
      <c r="C139" s="9">
        <v>6.358333333333333E-4</v>
      </c>
      <c r="D139" s="9">
        <v>5.9935235558083368</v>
      </c>
      <c r="E139" s="9">
        <v>19.891227107854956</v>
      </c>
      <c r="F139" s="9">
        <v>16.60192898633883</v>
      </c>
      <c r="G139" s="9">
        <v>20.370359840162461</v>
      </c>
      <c r="H139" s="9">
        <v>74.442514996776936</v>
      </c>
      <c r="I139" s="9">
        <v>4973.7284566458866</v>
      </c>
      <c r="J139" s="9">
        <v>3337.7645263310314</v>
      </c>
      <c r="K139" s="9">
        <v>1366.7169508932068</v>
      </c>
      <c r="L139" s="9">
        <v>3957.0212638820735</v>
      </c>
      <c r="M139" s="9">
        <v>2.8992527605863025</v>
      </c>
      <c r="N139" s="9">
        <v>443.2642621204169</v>
      </c>
      <c r="O139" s="9">
        <v>32.590597280476821</v>
      </c>
      <c r="P139" s="9">
        <v>2.1997750995231811</v>
      </c>
      <c r="Q139" s="9">
        <v>32.590597280476821</v>
      </c>
      <c r="R139" s="9">
        <v>126.8306607371957</v>
      </c>
      <c r="S139" s="9">
        <v>58.808865535733467</v>
      </c>
      <c r="T139" s="9">
        <v>357.68052917990104</v>
      </c>
      <c r="U139" s="9">
        <v>481.77920738308416</v>
      </c>
      <c r="V139" s="9">
        <v>501.18837347425426</v>
      </c>
      <c r="W139" s="9">
        <v>83504.98143306034</v>
      </c>
      <c r="X139" s="9">
        <v>83803.880694173771</v>
      </c>
      <c r="Y139" s="9">
        <v>298.89926111345335</v>
      </c>
      <c r="Z139" s="9">
        <v>104822.24752961396</v>
      </c>
      <c r="AA139" s="9">
        <v>105215.60040637496</v>
      </c>
      <c r="AB139" s="9">
        <v>393.35287676099574</v>
      </c>
      <c r="AC139" s="9">
        <v>32.644724967302736</v>
      </c>
      <c r="AD139" s="9">
        <v>108.34088364744999</v>
      </c>
      <c r="AE139" s="9">
        <v>90.425173212258827</v>
      </c>
      <c r="AF139" s="9">
        <v>103.66815628656012</v>
      </c>
      <c r="AG139" s="9">
        <v>1206.7131680977541</v>
      </c>
      <c r="AH139" s="9">
        <v>43528.911693338698</v>
      </c>
      <c r="AI139" s="9">
        <v>4680.8916523167054</v>
      </c>
      <c r="AJ139" s="9">
        <v>49751.595451866728</v>
      </c>
      <c r="AK139" s="9">
        <v>60002623.294664562</v>
      </c>
      <c r="AL139" s="9">
        <v>58573505.888871387</v>
      </c>
    </row>
    <row r="140" spans="1:38" x14ac:dyDescent="0.25">
      <c r="A140" s="9">
        <v>138</v>
      </c>
      <c r="B140" s="9">
        <v>56</v>
      </c>
      <c r="C140" s="9">
        <v>6.358333333333333E-4</v>
      </c>
      <c r="D140" s="9">
        <v>5.9278858902089908</v>
      </c>
      <c r="E140" s="9">
        <v>19.793703228056977</v>
      </c>
      <c r="F140" s="9">
        <v>16.562158043401535</v>
      </c>
      <c r="G140" s="9">
        <v>20.325094910305737</v>
      </c>
      <c r="H140" s="9">
        <v>74.269627124410817</v>
      </c>
      <c r="I140" s="9">
        <v>4973.9366874631351</v>
      </c>
      <c r="J140" s="9">
        <v>3335.6422643863725</v>
      </c>
      <c r="K140" s="9">
        <v>1365.8479466985973</v>
      </c>
      <c r="L140" s="9">
        <v>3950.204971858916</v>
      </c>
      <c r="M140" s="9">
        <v>2.8941103584570422</v>
      </c>
      <c r="N140" s="9">
        <v>446.15837247887396</v>
      </c>
      <c r="O140" s="9">
        <v>32.536218643240559</v>
      </c>
      <c r="P140" s="9">
        <v>2.1960075897594367</v>
      </c>
      <c r="Q140" s="9">
        <v>32.536218643240559</v>
      </c>
      <c r="R140" s="9">
        <v>126.95463790018111</v>
      </c>
      <c r="S140" s="9">
        <v>58.777546039348167</v>
      </c>
      <c r="T140" s="9">
        <v>360.35332045079986</v>
      </c>
      <c r="U140" s="9">
        <v>486.23624202710113</v>
      </c>
      <c r="V140" s="9">
        <v>506.92170325409501</v>
      </c>
      <c r="W140" s="9">
        <v>83504.98143306034</v>
      </c>
      <c r="X140" s="9">
        <v>83803.880694173771</v>
      </c>
      <c r="Y140" s="9">
        <v>298.89926111345335</v>
      </c>
      <c r="Z140" s="9">
        <v>104822.24752961396</v>
      </c>
      <c r="AA140" s="9">
        <v>105215.60040637496</v>
      </c>
      <c r="AB140" s="9">
        <v>393.35287676099574</v>
      </c>
      <c r="AC140" s="9">
        <v>32.287218482004967</v>
      </c>
      <c r="AD140" s="9">
        <v>107.80970358215032</v>
      </c>
      <c r="AE140" s="9">
        <v>90.208554143060354</v>
      </c>
      <c r="AF140" s="9">
        <v>103.43779551436427</v>
      </c>
      <c r="AG140" s="9">
        <v>1203.9106556866993</v>
      </c>
      <c r="AH140" s="9">
        <v>43547.915106804336</v>
      </c>
      <c r="AI140" s="9">
        <v>4678.3987770019176</v>
      </c>
      <c r="AJ140" s="9">
        <v>49763.967811214534</v>
      </c>
      <c r="AK140" s="9">
        <v>60052387.262475774</v>
      </c>
      <c r="AL140" s="9">
        <v>58601541.787523381</v>
      </c>
    </row>
    <row r="141" spans="1:38" x14ac:dyDescent="0.25">
      <c r="A141" s="9">
        <v>139</v>
      </c>
      <c r="B141" s="9">
        <v>56</v>
      </c>
      <c r="C141" s="9">
        <v>6.358333333333333E-4</v>
      </c>
      <c r="D141" s="9">
        <v>5.8629670510404104</v>
      </c>
      <c r="E141" s="9">
        <v>19.696283530261422</v>
      </c>
      <c r="F141" s="9">
        <v>16.522114545769114</v>
      </c>
      <c r="G141" s="9">
        <v>20.279900048123856</v>
      </c>
      <c r="H141" s="9">
        <v>74.097161666054106</v>
      </c>
      <c r="I141" s="9">
        <v>4974.1444555711623</v>
      </c>
      <c r="J141" s="9">
        <v>3333.5213518466003</v>
      </c>
      <c r="K141" s="9">
        <v>1364.9794950458215</v>
      </c>
      <c r="L141" s="9">
        <v>3943.4004214549832</v>
      </c>
      <c r="M141" s="9">
        <v>2.8889772291793712</v>
      </c>
      <c r="N141" s="9">
        <v>449.04734970805333</v>
      </c>
      <c r="O141" s="9">
        <v>32.481723358583544</v>
      </c>
      <c r="P141" s="9">
        <v>2.1922466514164509</v>
      </c>
      <c r="Q141" s="9">
        <v>32.481723358583544</v>
      </c>
      <c r="R141" s="9">
        <v>127.07282871194279</v>
      </c>
      <c r="S141" s="9">
        <v>58.745024241425398</v>
      </c>
      <c r="T141" s="9">
        <v>363.02346930757562</v>
      </c>
      <c r="U141" s="9">
        <v>490.69217484330034</v>
      </c>
      <c r="V141" s="9">
        <v>512.64855366055633</v>
      </c>
      <c r="W141" s="9">
        <v>83504.98143306034</v>
      </c>
      <c r="X141" s="9">
        <v>83803.880694173771</v>
      </c>
      <c r="Y141" s="9">
        <v>298.89926111345335</v>
      </c>
      <c r="Z141" s="9">
        <v>104822.24752961396</v>
      </c>
      <c r="AA141" s="9">
        <v>105215.60040637496</v>
      </c>
      <c r="AB141" s="9">
        <v>393.35287676099574</v>
      </c>
      <c r="AC141" s="9">
        <v>31.933627204666767</v>
      </c>
      <c r="AD141" s="9">
        <v>107.27909096149054</v>
      </c>
      <c r="AE141" s="9">
        <v>89.990450559289101</v>
      </c>
      <c r="AF141" s="9">
        <v>103.20779132824366</v>
      </c>
      <c r="AG141" s="9">
        <v>1201.1149906067371</v>
      </c>
      <c r="AH141" s="9">
        <v>43565.306745843416</v>
      </c>
      <c r="AI141" s="9">
        <v>4675.8102044962543</v>
      </c>
      <c r="AJ141" s="9">
        <v>49774.642901000101</v>
      </c>
      <c r="AK141" s="9">
        <v>60102161.905376777</v>
      </c>
      <c r="AL141" s="9">
        <v>58629467.343796059</v>
      </c>
    </row>
    <row r="142" spans="1:38" x14ac:dyDescent="0.25">
      <c r="A142" s="9">
        <v>140</v>
      </c>
      <c r="B142" s="9">
        <v>56</v>
      </c>
      <c r="C142" s="9">
        <v>6.358333333333333E-4</v>
      </c>
      <c r="D142" s="9">
        <v>5.7987591661238271</v>
      </c>
      <c r="E142" s="9">
        <v>19.598974594980536</v>
      </c>
      <c r="F142" s="9">
        <v>16.481802323166502</v>
      </c>
      <c r="G142" s="9">
        <v>20.234771604761249</v>
      </c>
      <c r="H142" s="9">
        <v>73.925117175349158</v>
      </c>
      <c r="I142" s="9">
        <v>4974.3517616862182</v>
      </c>
      <c r="J142" s="9">
        <v>3331.4017878537179</v>
      </c>
      <c r="K142" s="9">
        <v>1364.1115955835548</v>
      </c>
      <c r="L142" s="9">
        <v>3936.607592444378</v>
      </c>
      <c r="M142" s="9">
        <v>2.8838533545116714</v>
      </c>
      <c r="N142" s="9">
        <v>451.93120306256498</v>
      </c>
      <c r="O142" s="9">
        <v>32.427116813893903</v>
      </c>
      <c r="P142" s="9">
        <v>2.1884922731060965</v>
      </c>
      <c r="Q142" s="9">
        <v>32.427116813893903</v>
      </c>
      <c r="R142" s="9">
        <v>127.18533426403852</v>
      </c>
      <c r="S142" s="9">
        <v>58.711326284478069</v>
      </c>
      <c r="T142" s="9">
        <v>365.69094660929881</v>
      </c>
      <c r="U142" s="9">
        <v>495.14689238176453</v>
      </c>
      <c r="V142" s="9">
        <v>518.36892951401876</v>
      </c>
      <c r="W142" s="9">
        <v>83504.98143306034</v>
      </c>
      <c r="X142" s="9">
        <v>83803.880694173771</v>
      </c>
      <c r="Y142" s="9">
        <v>298.89926111345335</v>
      </c>
      <c r="Z142" s="9">
        <v>104822.24752961396</v>
      </c>
      <c r="AA142" s="9">
        <v>105215.60040637496</v>
      </c>
      <c r="AB142" s="9">
        <v>393.35287676099574</v>
      </c>
      <c r="AC142" s="9">
        <v>31.583908258154445</v>
      </c>
      <c r="AD142" s="9">
        <v>106.74908162732731</v>
      </c>
      <c r="AE142" s="9">
        <v>89.770883320180204</v>
      </c>
      <c r="AF142" s="9">
        <v>102.97812515856413</v>
      </c>
      <c r="AG142" s="9">
        <v>1198.3261494124099</v>
      </c>
      <c r="AH142" s="9">
        <v>43581.115683822267</v>
      </c>
      <c r="AI142" s="9">
        <v>4673.1280156130315</v>
      </c>
      <c r="AJ142" s="9">
        <v>49783.651847211935</v>
      </c>
      <c r="AK142" s="9">
        <v>60151945.557223991</v>
      </c>
      <c r="AL142" s="9">
        <v>58657282.059796222</v>
      </c>
    </row>
    <row r="143" spans="1:38" x14ac:dyDescent="0.25">
      <c r="A143" s="9">
        <v>141</v>
      </c>
      <c r="B143" s="9">
        <v>56</v>
      </c>
      <c r="C143" s="9">
        <v>6.358333333333333E-4</v>
      </c>
      <c r="D143" s="9">
        <v>5.7352544494921016</v>
      </c>
      <c r="E143" s="9">
        <v>19.501782868803161</v>
      </c>
      <c r="F143" s="9">
        <v>16.441225210835931</v>
      </c>
      <c r="G143" s="9">
        <v>20.189706011562588</v>
      </c>
      <c r="H143" s="9">
        <v>73.753492176043693</v>
      </c>
      <c r="I143" s="9">
        <v>4974.5586064872505</v>
      </c>
      <c r="J143" s="9">
        <v>3329.2835715502742</v>
      </c>
      <c r="K143" s="9">
        <v>1363.2442479606964</v>
      </c>
      <c r="L143" s="9">
        <v>3929.826464636044</v>
      </c>
      <c r="M143" s="9">
        <v>2.8787387161334745</v>
      </c>
      <c r="N143" s="9">
        <v>454.80994177869843</v>
      </c>
      <c r="O143" s="9">
        <v>32.372404266652588</v>
      </c>
      <c r="P143" s="9">
        <v>2.1847444433474119</v>
      </c>
      <c r="Q143" s="9">
        <v>32.372404266652588</v>
      </c>
      <c r="R143" s="9">
        <v>127.292253985014</v>
      </c>
      <c r="S143" s="9">
        <v>58.676477721851825</v>
      </c>
      <c r="T143" s="9">
        <v>368.35572382794049</v>
      </c>
      <c r="U143" s="9">
        <v>499.60028346319348</v>
      </c>
      <c r="V143" s="9">
        <v>524.08283570393269</v>
      </c>
      <c r="W143" s="9">
        <v>83504.98143306034</v>
      </c>
      <c r="X143" s="9">
        <v>83803.880694173771</v>
      </c>
      <c r="Y143" s="9">
        <v>298.89926111345335</v>
      </c>
      <c r="Z143" s="9">
        <v>104822.24752961396</v>
      </c>
      <c r="AA143" s="9">
        <v>105215.60040637496</v>
      </c>
      <c r="AB143" s="9">
        <v>393.35287676099574</v>
      </c>
      <c r="AC143" s="9">
        <v>31.23801923490031</v>
      </c>
      <c r="AD143" s="9">
        <v>106.21971069208121</v>
      </c>
      <c r="AE143" s="9">
        <v>89.549873315019695</v>
      </c>
      <c r="AF143" s="9">
        <v>102.74877884384394</v>
      </c>
      <c r="AG143" s="9">
        <v>1195.5441081736683</v>
      </c>
      <c r="AH143" s="9">
        <v>43595.370504562554</v>
      </c>
      <c r="AI143" s="9">
        <v>4670.3542442707958</v>
      </c>
      <c r="AJ143" s="9">
        <v>49791.025239092865</v>
      </c>
      <c r="AK143" s="9">
        <v>60201736.582463086</v>
      </c>
      <c r="AL143" s="9">
        <v>58684985.464544654</v>
      </c>
    </row>
    <row r="144" spans="1:38" x14ac:dyDescent="0.25">
      <c r="A144" s="9">
        <v>142</v>
      </c>
      <c r="B144" s="9">
        <v>56</v>
      </c>
      <c r="C144" s="9">
        <v>6.358333333333333E-4</v>
      </c>
      <c r="D144" s="9">
        <v>5.6724452004455861</v>
      </c>
      <c r="E144" s="9">
        <v>19.404714666356949</v>
      </c>
      <c r="F144" s="9">
        <v>16.400387048487239</v>
      </c>
      <c r="G144" s="9">
        <v>20.144699779260442</v>
      </c>
      <c r="H144" s="9">
        <v>73.582285162963615</v>
      </c>
      <c r="I144" s="9">
        <v>4974.7649906167298</v>
      </c>
      <c r="J144" s="9">
        <v>3327.1667020793634</v>
      </c>
      <c r="K144" s="9">
        <v>1362.3774518263681</v>
      </c>
      <c r="L144" s="9">
        <v>3923.0570178737053</v>
      </c>
      <c r="M144" s="9">
        <v>2.8736332956486859</v>
      </c>
      <c r="N144" s="9">
        <v>457.68357507434712</v>
      </c>
      <c r="O144" s="9">
        <v>32.31759084443064</v>
      </c>
      <c r="P144" s="9">
        <v>2.1810031505693614</v>
      </c>
      <c r="Q144" s="9">
        <v>32.31759084443064</v>
      </c>
      <c r="R144" s="9">
        <v>127.39368566748136</v>
      </c>
      <c r="S144" s="9">
        <v>58.640503534304216</v>
      </c>
      <c r="T144" s="9">
        <v>371.01777303786099</v>
      </c>
      <c r="U144" s="9">
        <v>504.0522391336508</v>
      </c>
      <c r="V144" s="9">
        <v>529.79027718733175</v>
      </c>
      <c r="W144" s="9">
        <v>83504.98143306034</v>
      </c>
      <c r="X144" s="9">
        <v>83803.880694173771</v>
      </c>
      <c r="Y144" s="9">
        <v>298.89926111345335</v>
      </c>
      <c r="Z144" s="9">
        <v>104822.24752961396</v>
      </c>
      <c r="AA144" s="9">
        <v>105215.60040637496</v>
      </c>
      <c r="AB144" s="9">
        <v>393.35287676099574</v>
      </c>
      <c r="AC144" s="9">
        <v>30.895918191760291</v>
      </c>
      <c r="AD144" s="9">
        <v>105.69101254942417</v>
      </c>
      <c r="AE144" s="9">
        <v>89.327441457427156</v>
      </c>
      <c r="AF144" s="9">
        <v>102.5197346266196</v>
      </c>
      <c r="AG144" s="9">
        <v>1192.7688424916403</v>
      </c>
      <c r="AH144" s="9">
        <v>43608.099309734163</v>
      </c>
      <c r="AI144" s="9">
        <v>4667.4908788129442</v>
      </c>
      <c r="AJ144" s="9">
        <v>49796.793137863977</v>
      </c>
      <c r="AK144" s="9">
        <v>60251533.375600949</v>
      </c>
      <c r="AL144" s="9">
        <v>58712577.113311499</v>
      </c>
    </row>
    <row r="145" spans="1:38" x14ac:dyDescent="0.25">
      <c r="A145" s="9">
        <v>143</v>
      </c>
      <c r="B145" s="9">
        <v>56</v>
      </c>
      <c r="C145" s="9">
        <v>6.358333333333333E-4</v>
      </c>
      <c r="D145" s="9">
        <v>5.6103238026183195</v>
      </c>
      <c r="E145" s="9">
        <v>19.307776172245088</v>
      </c>
      <c r="F145" s="9">
        <v>16.359291679274435</v>
      </c>
      <c r="G145" s="9">
        <v>20.099749497160605</v>
      </c>
      <c r="H145" s="9">
        <v>73.411494602972638</v>
      </c>
      <c r="I145" s="9">
        <v>4974.9709146814585</v>
      </c>
      <c r="J145" s="9">
        <v>3325.0511785846247</v>
      </c>
      <c r="K145" s="9">
        <v>1361.5112068299152</v>
      </c>
      <c r="L145" s="9">
        <v>3916.2992320358071</v>
      </c>
      <c r="M145" s="9">
        <v>2.8685370745887644</v>
      </c>
      <c r="N145" s="9">
        <v>460.55211214893586</v>
      </c>
      <c r="O145" s="9">
        <v>32.262681550886427</v>
      </c>
      <c r="P145" s="9">
        <v>2.17726838311357</v>
      </c>
      <c r="Q145" s="9">
        <v>32.262681550886427</v>
      </c>
      <c r="R145" s="9">
        <v>127.48972549475809</v>
      </c>
      <c r="S145" s="9">
        <v>58.603428145981042</v>
      </c>
      <c r="T145" s="9">
        <v>373.67706690545759</v>
      </c>
      <c r="U145" s="9">
        <v>508.50265262032934</v>
      </c>
      <c r="V145" s="9">
        <v>535.49125898737373</v>
      </c>
      <c r="W145" s="9">
        <v>83504.98143306034</v>
      </c>
      <c r="X145" s="9">
        <v>83803.880694173771</v>
      </c>
      <c r="Y145" s="9">
        <v>298.89926111345335</v>
      </c>
      <c r="Z145" s="9">
        <v>104822.24752961396</v>
      </c>
      <c r="AA145" s="9">
        <v>105215.60040637496</v>
      </c>
      <c r="AB145" s="9">
        <v>393.35287676099574</v>
      </c>
      <c r="AC145" s="9">
        <v>30.557563644927779</v>
      </c>
      <c r="AD145" s="9">
        <v>105.16302088482824</v>
      </c>
      <c r="AE145" s="9">
        <v>89.103608679781416</v>
      </c>
      <c r="AF145" s="9">
        <v>102.29097514929984</v>
      </c>
      <c r="AG145" s="9">
        <v>1190.0003275141864</v>
      </c>
      <c r="AH145" s="9">
        <v>43619.329727766271</v>
      </c>
      <c r="AI145" s="9">
        <v>4664.5398632793613</v>
      </c>
      <c r="AJ145" s="9">
        <v>49800.985086918656</v>
      </c>
      <c r="AK145" s="9">
        <v>60301334.360687867</v>
      </c>
      <c r="AL145" s="9">
        <v>58740056.586966924</v>
      </c>
    </row>
    <row r="146" spans="1:38" x14ac:dyDescent="0.25">
      <c r="A146" s="9">
        <v>144</v>
      </c>
      <c r="B146" s="9">
        <v>57</v>
      </c>
      <c r="C146" s="9">
        <v>6.358333333333333E-4</v>
      </c>
      <c r="D146" s="9">
        <v>5.5488827230544553</v>
      </c>
      <c r="E146" s="9">
        <v>19.210973442957904</v>
      </c>
      <c r="F146" s="9">
        <v>16.317942948798045</v>
      </c>
      <c r="G146" s="9">
        <v>20.054851832325447</v>
      </c>
      <c r="H146" s="9">
        <v>73.241118935918607</v>
      </c>
      <c r="I146" s="9">
        <v>4975.176379253372</v>
      </c>
      <c r="J146" s="9">
        <v>3322.9370002102414</v>
      </c>
      <c r="K146" s="9">
        <v>1360.6455126209057</v>
      </c>
      <c r="L146" s="9">
        <v>3909.5530870354555</v>
      </c>
      <c r="M146" s="9">
        <v>2.8634500344158584</v>
      </c>
      <c r="N146" s="9">
        <v>463.41556218335171</v>
      </c>
      <c r="O146" s="9">
        <v>32.209845710379184</v>
      </c>
      <c r="P146" s="9">
        <v>2.1713756856208168</v>
      </c>
      <c r="Q146" s="9">
        <v>32.209845710379184</v>
      </c>
      <c r="R146" s="9">
        <v>127.57830362345713</v>
      </c>
      <c r="S146" s="9">
        <v>58.56527543985019</v>
      </c>
      <c r="T146" s="9">
        <v>376.33357867900486</v>
      </c>
      <c r="U146" s="9">
        <v>512.95141928840303</v>
      </c>
      <c r="V146" s="9">
        <v>541.18578619191237</v>
      </c>
      <c r="W146" s="9">
        <v>88708.95084555044</v>
      </c>
      <c r="X146" s="9">
        <v>89034.341393140494</v>
      </c>
      <c r="Y146" s="9">
        <v>325.39054759007456</v>
      </c>
      <c r="Z146" s="9">
        <v>113722.80123422921</v>
      </c>
      <c r="AA146" s="9">
        <v>114161.4632008983</v>
      </c>
      <c r="AB146" s="9">
        <v>438.66196666909548</v>
      </c>
      <c r="AC146" s="9">
        <v>30.222914564903263</v>
      </c>
      <c r="AD146" s="9">
        <v>104.63576868597738</v>
      </c>
      <c r="AE146" s="9">
        <v>88.878395927786684</v>
      </c>
      <c r="AF146" s="9">
        <v>102.06248345000958</v>
      </c>
      <c r="AG146" s="9">
        <v>1187.2385379512407</v>
      </c>
      <c r="AH146" s="9">
        <v>43629.088921275114</v>
      </c>
      <c r="AI146" s="9">
        <v>4661.5030986348756</v>
      </c>
      <c r="AJ146" s="9">
        <v>49803.630120489906</v>
      </c>
      <c r="AK146" s="9">
        <v>60351137.99080836</v>
      </c>
      <c r="AL146" s="9">
        <v>58767423.49134592</v>
      </c>
    </row>
    <row r="147" spans="1:38" x14ac:dyDescent="0.25">
      <c r="A147" s="9">
        <v>145</v>
      </c>
      <c r="B147" s="9">
        <v>57</v>
      </c>
      <c r="C147" s="9">
        <v>7.0416666666666663E-4</v>
      </c>
      <c r="D147" s="9">
        <v>5.487735337642059</v>
      </c>
      <c r="E147" s="9">
        <v>19.112999658907668</v>
      </c>
      <c r="F147" s="9">
        <v>16.275229644697948</v>
      </c>
      <c r="G147" s="9">
        <v>20.008633113880339</v>
      </c>
      <c r="H147" s="9">
        <v>73.066151765772744</v>
      </c>
      <c r="I147" s="9">
        <v>4975.3813848703376</v>
      </c>
      <c r="J147" s="9">
        <v>3320.5970987392602</v>
      </c>
      <c r="K147" s="9">
        <v>1359.6873914057685</v>
      </c>
      <c r="L147" s="9">
        <v>3902.5514100260771</v>
      </c>
      <c r="M147" s="9">
        <v>2.8583721565258977</v>
      </c>
      <c r="N147" s="9">
        <v>466.2739343398776</v>
      </c>
      <c r="O147" s="9">
        <v>32.154668954325324</v>
      </c>
      <c r="P147" s="9">
        <v>2.1676576396746783</v>
      </c>
      <c r="Q147" s="9">
        <v>32.154668954325324</v>
      </c>
      <c r="R147" s="9">
        <v>127.65299875602491</v>
      </c>
      <c r="S147" s="9">
        <v>58.522066812097634</v>
      </c>
      <c r="T147" s="9">
        <v>378.98728217865471</v>
      </c>
      <c r="U147" s="9">
        <v>517.39845121301948</v>
      </c>
      <c r="V147" s="9">
        <v>547.48516457638925</v>
      </c>
      <c r="W147" s="9">
        <v>88708.95084555044</v>
      </c>
      <c r="X147" s="9">
        <v>89034.341393140494</v>
      </c>
      <c r="Y147" s="9">
        <v>325.39054759007456</v>
      </c>
      <c r="Z147" s="9">
        <v>113722.80123422921</v>
      </c>
      <c r="AA147" s="9">
        <v>114161.4632008983</v>
      </c>
      <c r="AB147" s="9">
        <v>438.66196666909548</v>
      </c>
      <c r="AC147" s="9">
        <v>29.889865139023748</v>
      </c>
      <c r="AD147" s="9">
        <v>104.10213814218376</v>
      </c>
      <c r="AE147" s="9">
        <v>88.645750798121483</v>
      </c>
      <c r="AF147" s="9">
        <v>101.82726868872268</v>
      </c>
      <c r="AG147" s="9">
        <v>1184.4023201231762</v>
      </c>
      <c r="AH147" s="9">
        <v>43634.418283859733</v>
      </c>
      <c r="AI147" s="9">
        <v>4658.0639079089115</v>
      </c>
      <c r="AJ147" s="9">
        <v>49801.349534659872</v>
      </c>
      <c r="AK147" s="9">
        <v>60400939.340343021</v>
      </c>
      <c r="AL147" s="9">
        <v>58794675.592131779</v>
      </c>
    </row>
    <row r="148" spans="1:38" x14ac:dyDescent="0.25">
      <c r="A148" s="9">
        <v>146</v>
      </c>
      <c r="B148" s="9">
        <v>57</v>
      </c>
      <c r="C148" s="9">
        <v>7.0416666666666663E-4</v>
      </c>
      <c r="D148" s="9">
        <v>5.427261782067017</v>
      </c>
      <c r="E148" s="9">
        <v>19.01518667589254</v>
      </c>
      <c r="F148" s="9">
        <v>16.232276435299518</v>
      </c>
      <c r="G148" s="9">
        <v>19.96246679973267</v>
      </c>
      <c r="H148" s="9">
        <v>72.89161986111607</v>
      </c>
      <c r="I148" s="9">
        <v>4975.5859180282214</v>
      </c>
      <c r="J148" s="9">
        <v>3318.2588449488981</v>
      </c>
      <c r="K148" s="9">
        <v>1358.7299448676536</v>
      </c>
      <c r="L148" s="9">
        <v>3895.5622724246186</v>
      </c>
      <c r="M148" s="9">
        <v>2.8531081001542784</v>
      </c>
      <c r="N148" s="9">
        <v>469.12704244003186</v>
      </c>
      <c r="O148" s="9">
        <v>32.099351118105353</v>
      </c>
      <c r="P148" s="9">
        <v>2.1638124048946512</v>
      </c>
      <c r="Q148" s="9">
        <v>32.099351118105353</v>
      </c>
      <c r="R148" s="9">
        <v>127.72262325648815</v>
      </c>
      <c r="S148" s="9">
        <v>58.47783261416803</v>
      </c>
      <c r="T148" s="9">
        <v>381.63797036469475</v>
      </c>
      <c r="U148" s="9">
        <v>521.84334352288079</v>
      </c>
      <c r="V148" s="9">
        <v>553.77697569694033</v>
      </c>
      <c r="W148" s="9">
        <v>88708.95084555044</v>
      </c>
      <c r="X148" s="9">
        <v>89034.341393140494</v>
      </c>
      <c r="Y148" s="9">
        <v>325.39054759007456</v>
      </c>
      <c r="Z148" s="9">
        <v>113722.80123422921</v>
      </c>
      <c r="AA148" s="9">
        <v>114161.4632008983</v>
      </c>
      <c r="AB148" s="9">
        <v>438.66196666909548</v>
      </c>
      <c r="AC148" s="9">
        <v>29.560485839658352</v>
      </c>
      <c r="AD148" s="9">
        <v>103.56938342802803</v>
      </c>
      <c r="AE148" s="9">
        <v>88.411798984264706</v>
      </c>
      <c r="AF148" s="9">
        <v>101.59232062163952</v>
      </c>
      <c r="AG148" s="9">
        <v>1181.5731579486915</v>
      </c>
      <c r="AH148" s="9">
        <v>43638.324623153596</v>
      </c>
      <c r="AI148" s="9">
        <v>4654.5430869247039</v>
      </c>
      <c r="AJ148" s="9">
        <v>49797.574856900581</v>
      </c>
      <c r="AK148" s="9">
        <v>60450736.915199921</v>
      </c>
      <c r="AL148" s="9">
        <v>58821812.556667589</v>
      </c>
    </row>
    <row r="149" spans="1:38" x14ac:dyDescent="0.25">
      <c r="A149" s="9">
        <v>147</v>
      </c>
      <c r="B149" s="9">
        <v>57</v>
      </c>
      <c r="C149" s="9">
        <v>7.0416666666666663E-4</v>
      </c>
      <c r="D149" s="9">
        <v>5.3674546308826532</v>
      </c>
      <c r="E149" s="9">
        <v>18.917540145689003</v>
      </c>
      <c r="F149" s="9">
        <v>16.189087217581385</v>
      </c>
      <c r="G149" s="9">
        <v>19.916349775197126</v>
      </c>
      <c r="H149" s="9">
        <v>72.717521499493515</v>
      </c>
      <c r="I149" s="9">
        <v>4975.7899792627122</v>
      </c>
      <c r="J149" s="9">
        <v>3315.922237678913</v>
      </c>
      <c r="K149" s="9">
        <v>1357.7731725314759</v>
      </c>
      <c r="L149" s="9">
        <v>3888.5856517740676</v>
      </c>
      <c r="M149" s="9">
        <v>2.8478538747449851</v>
      </c>
      <c r="N149" s="9">
        <v>471.97489631477686</v>
      </c>
      <c r="O149" s="9">
        <v>32.043898362464788</v>
      </c>
      <c r="P149" s="9">
        <v>2.1599741075352101</v>
      </c>
      <c r="Q149" s="9">
        <v>32.043898362464788</v>
      </c>
      <c r="R149" s="9">
        <v>127.78726724759424</v>
      </c>
      <c r="S149" s="9">
        <v>58.432595325536028</v>
      </c>
      <c r="T149" s="9">
        <v>384.28561848942235</v>
      </c>
      <c r="U149" s="9">
        <v>526.28599742610663</v>
      </c>
      <c r="V149" s="9">
        <v>560.06122638882573</v>
      </c>
      <c r="W149" s="9">
        <v>88708.95084555044</v>
      </c>
      <c r="X149" s="9">
        <v>89034.341393140494</v>
      </c>
      <c r="Y149" s="9">
        <v>325.39054759007456</v>
      </c>
      <c r="Z149" s="9">
        <v>113722.80123422921</v>
      </c>
      <c r="AA149" s="9">
        <v>114161.4632008983</v>
      </c>
      <c r="AB149" s="9">
        <v>438.66196666909548</v>
      </c>
      <c r="AC149" s="9">
        <v>29.234736222874183</v>
      </c>
      <c r="AD149" s="9">
        <v>103.03753532685276</v>
      </c>
      <c r="AE149" s="9">
        <v>88.176561711759931</v>
      </c>
      <c r="AF149" s="9">
        <v>101.35762339760737</v>
      </c>
      <c r="AG149" s="9">
        <v>1178.75102350679</v>
      </c>
      <c r="AH149" s="9">
        <v>43640.834228722553</v>
      </c>
      <c r="AI149" s="9">
        <v>4650.94242493604</v>
      </c>
      <c r="AJ149" s="9">
        <v>49792.334133824479</v>
      </c>
      <c r="AK149" s="9">
        <v>60500529.249333747</v>
      </c>
      <c r="AL149" s="9">
        <v>58848834.075632565</v>
      </c>
    </row>
    <row r="150" spans="1:38" x14ac:dyDescent="0.25">
      <c r="A150" s="9">
        <v>148</v>
      </c>
      <c r="B150" s="9">
        <v>57</v>
      </c>
      <c r="C150" s="9">
        <v>7.0416666666666663E-4</v>
      </c>
      <c r="D150" s="9">
        <v>5.3083065404689727</v>
      </c>
      <c r="E150" s="9">
        <v>18.820065597812452</v>
      </c>
      <c r="F150" s="9">
        <v>16.145665886168107</v>
      </c>
      <c r="G150" s="9">
        <v>19.870279000914049</v>
      </c>
      <c r="H150" s="9">
        <v>72.543854935546989</v>
      </c>
      <c r="I150" s="9">
        <v>4975.993569077661</v>
      </c>
      <c r="J150" s="9">
        <v>3313.5872757698808</v>
      </c>
      <c r="K150" s="9">
        <v>1356.817073922485</v>
      </c>
      <c r="L150" s="9">
        <v>3881.6215256576293</v>
      </c>
      <c r="M150" s="9">
        <v>2.8426094595708888</v>
      </c>
      <c r="N150" s="9">
        <v>474.81750577434775</v>
      </c>
      <c r="O150" s="9">
        <v>31.98831669768694</v>
      </c>
      <c r="P150" s="9">
        <v>2.1561427343130557</v>
      </c>
      <c r="Q150" s="9">
        <v>31.98831669768694</v>
      </c>
      <c r="R150" s="9">
        <v>127.84701936031506</v>
      </c>
      <c r="S150" s="9">
        <v>58.386376942491189</v>
      </c>
      <c r="T150" s="9">
        <v>386.93020235712231</v>
      </c>
      <c r="U150" s="9">
        <v>530.72631614013005</v>
      </c>
      <c r="V150" s="9">
        <v>566.33792355205867</v>
      </c>
      <c r="W150" s="9">
        <v>88708.95084555044</v>
      </c>
      <c r="X150" s="9">
        <v>89034.341393140494</v>
      </c>
      <c r="Y150" s="9">
        <v>325.39054759007456</v>
      </c>
      <c r="Z150" s="9">
        <v>113722.80123422921</v>
      </c>
      <c r="AA150" s="9">
        <v>114161.4632008983</v>
      </c>
      <c r="AB150" s="9">
        <v>438.66196666909548</v>
      </c>
      <c r="AC150" s="9">
        <v>28.912576290421004</v>
      </c>
      <c r="AD150" s="9">
        <v>102.50662395608515</v>
      </c>
      <c r="AE150" s="9">
        <v>87.940060193328947</v>
      </c>
      <c r="AF150" s="9">
        <v>101.12316154881842</v>
      </c>
      <c r="AG150" s="9">
        <v>1175.9358885052168</v>
      </c>
      <c r="AH150" s="9">
        <v>43641.972941730397</v>
      </c>
      <c r="AI150" s="9">
        <v>4647.2636727375866</v>
      </c>
      <c r="AJ150" s="9">
        <v>49785.654924961855</v>
      </c>
      <c r="AK150" s="9">
        <v>60550314.904258706</v>
      </c>
      <c r="AL150" s="9">
        <v>58875739.862450555</v>
      </c>
    </row>
    <row r="151" spans="1:38" x14ac:dyDescent="0.25">
      <c r="A151" s="9">
        <v>149</v>
      </c>
      <c r="B151" s="9">
        <v>57</v>
      </c>
      <c r="C151" s="9">
        <v>7.0416666666666663E-4</v>
      </c>
      <c r="D151" s="9">
        <v>5.2498102481309497</v>
      </c>
      <c r="E151" s="9">
        <v>18.722768441349071</v>
      </c>
      <c r="F151" s="9">
        <v>16.102016332455062</v>
      </c>
      <c r="G151" s="9">
        <v>19.824251512001464</v>
      </c>
      <c r="H151" s="9">
        <v>72.370618401904181</v>
      </c>
      <c r="I151" s="9">
        <v>4976.1966879458496</v>
      </c>
      <c r="J151" s="9">
        <v>3311.2539580631928</v>
      </c>
      <c r="K151" s="9">
        <v>1355.8616485662646</v>
      </c>
      <c r="L151" s="9">
        <v>3874.6698716986562</v>
      </c>
      <c r="M151" s="9">
        <v>2.8373748338559732</v>
      </c>
      <c r="N151" s="9">
        <v>477.65488060820371</v>
      </c>
      <c r="O151" s="9">
        <v>31.932611988123547</v>
      </c>
      <c r="P151" s="9">
        <v>2.1523182718764535</v>
      </c>
      <c r="Q151" s="9">
        <v>31.932611988123547</v>
      </c>
      <c r="R151" s="9">
        <v>127.90196675825155</v>
      </c>
      <c r="S151" s="9">
        <v>58.33919899076912</v>
      </c>
      <c r="T151" s="9">
        <v>389.57169831444753</v>
      </c>
      <c r="U151" s="9">
        <v>535.16420485259505</v>
      </c>
      <c r="V151" s="9">
        <v>572.60707414994465</v>
      </c>
      <c r="W151" s="9">
        <v>88708.95084555044</v>
      </c>
      <c r="X151" s="9">
        <v>89034.341393140494</v>
      </c>
      <c r="Y151" s="9">
        <v>325.39054759007456</v>
      </c>
      <c r="Z151" s="9">
        <v>113722.80123422921</v>
      </c>
      <c r="AA151" s="9">
        <v>114161.4632008983</v>
      </c>
      <c r="AB151" s="9">
        <v>438.66196666909548</v>
      </c>
      <c r="AC151" s="9">
        <v>28.593966484819905</v>
      </c>
      <c r="AD151" s="9">
        <v>101.9766787772146</v>
      </c>
      <c r="AE151" s="9">
        <v>87.702315624105225</v>
      </c>
      <c r="AF151" s="9">
        <v>100.88891998649412</v>
      </c>
      <c r="AG151" s="9">
        <v>1173.1277242948668</v>
      </c>
      <c r="AH151" s="9">
        <v>43641.766162839413</v>
      </c>
      <c r="AI151" s="9">
        <v>4643.5085436702684</v>
      </c>
      <c r="AJ151" s="9">
        <v>49777.564311677183</v>
      </c>
      <c r="AK151" s="9">
        <v>60600092.468570381</v>
      </c>
      <c r="AL151" s="9">
        <v>58902529.65271195</v>
      </c>
    </row>
    <row r="152" spans="1:38" x14ac:dyDescent="0.25">
      <c r="A152" s="9">
        <v>150</v>
      </c>
      <c r="B152" s="9">
        <v>57</v>
      </c>
      <c r="C152" s="9">
        <v>7.0416666666666663E-4</v>
      </c>
      <c r="D152" s="9">
        <v>5.1919585712067517</v>
      </c>
      <c r="E152" s="9">
        <v>18.625653966763643</v>
      </c>
      <c r="F152" s="9">
        <v>16.05814244375674</v>
      </c>
      <c r="G152" s="9">
        <v>19.778264417207076</v>
      </c>
      <c r="H152" s="9">
        <v>72.197810110054107</v>
      </c>
      <c r="I152" s="9">
        <v>4976.3993363097507</v>
      </c>
      <c r="J152" s="9">
        <v>3308.9222834010566</v>
      </c>
      <c r="K152" s="9">
        <v>1354.9068959887325</v>
      </c>
      <c r="L152" s="9">
        <v>3867.7306675605751</v>
      </c>
      <c r="M152" s="9">
        <v>2.832149976778227</v>
      </c>
      <c r="N152" s="9">
        <v>480.48703058498194</v>
      </c>
      <c r="O152" s="9">
        <v>31.876789954192244</v>
      </c>
      <c r="P152" s="9">
        <v>2.1485007068077544</v>
      </c>
      <c r="Q152" s="9">
        <v>31.876789954192244</v>
      </c>
      <c r="R152" s="9">
        <v>127.95219516164052</v>
      </c>
      <c r="S152" s="9">
        <v>58.29108253777121</v>
      </c>
      <c r="T152" s="9">
        <v>392.21008324096999</v>
      </c>
      <c r="U152" s="9">
        <v>539.59957068314338</v>
      </c>
      <c r="V152" s="9">
        <v>578.86868520764961</v>
      </c>
      <c r="W152" s="9">
        <v>88708.95084555044</v>
      </c>
      <c r="X152" s="9">
        <v>89034.341393140494</v>
      </c>
      <c r="Y152" s="9">
        <v>325.39054759007456</v>
      </c>
      <c r="Z152" s="9">
        <v>113722.80123422921</v>
      </c>
      <c r="AA152" s="9">
        <v>114161.4632008983</v>
      </c>
      <c r="AB152" s="9">
        <v>438.66196666909548</v>
      </c>
      <c r="AC152" s="9">
        <v>28.278867684506107</v>
      </c>
      <c r="AD152" s="9">
        <v>101.4477286056393</v>
      </c>
      <c r="AE152" s="9">
        <v>87.463349176995038</v>
      </c>
      <c r="AF152" s="9">
        <v>100.65488399656967</v>
      </c>
      <c r="AG152" s="9">
        <v>1170.3265018839772</v>
      </c>
      <c r="AH152" s="9">
        <v>43640.238859310703</v>
      </c>
      <c r="AI152" s="9">
        <v>4639.6787145938997</v>
      </c>
      <c r="AJ152" s="9">
        <v>49768.088905252291</v>
      </c>
      <c r="AK152" s="9">
        <v>60649860.557475634</v>
      </c>
      <c r="AL152" s="9">
        <v>58929203.203608401</v>
      </c>
    </row>
    <row r="153" spans="1:38" x14ac:dyDescent="0.25">
      <c r="A153" s="9">
        <v>151</v>
      </c>
      <c r="B153" s="9">
        <v>57</v>
      </c>
      <c r="C153" s="9">
        <v>7.0416666666666663E-4</v>
      </c>
      <c r="D153" s="9">
        <v>5.1347444061857948</v>
      </c>
      <c r="E153" s="9">
        <v>18.52872734768351</v>
      </c>
      <c r="F153" s="9">
        <v>16.014048102477997</v>
      </c>
      <c r="G153" s="9">
        <v>19.73231489806053</v>
      </c>
      <c r="H153" s="9">
        <v>72.025428251209433</v>
      </c>
      <c r="I153" s="9">
        <v>4976.6015145822839</v>
      </c>
      <c r="J153" s="9">
        <v>3306.5922506264951</v>
      </c>
      <c r="K153" s="9">
        <v>1353.9528157161403</v>
      </c>
      <c r="L153" s="9">
        <v>3860.803890946816</v>
      </c>
      <c r="M153" s="9">
        <v>2.8269348674724935</v>
      </c>
      <c r="N153" s="9">
        <v>483.31396545245445</v>
      </c>
      <c r="O153" s="9">
        <v>31.820856176374107</v>
      </c>
      <c r="P153" s="9">
        <v>2.1446900256258896</v>
      </c>
      <c r="Q153" s="9">
        <v>31.820856176374107</v>
      </c>
      <c r="R153" s="9">
        <v>127.99778887097006</v>
      </c>
      <c r="S153" s="9">
        <v>58.242048204374889</v>
      </c>
      <c r="T153" s="9">
        <v>394.84533453988473</v>
      </c>
      <c r="U153" s="9">
        <v>544.03232264602491</v>
      </c>
      <c r="V153" s="9">
        <v>585.12276381079585</v>
      </c>
      <c r="W153" s="9">
        <v>88708.95084555044</v>
      </c>
      <c r="X153" s="9">
        <v>89034.341393140494</v>
      </c>
      <c r="Y153" s="9">
        <v>325.39054759007456</v>
      </c>
      <c r="Z153" s="9">
        <v>113722.80123422921</v>
      </c>
      <c r="AA153" s="9">
        <v>114161.4632008983</v>
      </c>
      <c r="AB153" s="9">
        <v>438.66196666909548</v>
      </c>
      <c r="AC153" s="9">
        <v>27.967241199025295</v>
      </c>
      <c r="AD153" s="9">
        <v>100.91980162038284</v>
      </c>
      <c r="AE153" s="9">
        <v>87.223181998163483</v>
      </c>
      <c r="AF153" s="9">
        <v>100.42103923537971</v>
      </c>
      <c r="AG153" s="9">
        <v>1167.532191952105</v>
      </c>
      <c r="AH153" s="9">
        <v>43637.415572543679</v>
      </c>
      <c r="AI153" s="9">
        <v>4635.7758268272191</v>
      </c>
      <c r="AJ153" s="9">
        <v>49757.254855375955</v>
      </c>
      <c r="AK153" s="9">
        <v>60699617.812331013</v>
      </c>
      <c r="AL153" s="9">
        <v>58955760.293380298</v>
      </c>
    </row>
    <row r="154" spans="1:38" x14ac:dyDescent="0.25">
      <c r="A154" s="9">
        <v>152</v>
      </c>
      <c r="B154" s="9">
        <v>57</v>
      </c>
      <c r="C154" s="9">
        <v>7.0416666666666663E-4</v>
      </c>
      <c r="D154" s="9">
        <v>5.0781607278365151</v>
      </c>
      <c r="E154" s="9">
        <v>18.431993642659069</v>
      </c>
      <c r="F154" s="9">
        <v>15.969737185307823</v>
      </c>
      <c r="G154" s="9">
        <v>19.686400208026132</v>
      </c>
      <c r="H154" s="9">
        <v>71.853470997155682</v>
      </c>
      <c r="I154" s="9">
        <v>4976.8032231475563</v>
      </c>
      <c r="J154" s="9">
        <v>3304.2638585833456</v>
      </c>
      <c r="K154" s="9">
        <v>1352.9994072750735</v>
      </c>
      <c r="L154" s="9">
        <v>3853.8895196007397</v>
      </c>
      <c r="M154" s="9">
        <v>2.8217294850332766</v>
      </c>
      <c r="N154" s="9">
        <v>486.13569493748776</v>
      </c>
      <c r="O154" s="9">
        <v>31.764816099211174</v>
      </c>
      <c r="P154" s="9">
        <v>2.1408862147888295</v>
      </c>
      <c r="Q154" s="9">
        <v>31.764816099211174</v>
      </c>
      <c r="R154" s="9">
        <v>128.03883079020997</v>
      </c>
      <c r="S154" s="9">
        <v>58.192116176362511</v>
      </c>
      <c r="T154" s="9">
        <v>397.47743012887656</v>
      </c>
      <c r="U154" s="9">
        <v>548.4623716135419</v>
      </c>
      <c r="V154" s="9">
        <v>591.3693171040851</v>
      </c>
      <c r="W154" s="9">
        <v>88708.95084555044</v>
      </c>
      <c r="X154" s="9">
        <v>89034.341393140494</v>
      </c>
      <c r="Y154" s="9">
        <v>325.39054759007456</v>
      </c>
      <c r="Z154" s="9">
        <v>113722.80123422921</v>
      </c>
      <c r="AA154" s="9">
        <v>114161.4632008983</v>
      </c>
      <c r="AB154" s="9">
        <v>438.66196666909548</v>
      </c>
      <c r="AC154" s="9">
        <v>27.659048764282883</v>
      </c>
      <c r="AD154" s="9">
        <v>100.39292537368306</v>
      </c>
      <c r="AE154" s="9">
        <v>86.981835202643268</v>
      </c>
      <c r="AF154" s="9">
        <v>100.18737172534632</v>
      </c>
      <c r="AG154" s="9">
        <v>1164.7447648638936</v>
      </c>
      <c r="AH154" s="9">
        <v>43633.320425510516</v>
      </c>
      <c r="AI154" s="9">
        <v>4631.8014870575744</v>
      </c>
      <c r="AJ154" s="9">
        <v>49745.087858497936</v>
      </c>
      <c r="AK154" s="9">
        <v>60749362.900189511</v>
      </c>
      <c r="AL154" s="9">
        <v>58982200.720776752</v>
      </c>
    </row>
    <row r="155" spans="1:38" x14ac:dyDescent="0.25">
      <c r="A155" s="9">
        <v>153</v>
      </c>
      <c r="B155" s="9">
        <v>57</v>
      </c>
      <c r="C155" s="9">
        <v>7.0416666666666663E-4</v>
      </c>
      <c r="D155" s="9">
        <v>5.0222005883437513</v>
      </c>
      <c r="E155" s="9">
        <v>18.335457796901007</v>
      </c>
      <c r="F155" s="9">
        <v>15.92521356243522</v>
      </c>
      <c r="G155" s="9">
        <v>19.640517671656305</v>
      </c>
      <c r="H155" s="9">
        <v>71.681936501087307</v>
      </c>
      <c r="I155" s="9">
        <v>4977.0044623615995</v>
      </c>
      <c r="J155" s="9">
        <v>3301.9371061162597</v>
      </c>
      <c r="K155" s="9">
        <v>1352.0466701924506</v>
      </c>
      <c r="L155" s="9">
        <v>3846.9875313055677</v>
      </c>
      <c r="M155" s="9">
        <v>2.8165338085175029</v>
      </c>
      <c r="N155" s="9">
        <v>488.95222874600523</v>
      </c>
      <c r="O155" s="9">
        <v>31.70867503330399</v>
      </c>
      <c r="P155" s="9">
        <v>2.1370892606960075</v>
      </c>
      <c r="Q155" s="9">
        <v>31.70867503330399</v>
      </c>
      <c r="R155" s="9">
        <v>128.07540244966361</v>
      </c>
      <c r="S155" s="9">
        <v>58.141306215484271</v>
      </c>
      <c r="T155" s="9">
        <v>400.10634843114684</v>
      </c>
      <c r="U155" s="9">
        <v>552.88963028030753</v>
      </c>
      <c r="V155" s="9">
        <v>597.60835228994904</v>
      </c>
      <c r="W155" s="9">
        <v>88708.95084555044</v>
      </c>
      <c r="X155" s="9">
        <v>89034.341393140494</v>
      </c>
      <c r="Y155" s="9">
        <v>325.39054759007456</v>
      </c>
      <c r="Z155" s="9">
        <v>113722.80123422921</v>
      </c>
      <c r="AA155" s="9">
        <v>114161.4632008983</v>
      </c>
      <c r="AB155" s="9">
        <v>438.66196666909548</v>
      </c>
      <c r="AC155" s="9">
        <v>27.354252537845632</v>
      </c>
      <c r="AD155" s="9">
        <v>99.867126800454145</v>
      </c>
      <c r="AE155" s="9">
        <v>86.739329870063827</v>
      </c>
      <c r="AF155" s="9">
        <v>99.953867850670875</v>
      </c>
      <c r="AG155" s="9">
        <v>1161.9641906826253</v>
      </c>
      <c r="AH155" s="9">
        <v>43627.97712954109</v>
      </c>
      <c r="AI155" s="9">
        <v>4627.7572682214704</v>
      </c>
      <c r="AJ155" s="9">
        <v>49731.613165504219</v>
      </c>
      <c r="AK155" s="9">
        <v>60799094.513355017</v>
      </c>
      <c r="AL155" s="9">
        <v>59008524.304527551</v>
      </c>
    </row>
    <row r="156" spans="1:38" x14ac:dyDescent="0.25">
      <c r="A156" s="9">
        <v>154</v>
      </c>
      <c r="B156" s="9">
        <v>57</v>
      </c>
      <c r="C156" s="9">
        <v>7.0416666666666663E-4</v>
      </c>
      <c r="D156" s="9">
        <v>4.9668571164556345</v>
      </c>
      <c r="E156" s="9">
        <v>18.239124643994629</v>
      </c>
      <c r="F156" s="9">
        <v>15.880481096786731</v>
      </c>
      <c r="G156" s="9">
        <v>19.594664683745965</v>
      </c>
      <c r="H156" s="9">
        <v>71.510822898430874</v>
      </c>
      <c r="I156" s="9">
        <v>4977.2052325530958</v>
      </c>
      <c r="J156" s="9">
        <v>3299.6119920707029</v>
      </c>
      <c r="K156" s="9">
        <v>1351.0946039955234</v>
      </c>
      <c r="L156" s="9">
        <v>3840.0979038843084</v>
      </c>
      <c r="M156" s="9">
        <v>2.8113478169472423</v>
      </c>
      <c r="N156" s="9">
        <v>491.76357656295249</v>
      </c>
      <c r="O156" s="9">
        <v>31.652438159309284</v>
      </c>
      <c r="P156" s="9">
        <v>2.133299149690715</v>
      </c>
      <c r="Q156" s="9">
        <v>31.652438159309284</v>
      </c>
      <c r="R156" s="9">
        <v>128.10758402844718</v>
      </c>
      <c r="S156" s="9">
        <v>58.089637670158019</v>
      </c>
      <c r="T156" s="9">
        <v>402.73206836658687</v>
      </c>
      <c r="U156" s="9">
        <v>557.31401312826381</v>
      </c>
      <c r="V156" s="9">
        <v>603.83987662722484</v>
      </c>
      <c r="W156" s="9">
        <v>88708.95084555044</v>
      </c>
      <c r="X156" s="9">
        <v>89034.341393140494</v>
      </c>
      <c r="Y156" s="9">
        <v>325.39054759007456</v>
      </c>
      <c r="Z156" s="9">
        <v>113722.80123422921</v>
      </c>
      <c r="AA156" s="9">
        <v>114161.4632008983</v>
      </c>
      <c r="AB156" s="9">
        <v>438.66196666909548</v>
      </c>
      <c r="AC156" s="9">
        <v>27.052815094295021</v>
      </c>
      <c r="AD156" s="9">
        <v>99.342432227624073</v>
      </c>
      <c r="AE156" s="9">
        <v>86.495687040498396</v>
      </c>
      <c r="AF156" s="9">
        <v>99.720514353030495</v>
      </c>
      <c r="AG156" s="9">
        <v>1159.1904391835644</v>
      </c>
      <c r="AH156" s="9">
        <v>43621.408991552322</v>
      </c>
      <c r="AI156" s="9">
        <v>4623.6447103562277</v>
      </c>
      <c r="AJ156" s="9">
        <v>49716.855589807565</v>
      </c>
      <c r="AK156" s="9">
        <v>60848811.368944824</v>
      </c>
      <c r="AL156" s="9">
        <v>59034730.882827103</v>
      </c>
    </row>
    <row r="157" spans="1:38" x14ac:dyDescent="0.25">
      <c r="A157" s="9">
        <v>155</v>
      </c>
      <c r="B157" s="9">
        <v>57</v>
      </c>
      <c r="C157" s="9">
        <v>7.0416666666666663E-4</v>
      </c>
      <c r="D157" s="9">
        <v>4.9121235166398804</v>
      </c>
      <c r="E157" s="9">
        <v>18.142998907591512</v>
      </c>
      <c r="F157" s="9">
        <v>15.83554364328525</v>
      </c>
      <c r="G157" s="9">
        <v>19.548838708488077</v>
      </c>
      <c r="H157" s="9">
        <v>71.340128307655263</v>
      </c>
      <c r="I157" s="9">
        <v>4977.4055340240975</v>
      </c>
      <c r="J157" s="9">
        <v>3297.288515292953</v>
      </c>
      <c r="K157" s="9">
        <v>1350.1432082118765</v>
      </c>
      <c r="L157" s="9">
        <v>3833.2206151996884</v>
      </c>
      <c r="M157" s="9">
        <v>2.8061714893123826</v>
      </c>
      <c r="N157" s="9">
        <v>494.56974805226486</v>
      </c>
      <c r="O157" s="9">
        <v>31.59611052993754</v>
      </c>
      <c r="P157" s="9">
        <v>2.1295158680624611</v>
      </c>
      <c r="Q157" s="9">
        <v>31.59611052993754</v>
      </c>
      <c r="R157" s="9">
        <v>128.13545437660255</v>
      </c>
      <c r="S157" s="9">
        <v>58.037129485832217</v>
      </c>
      <c r="T157" s="9">
        <v>405.35456934310696</v>
      </c>
      <c r="U157" s="9">
        <v>561.73543639247248</v>
      </c>
      <c r="V157" s="9">
        <v>610.06389742985766</v>
      </c>
      <c r="W157" s="9">
        <v>88708.95084555044</v>
      </c>
      <c r="X157" s="9">
        <v>89034.341393140494</v>
      </c>
      <c r="Y157" s="9">
        <v>325.39054759007456</v>
      </c>
      <c r="Z157" s="9">
        <v>113722.80123422921</v>
      </c>
      <c r="AA157" s="9">
        <v>114161.4632008983</v>
      </c>
      <c r="AB157" s="9">
        <v>438.66196666909548</v>
      </c>
      <c r="AC157" s="9">
        <v>26.75469942063188</v>
      </c>
      <c r="AD157" s="9">
        <v>98.818867383348433</v>
      </c>
      <c r="AE157" s="9">
        <v>86.250927710426993</v>
      </c>
      <c r="AF157" s="9">
        <v>99.48729832728057</v>
      </c>
      <c r="AG157" s="9">
        <v>1156.4234798670918</v>
      </c>
      <c r="AH157" s="9">
        <v>43613.638920631398</v>
      </c>
      <c r="AI157" s="9">
        <v>4619.4653214248156</v>
      </c>
      <c r="AJ157" s="9">
        <v>49700.839514764994</v>
      </c>
      <c r="AK157" s="9">
        <v>60898512.208459586</v>
      </c>
      <c r="AL157" s="9">
        <v>59060820.3128298</v>
      </c>
    </row>
    <row r="158" spans="1:38" x14ac:dyDescent="0.25">
      <c r="A158" s="9">
        <v>156</v>
      </c>
      <c r="B158" s="9">
        <v>58</v>
      </c>
      <c r="C158" s="9">
        <v>7.0416666666666663E-4</v>
      </c>
      <c r="D158" s="9">
        <v>4.8579930682493737</v>
      </c>
      <c r="E158" s="9">
        <v>18.047085203078819</v>
      </c>
      <c r="F158" s="9">
        <v>15.790405048129676</v>
      </c>
      <c r="G158" s="9">
        <v>19.503037278630572</v>
      </c>
      <c r="H158" s="9">
        <v>71.169850831069027</v>
      </c>
      <c r="I158" s="9">
        <v>4977.6053670507345</v>
      </c>
      <c r="J158" s="9">
        <v>3294.9666746301009</v>
      </c>
      <c r="K158" s="9">
        <v>1349.1924823694274</v>
      </c>
      <c r="L158" s="9">
        <v>3826.3556431540801</v>
      </c>
      <c r="M158" s="9">
        <v>2.8010048045732661</v>
      </c>
      <c r="N158" s="9">
        <v>497.37075285683812</v>
      </c>
      <c r="O158" s="9">
        <v>31.542045103978921</v>
      </c>
      <c r="P158" s="9">
        <v>2.1233913730210796</v>
      </c>
      <c r="Q158" s="9">
        <v>31.542045103978921</v>
      </c>
      <c r="R158" s="9">
        <v>128.15674300782149</v>
      </c>
      <c r="S158" s="9">
        <v>57.983800215013687</v>
      </c>
      <c r="T158" s="9">
        <v>407.97383124810767</v>
      </c>
      <c r="U158" s="9">
        <v>566.15381802762715</v>
      </c>
      <c r="V158" s="9">
        <v>616.28042206562645</v>
      </c>
      <c r="W158" s="9">
        <v>93593.773709189511</v>
      </c>
      <c r="X158" s="9">
        <v>93944.291945499397</v>
      </c>
      <c r="Y158" s="9">
        <v>350.51823630990611</v>
      </c>
      <c r="Z158" s="9">
        <v>122495.24127539297</v>
      </c>
      <c r="AA158" s="9">
        <v>122979.02896080789</v>
      </c>
      <c r="AB158" s="9">
        <v>483.78768541491991</v>
      </c>
      <c r="AC158" s="9">
        <v>26.459868911731586</v>
      </c>
      <c r="AD158" s="9">
        <v>98.296457406102633</v>
      </c>
      <c r="AE158" s="9">
        <v>86.00507282881297</v>
      </c>
      <c r="AF158" s="9">
        <v>99.25420721716408</v>
      </c>
      <c r="AG158" s="9">
        <v>1153.663281971629</v>
      </c>
      <c r="AH158" s="9">
        <v>43604.689435339693</v>
      </c>
      <c r="AI158" s="9">
        <v>4615.2205781140146</v>
      </c>
      <c r="AJ158" s="9">
        <v>49683.588901789146</v>
      </c>
      <c r="AK158" s="9">
        <v>60948195.797361374</v>
      </c>
      <c r="AL158" s="9">
        <v>59086792.470157027</v>
      </c>
    </row>
    <row r="159" spans="1:38" x14ac:dyDescent="0.25">
      <c r="A159" s="9">
        <v>157</v>
      </c>
      <c r="B159" s="9">
        <v>58</v>
      </c>
      <c r="C159" s="9">
        <v>7.7999999999999999E-4</v>
      </c>
      <c r="D159" s="9">
        <v>4.8040907268892781</v>
      </c>
      <c r="E159" s="9">
        <v>17.950019468598583</v>
      </c>
      <c r="F159" s="9">
        <v>15.74387170904553</v>
      </c>
      <c r="G159" s="9">
        <v>19.455779014307875</v>
      </c>
      <c r="H159" s="9">
        <v>70.994591508583667</v>
      </c>
      <c r="I159" s="9">
        <v>4977.8047318839153</v>
      </c>
      <c r="J159" s="9">
        <v>3292.3966006238893</v>
      </c>
      <c r="K159" s="9">
        <v>1348.1401122331793</v>
      </c>
      <c r="L159" s="9">
        <v>3819.2128003864918</v>
      </c>
      <c r="M159" s="9">
        <v>2.7958477416632772</v>
      </c>
      <c r="N159" s="9">
        <v>500.16660059850142</v>
      </c>
      <c r="O159" s="9">
        <v>31.48544818332822</v>
      </c>
      <c r="P159" s="9">
        <v>2.1196258726717794</v>
      </c>
      <c r="Q159" s="9">
        <v>31.48544818332822</v>
      </c>
      <c r="R159" s="9">
        <v>128.1641983389371</v>
      </c>
      <c r="S159" s="9">
        <v>57.925270922141372</v>
      </c>
      <c r="T159" s="9">
        <v>410.58983444010823</v>
      </c>
      <c r="U159" s="9">
        <v>570.56909352903892</v>
      </c>
      <c r="V159" s="9">
        <v>623.15812335835585</v>
      </c>
      <c r="W159" s="9">
        <v>93593.773709189511</v>
      </c>
      <c r="X159" s="9">
        <v>93944.291945499397</v>
      </c>
      <c r="Y159" s="9">
        <v>350.51823630990611</v>
      </c>
      <c r="Z159" s="9">
        <v>122495.24127539297</v>
      </c>
      <c r="AA159" s="9">
        <v>122979.02896080789</v>
      </c>
      <c r="AB159" s="9">
        <v>483.78768541491991</v>
      </c>
      <c r="AC159" s="9">
        <v>26.166280825790267</v>
      </c>
      <c r="AD159" s="9">
        <v>97.767772705633604</v>
      </c>
      <c r="AE159" s="9">
        <v>85.751621241934643</v>
      </c>
      <c r="AF159" s="9">
        <v>99.013702033648485</v>
      </c>
      <c r="AG159" s="9">
        <v>1150.8223283541413</v>
      </c>
      <c r="AH159" s="9">
        <v>43591.271651927731</v>
      </c>
      <c r="AI159" s="9">
        <v>4610.5619390478423</v>
      </c>
      <c r="AJ159" s="9">
        <v>49661.355296136724</v>
      </c>
      <c r="AK159" s="9">
        <v>60997857.152657509</v>
      </c>
      <c r="AL159" s="9">
        <v>59112645.28477858</v>
      </c>
    </row>
    <row r="160" spans="1:38" x14ac:dyDescent="0.25">
      <c r="A160" s="9">
        <v>158</v>
      </c>
      <c r="B160" s="9">
        <v>58</v>
      </c>
      <c r="C160" s="9">
        <v>7.7999999999999999E-4</v>
      </c>
      <c r="D160" s="9">
        <v>4.7507864642755457</v>
      </c>
      <c r="E160" s="9">
        <v>17.853189296409919</v>
      </c>
      <c r="F160" s="9">
        <v>15.697151858504204</v>
      </c>
      <c r="G160" s="9">
        <v>19.4085476185295</v>
      </c>
      <c r="H160" s="9">
        <v>70.819771631270854</v>
      </c>
      <c r="I160" s="9">
        <v>4978.0036136315211</v>
      </c>
      <c r="J160" s="9">
        <v>3289.8285312754028</v>
      </c>
      <c r="K160" s="9">
        <v>1347.0885629456375</v>
      </c>
      <c r="L160" s="9">
        <v>3812.0832915082647</v>
      </c>
      <c r="M160" s="9">
        <v>2.7904882610376522</v>
      </c>
      <c r="N160" s="9">
        <v>502.95708885953906</v>
      </c>
      <c r="O160" s="9">
        <v>31.428710263330597</v>
      </c>
      <c r="P160" s="9">
        <v>2.1157223116694053</v>
      </c>
      <c r="Q160" s="9">
        <v>31.428710263330597</v>
      </c>
      <c r="R160" s="9">
        <v>128.16762723661779</v>
      </c>
      <c r="S160" s="9">
        <v>57.865964958268485</v>
      </c>
      <c r="T160" s="9">
        <v>413.20236126749512</v>
      </c>
      <c r="U160" s="9">
        <v>574.98084881665511</v>
      </c>
      <c r="V160" s="9">
        <v>630.02701612918577</v>
      </c>
      <c r="W160" s="9">
        <v>93593.773709189511</v>
      </c>
      <c r="X160" s="9">
        <v>93944.291945499397</v>
      </c>
      <c r="Y160" s="9">
        <v>350.51823630990611</v>
      </c>
      <c r="Z160" s="9">
        <v>122495.24127539297</v>
      </c>
      <c r="AA160" s="9">
        <v>122979.02896080789</v>
      </c>
      <c r="AB160" s="9">
        <v>483.78768541491991</v>
      </c>
      <c r="AC160" s="9">
        <v>25.875950275420806</v>
      </c>
      <c r="AD160" s="9">
        <v>97.240371034446014</v>
      </c>
      <c r="AE160" s="9">
        <v>85.497153789319555</v>
      </c>
      <c r="AF160" s="9">
        <v>98.773333588633037</v>
      </c>
      <c r="AG160" s="9">
        <v>1147.9884981429007</v>
      </c>
      <c r="AH160" s="9">
        <v>43576.715978777574</v>
      </c>
      <c r="AI160" s="9">
        <v>4605.8414808533798</v>
      </c>
      <c r="AJ160" s="9">
        <v>49637.932766461672</v>
      </c>
      <c r="AK160" s="9">
        <v>61047495.085423969</v>
      </c>
      <c r="AL160" s="9">
        <v>59138378.683554605</v>
      </c>
    </row>
    <row r="161" spans="1:38" x14ac:dyDescent="0.25">
      <c r="A161" s="9">
        <v>159</v>
      </c>
      <c r="B161" s="9">
        <v>58</v>
      </c>
      <c r="C161" s="9">
        <v>7.7999999999999999E-4</v>
      </c>
      <c r="D161" s="9">
        <v>4.6980736443664428</v>
      </c>
      <c r="E161" s="9">
        <v>17.756598934979198</v>
      </c>
      <c r="F161" s="9">
        <v>15.650249355640346</v>
      </c>
      <c r="G161" s="9">
        <v>19.36134081936077</v>
      </c>
      <c r="H161" s="9">
        <v>70.645389160634124</v>
      </c>
      <c r="I161" s="9">
        <v>4978.2020125682084</v>
      </c>
      <c r="J161" s="9">
        <v>3287.2624650210082</v>
      </c>
      <c r="K161" s="9">
        <v>1346.0378338665398</v>
      </c>
      <c r="L161" s="9">
        <v>3804.967091628384</v>
      </c>
      <c r="M161" s="9">
        <v>2.7851391568137096</v>
      </c>
      <c r="N161" s="9">
        <v>505.74222801635278</v>
      </c>
      <c r="O161" s="9">
        <v>31.371837707182856</v>
      </c>
      <c r="P161" s="9">
        <v>2.1118260408171436</v>
      </c>
      <c r="Q161" s="9">
        <v>31.371837707182856</v>
      </c>
      <c r="R161" s="9">
        <v>128.16710335126822</v>
      </c>
      <c r="S161" s="9">
        <v>57.805899847190283</v>
      </c>
      <c r="T161" s="9">
        <v>415.81139342971591</v>
      </c>
      <c r="U161" s="9">
        <v>579.3890066715436</v>
      </c>
      <c r="V161" s="9">
        <v>636.88710999452985</v>
      </c>
      <c r="W161" s="9">
        <v>93593.773709189511</v>
      </c>
      <c r="X161" s="9">
        <v>93944.291945499397</v>
      </c>
      <c r="Y161" s="9">
        <v>350.51823630990611</v>
      </c>
      <c r="Z161" s="9">
        <v>122495.24127539297</v>
      </c>
      <c r="AA161" s="9">
        <v>122979.02896080789</v>
      </c>
      <c r="AB161" s="9">
        <v>483.78768541491991</v>
      </c>
      <c r="AC161" s="9">
        <v>25.588841116315891</v>
      </c>
      <c r="AD161" s="9">
        <v>96.714275532520034</v>
      </c>
      <c r="AE161" s="9">
        <v>85.241691490387751</v>
      </c>
      <c r="AF161" s="9">
        <v>98.533090319863518</v>
      </c>
      <c r="AG161" s="9">
        <v>1145.1617582938793</v>
      </c>
      <c r="AH161" s="9">
        <v>43561.044263069678</v>
      </c>
      <c r="AI161" s="9">
        <v>4601.0605983371106</v>
      </c>
      <c r="AJ161" s="9">
        <v>49613.344518159756</v>
      </c>
      <c r="AK161" s="9">
        <v>61097108.429942131</v>
      </c>
      <c r="AL161" s="9">
        <v>59163992.610544786</v>
      </c>
    </row>
    <row r="162" spans="1:38" x14ac:dyDescent="0.25">
      <c r="A162" s="9">
        <v>160</v>
      </c>
      <c r="B162" s="9">
        <v>58</v>
      </c>
      <c r="C162" s="9">
        <v>7.7999999999999999E-4</v>
      </c>
      <c r="D162" s="9">
        <v>4.6459457047510897</v>
      </c>
      <c r="E162" s="9">
        <v>17.660252529670657</v>
      </c>
      <c r="F162" s="9">
        <v>15.603168047019741</v>
      </c>
      <c r="G162" s="9">
        <v>19.314156410755714</v>
      </c>
      <c r="H162" s="9">
        <v>70.471442045682977</v>
      </c>
      <c r="I162" s="9">
        <v>4978.3999289454096</v>
      </c>
      <c r="J162" s="9">
        <v>3284.6984002982917</v>
      </c>
      <c r="K162" s="9">
        <v>1344.9879243561238</v>
      </c>
      <c r="L162" s="9">
        <v>3797.8641759022998</v>
      </c>
      <c r="M162" s="9">
        <v>2.7798004055897065</v>
      </c>
      <c r="N162" s="9">
        <v>508.52202842194248</v>
      </c>
      <c r="O162" s="9">
        <v>31.314836720255208</v>
      </c>
      <c r="P162" s="9">
        <v>2.1079370447447925</v>
      </c>
      <c r="Q162" s="9">
        <v>31.314836720255208</v>
      </c>
      <c r="R162" s="9">
        <v>128.16269910407948</v>
      </c>
      <c r="S162" s="9">
        <v>57.745092759807029</v>
      </c>
      <c r="T162" s="9">
        <v>418.41691308161711</v>
      </c>
      <c r="U162" s="9">
        <v>583.79349150047949</v>
      </c>
      <c r="V162" s="9">
        <v>643.73841462353232</v>
      </c>
      <c r="W162" s="9">
        <v>93593.773709189511</v>
      </c>
      <c r="X162" s="9">
        <v>93944.291945499397</v>
      </c>
      <c r="Y162" s="9">
        <v>350.51823630990611</v>
      </c>
      <c r="Z162" s="9">
        <v>122495.24127539297</v>
      </c>
      <c r="AA162" s="9">
        <v>122979.02896080789</v>
      </c>
      <c r="AB162" s="9">
        <v>483.78768541491991</v>
      </c>
      <c r="AC162" s="9">
        <v>25.304917605210935</v>
      </c>
      <c r="AD162" s="9">
        <v>96.189508778272838</v>
      </c>
      <c r="AE162" s="9">
        <v>84.985255296100846</v>
      </c>
      <c r="AF162" s="9">
        <v>98.29296100040429</v>
      </c>
      <c r="AG162" s="9">
        <v>1142.3420755605212</v>
      </c>
      <c r="AH162" s="9">
        <v>43544.277973262426</v>
      </c>
      <c r="AI162" s="9">
        <v>4596.2206582168401</v>
      </c>
      <c r="AJ162" s="9">
        <v>49587.613349719773</v>
      </c>
      <c r="AK162" s="9">
        <v>61146696.043291852</v>
      </c>
      <c r="AL162" s="9">
        <v>59189487.026547633</v>
      </c>
    </row>
    <row r="163" spans="1:38" x14ac:dyDescent="0.25">
      <c r="A163" s="9">
        <v>161</v>
      </c>
      <c r="B163" s="9">
        <v>58</v>
      </c>
      <c r="C163" s="9">
        <v>7.7999999999999999E-4</v>
      </c>
      <c r="D163" s="9">
        <v>4.5943961558324853</v>
      </c>
      <c r="E163" s="9">
        <v>17.564154124346778</v>
      </c>
      <c r="F163" s="9">
        <v>15.555911766021893</v>
      </c>
      <c r="G163" s="9">
        <v>19.266992251698962</v>
      </c>
      <c r="H163" s="9">
        <v>70.297928223672201</v>
      </c>
      <c r="I163" s="9">
        <v>4978.5973629920063</v>
      </c>
      <c r="J163" s="9">
        <v>3282.1363355460589</v>
      </c>
      <c r="K163" s="9">
        <v>1343.9388337751261</v>
      </c>
      <c r="L163" s="9">
        <v>3790.7745195318416</v>
      </c>
      <c r="M163" s="9">
        <v>2.7744719839536418</v>
      </c>
      <c r="N163" s="9">
        <v>511.2965004058961</v>
      </c>
      <c r="O163" s="9">
        <v>31.257713356954103</v>
      </c>
      <c r="P163" s="9">
        <v>2.104055308045897</v>
      </c>
      <c r="Q163" s="9">
        <v>31.257713356954103</v>
      </c>
      <c r="R163" s="9">
        <v>128.15448570725167</v>
      </c>
      <c r="S163" s="9">
        <v>57.683560522290122</v>
      </c>
      <c r="T163" s="9">
        <v>421.01890282533304</v>
      </c>
      <c r="U163" s="9">
        <v>588.19422930521489</v>
      </c>
      <c r="V163" s="9">
        <v>650.58093973675773</v>
      </c>
      <c r="W163" s="9">
        <v>93593.773709189511</v>
      </c>
      <c r="X163" s="9">
        <v>93944.291945499397</v>
      </c>
      <c r="Y163" s="9">
        <v>350.51823630990611</v>
      </c>
      <c r="Z163" s="9">
        <v>122495.24127539297</v>
      </c>
      <c r="AA163" s="9">
        <v>122979.02896080789</v>
      </c>
      <c r="AB163" s="9">
        <v>483.78768541491991</v>
      </c>
      <c r="AC163" s="9">
        <v>25.02414439543427</v>
      </c>
      <c r="AD163" s="9">
        <v>95.666092797275454</v>
      </c>
      <c r="AE163" s="9">
        <v>84.727866085599246</v>
      </c>
      <c r="AF163" s="9">
        <v>98.052934734271304</v>
      </c>
      <c r="AG163" s="9">
        <v>1139.5294165057264</v>
      </c>
      <c r="AH163" s="9">
        <v>43526.438206487626</v>
      </c>
      <c r="AI163" s="9">
        <v>4591.3229997716826</v>
      </c>
      <c r="AJ163" s="9">
        <v>49560.761660777614</v>
      </c>
      <c r="AK163" s="9">
        <v>61196256.804952629</v>
      </c>
      <c r="AL163" s="9">
        <v>59214861.908650681</v>
      </c>
    </row>
    <row r="164" spans="1:38" x14ac:dyDescent="0.25">
      <c r="A164" s="9">
        <v>162</v>
      </c>
      <c r="B164" s="9">
        <v>58</v>
      </c>
      <c r="C164" s="9">
        <v>7.7999999999999999E-4</v>
      </c>
      <c r="D164" s="9">
        <v>4.5434185800195923</v>
      </c>
      <c r="E164" s="9">
        <v>17.468307662947176</v>
      </c>
      <c r="F164" s="9">
        <v>15.50848433224143</v>
      </c>
      <c r="G164" s="9">
        <v>19.219846265350526</v>
      </c>
      <c r="H164" s="9">
        <v>70.124845620828467</v>
      </c>
      <c r="I164" s="9">
        <v>4978.7943149149951</v>
      </c>
      <c r="J164" s="9">
        <v>3279.5762692043331</v>
      </c>
      <c r="K164" s="9">
        <v>1342.8905614847815</v>
      </c>
      <c r="L164" s="9">
        <v>3783.6980977651297</v>
      </c>
      <c r="M164" s="9">
        <v>2.7691538684856445</v>
      </c>
      <c r="N164" s="9">
        <v>514.0656542743817</v>
      </c>
      <c r="O164" s="9">
        <v>31.200473521720102</v>
      </c>
      <c r="P164" s="9">
        <v>2.1001808152798942</v>
      </c>
      <c r="Q164" s="9">
        <v>31.200473521720102</v>
      </c>
      <c r="R164" s="9">
        <v>128.14253318388532</v>
      </c>
      <c r="S164" s="9">
        <v>57.621319624030889</v>
      </c>
      <c r="T164" s="9">
        <v>423.61734570233364</v>
      </c>
      <c r="U164" s="9">
        <v>592.59114765243282</v>
      </c>
      <c r="V164" s="9">
        <v>657.41469510490742</v>
      </c>
      <c r="W164" s="9">
        <v>93593.773709189511</v>
      </c>
      <c r="X164" s="9">
        <v>93944.291945499397</v>
      </c>
      <c r="Y164" s="9">
        <v>350.51823630990611</v>
      </c>
      <c r="Z164" s="9">
        <v>122495.24127539297</v>
      </c>
      <c r="AA164" s="9">
        <v>122979.02896080789</v>
      </c>
      <c r="AB164" s="9">
        <v>483.78768541491991</v>
      </c>
      <c r="AC164" s="9">
        <v>24.746486532506712</v>
      </c>
      <c r="AD164" s="9">
        <v>95.144049070852276</v>
      </c>
      <c r="AE164" s="9">
        <v>84.469544662941644</v>
      </c>
      <c r="AF164" s="9">
        <v>97.813000952079719</v>
      </c>
      <c r="AG164" s="9">
        <v>1136.7237475136294</v>
      </c>
      <c r="AH164" s="9">
        <v>43507.545694254193</v>
      </c>
      <c r="AI164" s="9">
        <v>4586.3689354747385</v>
      </c>
      <c r="AJ164" s="9">
        <v>49532.811458460943</v>
      </c>
      <c r="AK164" s="9">
        <v>61245789.61641109</v>
      </c>
      <c r="AL164" s="9">
        <v>59240117.249790572</v>
      </c>
    </row>
    <row r="165" spans="1:38" x14ac:dyDescent="0.25">
      <c r="A165" s="9">
        <v>163</v>
      </c>
      <c r="B165" s="9">
        <v>58</v>
      </c>
      <c r="C165" s="9">
        <v>7.7999999999999999E-4</v>
      </c>
      <c r="D165" s="9">
        <v>4.4930066309283871</v>
      </c>
      <c r="E165" s="9">
        <v>17.372716991046278</v>
      </c>
      <c r="F165" s="9">
        <v>15.460889550907972</v>
      </c>
      <c r="G165" s="9">
        <v>19.172716438193675</v>
      </c>
      <c r="H165" s="9">
        <v>69.952192153064416</v>
      </c>
      <c r="I165" s="9">
        <v>4978.990784900142</v>
      </c>
      <c r="J165" s="9">
        <v>3277.0181997143536</v>
      </c>
      <c r="K165" s="9">
        <v>1341.8431068468235</v>
      </c>
      <c r="L165" s="9">
        <v>3776.6348858964907</v>
      </c>
      <c r="M165" s="9">
        <v>2.7638460357603192</v>
      </c>
      <c r="N165" s="9">
        <v>516.82950031014207</v>
      </c>
      <c r="O165" s="9">
        <v>31.143122976025776</v>
      </c>
      <c r="P165" s="9">
        <v>2.0963135509742274</v>
      </c>
      <c r="Q165" s="9">
        <v>31.143122976025776</v>
      </c>
      <c r="R165" s="9">
        <v>128.12691038754718</v>
      </c>
      <c r="S165" s="9">
        <v>57.558386225345785</v>
      </c>
      <c r="T165" s="9">
        <v>426.21222518559568</v>
      </c>
      <c r="U165" s="9">
        <v>596.98417564427348</v>
      </c>
      <c r="V165" s="9">
        <v>664.23969054755878</v>
      </c>
      <c r="W165" s="9">
        <v>93593.773709189511</v>
      </c>
      <c r="X165" s="9">
        <v>93944.291945499397</v>
      </c>
      <c r="Y165" s="9">
        <v>350.51823630990611</v>
      </c>
      <c r="Z165" s="9">
        <v>122495.24127539297</v>
      </c>
      <c r="AA165" s="9">
        <v>122979.02896080789</v>
      </c>
      <c r="AB165" s="9">
        <v>483.78768541491991</v>
      </c>
      <c r="AC165" s="9">
        <v>24.471909449789948</v>
      </c>
      <c r="AD165" s="9">
        <v>94.62339854456539</v>
      </c>
      <c r="AE165" s="9">
        <v>84.210311753945419</v>
      </c>
      <c r="AF165" s="9">
        <v>97.573149406707302</v>
      </c>
      <c r="AG165" s="9">
        <v>1133.9250348011742</v>
      </c>
      <c r="AH165" s="9">
        <v>43487.620809701177</v>
      </c>
      <c r="AI165" s="9">
        <v>4581.3597516063974</v>
      </c>
      <c r="AJ165" s="9">
        <v>49503.784365263753</v>
      </c>
      <c r="AK165" s="9">
        <v>61295293.400776356</v>
      </c>
      <c r="AL165" s="9">
        <v>59265253.058323614</v>
      </c>
    </row>
    <row r="166" spans="1:38" x14ac:dyDescent="0.25">
      <c r="A166" s="9">
        <v>164</v>
      </c>
      <c r="B166" s="9">
        <v>58</v>
      </c>
      <c r="C166" s="9">
        <v>7.7999999999999999E-4</v>
      </c>
      <c r="D166" s="9">
        <v>4.4431540325917771</v>
      </c>
      <c r="E166" s="9">
        <v>17.277385857390072</v>
      </c>
      <c r="F166" s="9">
        <v>15.413131212324073</v>
      </c>
      <c r="G166" s="9">
        <v>19.125600819186005</v>
      </c>
      <c r="H166" s="9">
        <v>69.77996572668026</v>
      </c>
      <c r="I166" s="9">
        <v>4979.1867731126295</v>
      </c>
      <c r="J166" s="9">
        <v>3274.4621255185766</v>
      </c>
      <c r="K166" s="9">
        <v>1340.796469223483</v>
      </c>
      <c r="L166" s="9">
        <v>3769.5848592663701</v>
      </c>
      <c r="M166" s="9">
        <v>2.7585484623490535</v>
      </c>
      <c r="N166" s="9">
        <v>519.58804877249111</v>
      </c>
      <c r="O166" s="9">
        <v>31.085667338373572</v>
      </c>
      <c r="P166" s="9">
        <v>2.0924534996264263</v>
      </c>
      <c r="Q166" s="9">
        <v>31.085667338373572</v>
      </c>
      <c r="R166" s="9">
        <v>128.10768502151558</v>
      </c>
      <c r="S166" s="9">
        <v>57.494776164982412</v>
      </c>
      <c r="T166" s="9">
        <v>428.80352517192995</v>
      </c>
      <c r="U166" s="9">
        <v>601.3732438895189</v>
      </c>
      <c r="V166" s="9">
        <v>671.05593593193123</v>
      </c>
      <c r="W166" s="9">
        <v>93593.773709189511</v>
      </c>
      <c r="X166" s="9">
        <v>93944.291945499397</v>
      </c>
      <c r="Y166" s="9">
        <v>350.51823630990611</v>
      </c>
      <c r="Z166" s="9">
        <v>122495.24127539297</v>
      </c>
      <c r="AA166" s="9">
        <v>122979.02896080789</v>
      </c>
      <c r="AB166" s="9">
        <v>483.78768541491991</v>
      </c>
      <c r="AC166" s="9">
        <v>24.200378964183212</v>
      </c>
      <c r="AD166" s="9">
        <v>94.104161636584593</v>
      </c>
      <c r="AE166" s="9">
        <v>83.950188003125106</v>
      </c>
      <c r="AF166" s="9">
        <v>97.333370168974099</v>
      </c>
      <c r="AG166" s="9">
        <v>1131.1332444294871</v>
      </c>
      <c r="AH166" s="9">
        <v>43466.683572852002</v>
      </c>
      <c r="AI166" s="9">
        <v>4576.2967088517753</v>
      </c>
      <c r="AJ166" s="9">
        <v>49473.701624906134</v>
      </c>
      <c r="AK166" s="9">
        <v>61344767.102401264</v>
      </c>
      <c r="AL166" s="9">
        <v>59290269.357605673</v>
      </c>
    </row>
    <row r="167" spans="1:38" x14ac:dyDescent="0.25">
      <c r="A167" s="9">
        <v>165</v>
      </c>
      <c r="B167" s="9">
        <v>58</v>
      </c>
      <c r="C167" s="9">
        <v>7.7999999999999999E-4</v>
      </c>
      <c r="D167" s="9">
        <v>4.3938545786782806</v>
      </c>
      <c r="E167" s="9">
        <v>17.182317915412153</v>
      </c>
      <c r="F167" s="9">
        <v>15.365213091320905</v>
      </c>
      <c r="G167" s="9">
        <v>19.078497518913927</v>
      </c>
      <c r="H167" s="9">
        <v>69.608164239053011</v>
      </c>
      <c r="I167" s="9">
        <v>4979.3822796976974</v>
      </c>
      <c r="J167" s="9">
        <v>3271.9080450606721</v>
      </c>
      <c r="K167" s="9">
        <v>1339.7506479774886</v>
      </c>
      <c r="L167" s="9">
        <v>3762.547993261247</v>
      </c>
      <c r="M167" s="9">
        <v>2.7532611248222807</v>
      </c>
      <c r="N167" s="9">
        <v>522.34130989731341</v>
      </c>
      <c r="O167" s="9">
        <v>31.028112088293842</v>
      </c>
      <c r="P167" s="9">
        <v>2.0886006457061543</v>
      </c>
      <c r="Q167" s="9">
        <v>31.028112088293842</v>
      </c>
      <c r="R167" s="9">
        <v>128.08492365771053</v>
      </c>
      <c r="S167" s="9">
        <v>57.4305049673927</v>
      </c>
      <c r="T167" s="9">
        <v>431.39122997442178</v>
      </c>
      <c r="U167" s="9">
        <v>605.75828447530773</v>
      </c>
      <c r="V167" s="9">
        <v>677.86344117167278</v>
      </c>
      <c r="W167" s="9">
        <v>93593.773709189511</v>
      </c>
      <c r="X167" s="9">
        <v>93944.291945499397</v>
      </c>
      <c r="Y167" s="9">
        <v>350.51823630990611</v>
      </c>
      <c r="Z167" s="9">
        <v>122495.24127539297</v>
      </c>
      <c r="AA167" s="9">
        <v>122979.02896080789</v>
      </c>
      <c r="AB167" s="9">
        <v>483.78768541491991</v>
      </c>
      <c r="AC167" s="9">
        <v>23.9318612718677</v>
      </c>
      <c r="AD167" s="9">
        <v>93.586358245944851</v>
      </c>
      <c r="AE167" s="9">
        <v>83.689193970727857</v>
      </c>
      <c r="AF167" s="9">
        <v>97.093653623339463</v>
      </c>
      <c r="AG167" s="9">
        <v>1128.3483423150494</v>
      </c>
      <c r="AH167" s="9">
        <v>43444.753656874855</v>
      </c>
      <c r="AI167" s="9">
        <v>4571.1810428796216</v>
      </c>
      <c r="AJ167" s="9">
        <v>49442.584109181407</v>
      </c>
      <c r="AK167" s="9">
        <v>61394209.686510444</v>
      </c>
      <c r="AL167" s="9">
        <v>59315166.185581692</v>
      </c>
    </row>
    <row r="168" spans="1:38" x14ac:dyDescent="0.25">
      <c r="A168" s="9">
        <v>166</v>
      </c>
      <c r="B168" s="9">
        <v>58</v>
      </c>
      <c r="C168" s="9">
        <v>7.7999999999999999E-4</v>
      </c>
      <c r="D168" s="9">
        <v>4.3451021317193801</v>
      </c>
      <c r="E168" s="9">
        <v>17.087516724729355</v>
      </c>
      <c r="F168" s="9">
        <v>15.317138946731308</v>
      </c>
      <c r="G168" s="9">
        <v>19.03140470875066</v>
      </c>
      <c r="H168" s="9">
        <v>69.436785579313408</v>
      </c>
      <c r="I168" s="9">
        <v>4979.5773047812709</v>
      </c>
      <c r="J168" s="9">
        <v>3269.3559567855245</v>
      </c>
      <c r="K168" s="9">
        <v>1338.7056424720661</v>
      </c>
      <c r="L168" s="9">
        <v>3755.5242633135476</v>
      </c>
      <c r="M168" s="9">
        <v>2.7479839997517046</v>
      </c>
      <c r="N168" s="9">
        <v>525.08929389706509</v>
      </c>
      <c r="O168" s="9">
        <v>30.970462570342775</v>
      </c>
      <c r="P168" s="9">
        <v>2.0847549736572275</v>
      </c>
      <c r="Q168" s="9">
        <v>30.970462570342775</v>
      </c>
      <c r="R168" s="9">
        <v>128.05869175531413</v>
      </c>
      <c r="S168" s="9">
        <v>57.365587849805564</v>
      </c>
      <c r="T168" s="9">
        <v>433.97532431500696</v>
      </c>
      <c r="U168" s="9">
        <v>610.13923093943231</v>
      </c>
      <c r="V168" s="9">
        <v>684.66221622567059</v>
      </c>
      <c r="W168" s="9">
        <v>93593.773709189511</v>
      </c>
      <c r="X168" s="9">
        <v>93944.291945499397</v>
      </c>
      <c r="Y168" s="9">
        <v>350.51823630990611</v>
      </c>
      <c r="Z168" s="9">
        <v>122495.24127539297</v>
      </c>
      <c r="AA168" s="9">
        <v>122979.02896080789</v>
      </c>
      <c r="AB168" s="9">
        <v>483.78768541491991</v>
      </c>
      <c r="AC168" s="9">
        <v>23.666322944098223</v>
      </c>
      <c r="AD168" s="9">
        <v>93.070007760692548</v>
      </c>
      <c r="AE168" s="9">
        <v>83.427350129863186</v>
      </c>
      <c r="AF168" s="9">
        <v>96.853990463616896</v>
      </c>
      <c r="AG168" s="9">
        <v>1125.5702942406704</v>
      </c>
      <c r="AH168" s="9">
        <v>43421.85039425845</v>
      </c>
      <c r="AI168" s="9">
        <v>4566.0139649052735</v>
      </c>
      <c r="AJ168" s="9">
        <v>49410.452324702666</v>
      </c>
      <c r="AK168" s="9">
        <v>61443620.138835147</v>
      </c>
      <c r="AL168" s="9">
        <v>59339943.594384708</v>
      </c>
    </row>
    <row r="169" spans="1:38" x14ac:dyDescent="0.25">
      <c r="A169" s="9">
        <v>167</v>
      </c>
      <c r="B169" s="9">
        <v>58</v>
      </c>
      <c r="C169" s="9">
        <v>7.7999999999999999E-4</v>
      </c>
      <c r="D169" s="9">
        <v>4.2968906223454448</v>
      </c>
      <c r="E169" s="9">
        <v>16.992985752617216</v>
      </c>
      <c r="F169" s="9">
        <v>15.268912520879866</v>
      </c>
      <c r="G169" s="9">
        <v>18.984320620017922</v>
      </c>
      <c r="H169" s="9">
        <v>69.26582762901073</v>
      </c>
      <c r="I169" s="9">
        <v>4979.771848470582</v>
      </c>
      <c r="J169" s="9">
        <v>3266.8058591392319</v>
      </c>
      <c r="K169" s="9">
        <v>1337.6614520709379</v>
      </c>
      <c r="L169" s="9">
        <v>3748.513644901559</v>
      </c>
      <c r="M169" s="9">
        <v>2.7427170637124809</v>
      </c>
      <c r="N169" s="9">
        <v>527.83201096077755</v>
      </c>
      <c r="O169" s="9">
        <v>30.912723998100404</v>
      </c>
      <c r="P169" s="9">
        <v>2.0809164678995975</v>
      </c>
      <c r="Q169" s="9">
        <v>30.912723998100404</v>
      </c>
      <c r="R169" s="9">
        <v>128.02905367908576</v>
      </c>
      <c r="S169" s="9">
        <v>57.300039729106416</v>
      </c>
      <c r="T169" s="9">
        <v>436.55579331718013</v>
      </c>
      <c r="U169" s="9">
        <v>614.51601824320687</v>
      </c>
      <c r="V169" s="9">
        <v>691.45227109688415</v>
      </c>
      <c r="W169" s="9">
        <v>93593.773709189511</v>
      </c>
      <c r="X169" s="9">
        <v>93944.291945499397</v>
      </c>
      <c r="Y169" s="9">
        <v>350.51823630990611</v>
      </c>
      <c r="Z169" s="9">
        <v>122495.24127539297</v>
      </c>
      <c r="AA169" s="9">
        <v>122979.02896080789</v>
      </c>
      <c r="AB169" s="9">
        <v>483.78768541491991</v>
      </c>
      <c r="AC169" s="9">
        <v>23.403730923041522</v>
      </c>
      <c r="AD169" s="9">
        <v>92.555129065921761</v>
      </c>
      <c r="AE169" s="9">
        <v>83.16467686372566</v>
      </c>
      <c r="AF169" s="9">
        <v>96.614371688707863</v>
      </c>
      <c r="AG169" s="9">
        <v>1122.7990658662641</v>
      </c>
      <c r="AH169" s="9">
        <v>43397.992782904505</v>
      </c>
      <c r="AI169" s="9">
        <v>4560.7966622382255</v>
      </c>
      <c r="AJ169" s="9">
        <v>49377.326419550394</v>
      </c>
      <c r="AK169" s="9">
        <v>61492997.465254694</v>
      </c>
      <c r="AL169" s="9">
        <v>59364601.649944082</v>
      </c>
    </row>
    <row r="170" spans="1:38" x14ac:dyDescent="0.25">
      <c r="A170" s="9">
        <v>168</v>
      </c>
      <c r="B170" s="9">
        <v>59</v>
      </c>
      <c r="C170" s="9">
        <v>7.7999999999999999E-4</v>
      </c>
      <c r="D170" s="9">
        <v>4.2492140485301348</v>
      </c>
      <c r="E170" s="9">
        <v>16.898728375465527</v>
      </c>
      <c r="F170" s="9">
        <v>15.220537539089666</v>
      </c>
      <c r="G170" s="9">
        <v>18.937243543151439</v>
      </c>
      <c r="H170" s="9">
        <v>69.095288262765507</v>
      </c>
      <c r="I170" s="9">
        <v>4979.965910854783</v>
      </c>
      <c r="J170" s="9">
        <v>3264.2577505691033</v>
      </c>
      <c r="K170" s="9">
        <v>1336.6180761383225</v>
      </c>
      <c r="L170" s="9">
        <v>3741.5161135493449</v>
      </c>
      <c r="M170" s="9">
        <v>2.7374602932853613</v>
      </c>
      <c r="N170" s="9">
        <v>530.56947125406293</v>
      </c>
      <c r="O170" s="9">
        <v>30.857450369540857</v>
      </c>
      <c r="P170" s="9">
        <v>2.0745361984591439</v>
      </c>
      <c r="Q170" s="9">
        <v>30.857450369540857</v>
      </c>
      <c r="R170" s="9">
        <v>127.99352380300542</v>
      </c>
      <c r="S170" s="9">
        <v>57.233875228530685</v>
      </c>
      <c r="T170" s="9">
        <v>439.13262249883496</v>
      </c>
      <c r="U170" s="9">
        <v>618.88858274489348</v>
      </c>
      <c r="V170" s="9">
        <v>698.23361583120129</v>
      </c>
      <c r="W170" s="9">
        <v>98174.752629433191</v>
      </c>
      <c r="X170" s="9">
        <v>98549.007428640136</v>
      </c>
      <c r="Y170" s="9">
        <v>374.25479920695938</v>
      </c>
      <c r="Z170" s="9">
        <v>131133.36024735129</v>
      </c>
      <c r="AA170" s="9">
        <v>131661.90676223475</v>
      </c>
      <c r="AB170" s="9">
        <v>528.54651488344996</v>
      </c>
      <c r="AC170" s="9">
        <v>23.1440525176608</v>
      </c>
      <c r="AD170" s="9">
        <v>92.041740551702233</v>
      </c>
      <c r="AE170" s="9">
        <v>82.901194462908379</v>
      </c>
      <c r="AF170" s="9">
        <v>96.374788598354854</v>
      </c>
      <c r="AG170" s="9">
        <v>1120.0346227394289</v>
      </c>
      <c r="AH170" s="9">
        <v>43373.199491319276</v>
      </c>
      <c r="AI170" s="9">
        <v>4555.5302988148997</v>
      </c>
      <c r="AJ170" s="9">
        <v>49343.226189004228</v>
      </c>
      <c r="AK170" s="9">
        <v>61542340.691443697</v>
      </c>
      <c r="AL170" s="9">
        <v>59389140.431602404</v>
      </c>
    </row>
    <row r="171" spans="1:38" x14ac:dyDescent="0.25">
      <c r="A171" s="9">
        <v>169</v>
      </c>
      <c r="B171" s="9">
        <v>59</v>
      </c>
      <c r="C171" s="9">
        <v>8.6249999999999999E-4</v>
      </c>
      <c r="D171" s="9">
        <v>4.20171591468418</v>
      </c>
      <c r="E171" s="9">
        <v>16.803353735123238</v>
      </c>
      <c r="F171" s="9">
        <v>15.170762014858431</v>
      </c>
      <c r="G171" s="9">
        <v>18.888609504278097</v>
      </c>
      <c r="H171" s="9">
        <v>68.919464987628587</v>
      </c>
      <c r="I171" s="9">
        <v>4980.1594920055513</v>
      </c>
      <c r="J171" s="9">
        <v>3261.4423282592375</v>
      </c>
      <c r="K171" s="9">
        <v>1335.4652430476533</v>
      </c>
      <c r="L171" s="9">
        <v>3734.2229697472917</v>
      </c>
      <c r="M171" s="9">
        <v>2.7322136650587958</v>
      </c>
      <c r="N171" s="9">
        <v>533.30168491912173</v>
      </c>
      <c r="O171" s="9">
        <v>30.799488076614509</v>
      </c>
      <c r="P171" s="9">
        <v>2.0707166713854894</v>
      </c>
      <c r="Q171" s="9">
        <v>30.799488076614509</v>
      </c>
      <c r="R171" s="9">
        <v>127.94420050736497</v>
      </c>
      <c r="S171" s="9">
        <v>57.16238688945419</v>
      </c>
      <c r="T171" s="9">
        <v>441.70579776521618</v>
      </c>
      <c r="U171" s="9">
        <v>623.25687938371163</v>
      </c>
      <c r="V171" s="9">
        <v>705.72259793493197</v>
      </c>
      <c r="W171" s="9">
        <v>98174.752629433191</v>
      </c>
      <c r="X171" s="9">
        <v>98549.007428640136</v>
      </c>
      <c r="Y171" s="9">
        <v>374.25479920695938</v>
      </c>
      <c r="Z171" s="9">
        <v>131133.36024735129</v>
      </c>
      <c r="AA171" s="9">
        <v>131661.90676223475</v>
      </c>
      <c r="AB171" s="9">
        <v>528.54651488344996</v>
      </c>
      <c r="AC171" s="9">
        <v>22.885346015313164</v>
      </c>
      <c r="AD171" s="9">
        <v>91.522266677304572</v>
      </c>
      <c r="AE171" s="9">
        <v>82.630083774262246</v>
      </c>
      <c r="AF171" s="9">
        <v>96.127281868855277</v>
      </c>
      <c r="AG171" s="9">
        <v>1117.1845274494594</v>
      </c>
      <c r="AH171" s="9">
        <v>43343.905876598372</v>
      </c>
      <c r="AI171" s="9">
        <v>4549.8401844661066</v>
      </c>
      <c r="AJ171" s="9">
        <v>49304.095566849675</v>
      </c>
      <c r="AK171" s="9">
        <v>61591644.787010543</v>
      </c>
      <c r="AL171" s="9">
        <v>59413558.013364851</v>
      </c>
    </row>
    <row r="172" spans="1:38" x14ac:dyDescent="0.25">
      <c r="A172" s="9">
        <v>170</v>
      </c>
      <c r="B172" s="9">
        <v>59</v>
      </c>
      <c r="C172" s="9">
        <v>8.6249999999999999E-4</v>
      </c>
      <c r="D172" s="9">
        <v>4.1547487196643429</v>
      </c>
      <c r="E172" s="9">
        <v>16.708274797386547</v>
      </c>
      <c r="F172" s="9">
        <v>15.120853441805284</v>
      </c>
      <c r="G172" s="9">
        <v>18.839987127891209</v>
      </c>
      <c r="H172" s="9">
        <v>68.744084568115639</v>
      </c>
      <c r="I172" s="9">
        <v>4980.3525760072398</v>
      </c>
      <c r="J172" s="9">
        <v>3258.629334251114</v>
      </c>
      <c r="K172" s="9">
        <v>1334.3134042755246</v>
      </c>
      <c r="L172" s="9">
        <v>3726.9440420931587</v>
      </c>
      <c r="M172" s="9">
        <v>2.7267517480036294</v>
      </c>
      <c r="N172" s="9">
        <v>536.02843666712533</v>
      </c>
      <c r="O172" s="9">
        <v>30.741384736345072</v>
      </c>
      <c r="P172" s="9">
        <v>2.0667472256549266</v>
      </c>
      <c r="Q172" s="9">
        <v>30.741384736345072</v>
      </c>
      <c r="R172" s="9">
        <v>127.89172473981385</v>
      </c>
      <c r="S172" s="9">
        <v>57.090321867165123</v>
      </c>
      <c r="T172" s="9">
        <v>444.2750930143398</v>
      </c>
      <c r="U172" s="9">
        <v>627.62048624861609</v>
      </c>
      <c r="V172" s="9">
        <v>713.20135313574713</v>
      </c>
      <c r="W172" s="9">
        <v>98174.752629433191</v>
      </c>
      <c r="X172" s="9">
        <v>98549.007428640136</v>
      </c>
      <c r="Y172" s="9">
        <v>374.25479920695938</v>
      </c>
      <c r="Z172" s="9">
        <v>131133.36024735129</v>
      </c>
      <c r="AA172" s="9">
        <v>131661.90676223475</v>
      </c>
      <c r="AB172" s="9">
        <v>528.54651488344996</v>
      </c>
      <c r="AC172" s="9">
        <v>22.629531359771786</v>
      </c>
      <c r="AD172" s="9">
        <v>91.004403396432053</v>
      </c>
      <c r="AE172" s="9">
        <v>82.358248413032783</v>
      </c>
      <c r="AF172" s="9">
        <v>95.879834491693003</v>
      </c>
      <c r="AG172" s="9">
        <v>1114.3416108491547</v>
      </c>
      <c r="AH172" s="9">
        <v>43313.712988402025</v>
      </c>
      <c r="AI172" s="9">
        <v>4544.1041690170077</v>
      </c>
      <c r="AJ172" s="9">
        <v>49264.030785929121</v>
      </c>
      <c r="AK172" s="9">
        <v>61640908.817796469</v>
      </c>
      <c r="AL172" s="9">
        <v>59437854.517829955</v>
      </c>
    </row>
    <row r="173" spans="1:38" x14ac:dyDescent="0.25">
      <c r="A173" s="9">
        <v>171</v>
      </c>
      <c r="B173" s="9">
        <v>59</v>
      </c>
      <c r="C173" s="9">
        <v>8.6249999999999999E-4</v>
      </c>
      <c r="D173" s="9">
        <v>4.1083065285840448</v>
      </c>
      <c r="E173" s="9">
        <v>16.613494603277424</v>
      </c>
      <c r="F173" s="9">
        <v>15.070815525388593</v>
      </c>
      <c r="G173" s="9">
        <v>18.791374874897695</v>
      </c>
      <c r="H173" s="9">
        <v>68.569144755802611</v>
      </c>
      <c r="I173" s="9">
        <v>4980.545162979065</v>
      </c>
      <c r="J173" s="9">
        <v>3255.8187664503225</v>
      </c>
      <c r="K173" s="9">
        <v>1333.162558964337</v>
      </c>
      <c r="L173" s="9">
        <v>3719.6793028761449</v>
      </c>
      <c r="M173" s="9">
        <v>2.7213008089774111</v>
      </c>
      <c r="N173" s="9">
        <v>538.74973747610272</v>
      </c>
      <c r="O173" s="9">
        <v>30.683146930897493</v>
      </c>
      <c r="P173" s="9">
        <v>2.0627854651025057</v>
      </c>
      <c r="Q173" s="9">
        <v>30.683146930897493</v>
      </c>
      <c r="R173" s="9">
        <v>127.83615640197247</v>
      </c>
      <c r="S173" s="9">
        <v>57.017693994529502</v>
      </c>
      <c r="T173" s="9">
        <v>446.84049543168692</v>
      </c>
      <c r="U173" s="9">
        <v>631.97934379677088</v>
      </c>
      <c r="V173" s="9">
        <v>720.66989429928003</v>
      </c>
      <c r="W173" s="9">
        <v>98174.752629433191</v>
      </c>
      <c r="X173" s="9">
        <v>98549.007428640136</v>
      </c>
      <c r="Y173" s="9">
        <v>374.25479920695938</v>
      </c>
      <c r="Z173" s="9">
        <v>131133.36024735129</v>
      </c>
      <c r="AA173" s="9">
        <v>131661.90676223475</v>
      </c>
      <c r="AB173" s="9">
        <v>528.54651488344996</v>
      </c>
      <c r="AC173" s="9">
        <v>22.376576225687764</v>
      </c>
      <c r="AD173" s="9">
        <v>90.4881672725177</v>
      </c>
      <c r="AE173" s="9">
        <v>82.085708561616528</v>
      </c>
      <c r="AF173" s="9">
        <v>95.632438634166846</v>
      </c>
      <c r="AG173" s="9">
        <v>1111.5058364915603</v>
      </c>
      <c r="AH173" s="9">
        <v>43282.638979684598</v>
      </c>
      <c r="AI173" s="9">
        <v>4538.3233534945757</v>
      </c>
      <c r="AJ173" s="9">
        <v>49223.05106036472</v>
      </c>
      <c r="AK173" s="9">
        <v>61690131.868856832</v>
      </c>
      <c r="AL173" s="9">
        <v>59462030.080014139</v>
      </c>
    </row>
    <row r="174" spans="1:38" x14ac:dyDescent="0.25">
      <c r="A174" s="9">
        <v>172</v>
      </c>
      <c r="B174" s="9">
        <v>59</v>
      </c>
      <c r="C174" s="9">
        <v>8.6249999999999999E-4</v>
      </c>
      <c r="D174" s="9">
        <v>4.0623834728974542</v>
      </c>
      <c r="E174" s="9">
        <v>16.519016107544694</v>
      </c>
      <c r="F174" s="9">
        <v>15.020651951035189</v>
      </c>
      <c r="G174" s="9">
        <v>18.742771262528859</v>
      </c>
      <c r="H174" s="9">
        <v>68.394643298553206</v>
      </c>
      <c r="I174" s="9">
        <v>4980.7372530245102</v>
      </c>
      <c r="J174" s="9">
        <v>3253.0106227642591</v>
      </c>
      <c r="K174" s="9">
        <v>1332.0127062572303</v>
      </c>
      <c r="L174" s="9">
        <v>3712.4287244394632</v>
      </c>
      <c r="M174" s="9">
        <v>2.715860821996841</v>
      </c>
      <c r="N174" s="9">
        <v>541.46559829809951</v>
      </c>
      <c r="O174" s="9">
        <v>30.624781079604038</v>
      </c>
      <c r="P174" s="9">
        <v>2.0588313723959604</v>
      </c>
      <c r="Q174" s="9">
        <v>30.624781079604038</v>
      </c>
      <c r="R174" s="9">
        <v>127.77755438593947</v>
      </c>
      <c r="S174" s="9">
        <v>56.944516840031298</v>
      </c>
      <c r="T174" s="9">
        <v>449.4019925775458</v>
      </c>
      <c r="U174" s="9">
        <v>636.33339381189273</v>
      </c>
      <c r="V174" s="9">
        <v>728.1282343314241</v>
      </c>
      <c r="W174" s="9">
        <v>98174.752629433191</v>
      </c>
      <c r="X174" s="9">
        <v>98549.007428640136</v>
      </c>
      <c r="Y174" s="9">
        <v>374.25479920695938</v>
      </c>
      <c r="Z174" s="9">
        <v>131133.36024735129</v>
      </c>
      <c r="AA174" s="9">
        <v>131661.90676223475</v>
      </c>
      <c r="AB174" s="9">
        <v>528.54651488344996</v>
      </c>
      <c r="AC174" s="9">
        <v>22.126448649048132</v>
      </c>
      <c r="AD174" s="9">
        <v>89.973574399093422</v>
      </c>
      <c r="AE174" s="9">
        <v>81.812484293304991</v>
      </c>
      <c r="AF174" s="9">
        <v>95.385086750219784</v>
      </c>
      <c r="AG174" s="9">
        <v>1108.6771678695475</v>
      </c>
      <c r="AH174" s="9">
        <v>43250.701683296887</v>
      </c>
      <c r="AI174" s="9">
        <v>4532.4988178822914</v>
      </c>
      <c r="AJ174" s="9">
        <v>49181.175263140394</v>
      </c>
      <c r="AK174" s="9">
        <v>61739313.044119976</v>
      </c>
      <c r="AL174" s="9">
        <v>59486084.846993461</v>
      </c>
    </row>
    <row r="175" spans="1:38" x14ac:dyDescent="0.25">
      <c r="A175" s="9">
        <v>173</v>
      </c>
      <c r="B175" s="9">
        <v>59</v>
      </c>
      <c r="C175" s="9">
        <v>8.6249999999999999E-4</v>
      </c>
      <c r="D175" s="9">
        <v>4.0169737496579243</v>
      </c>
      <c r="E175" s="9">
        <v>16.424842180059084</v>
      </c>
      <c r="F175" s="9">
        <v>14.970366383733625</v>
      </c>
      <c r="G175" s="9">
        <v>18.694174863503793</v>
      </c>
      <c r="H175" s="9">
        <v>68.220577941114513</v>
      </c>
      <c r="I175" s="9">
        <v>4980.9288462319018</v>
      </c>
      <c r="J175" s="9">
        <v>3250.2049011021249</v>
      </c>
      <c r="K175" s="9">
        <v>1330.8638452980836</v>
      </c>
      <c r="L175" s="9">
        <v>3705.1922791802376</v>
      </c>
      <c r="M175" s="9">
        <v>2.7104317611024737</v>
      </c>
      <c r="N175" s="9">
        <v>544.17603005920193</v>
      </c>
      <c r="O175" s="9">
        <v>30.566293442804575</v>
      </c>
      <c r="P175" s="9">
        <v>2.0548849301954251</v>
      </c>
      <c r="Q175" s="9">
        <v>30.566293442804575</v>
      </c>
      <c r="R175" s="9">
        <v>127.7159765910055</v>
      </c>
      <c r="S175" s="9">
        <v>56.870803713147367</v>
      </c>
      <c r="T175" s="9">
        <v>451.95957238017036</v>
      </c>
      <c r="U175" s="9">
        <v>640.68257937961528</v>
      </c>
      <c r="V175" s="9">
        <v>735.57638617715259</v>
      </c>
      <c r="W175" s="9">
        <v>98174.752629433191</v>
      </c>
      <c r="X175" s="9">
        <v>98549.007428640136</v>
      </c>
      <c r="Y175" s="9">
        <v>374.25479920695938</v>
      </c>
      <c r="Z175" s="9">
        <v>131133.36024735129</v>
      </c>
      <c r="AA175" s="9">
        <v>131661.90676223475</v>
      </c>
      <c r="AB175" s="9">
        <v>528.54651488344996</v>
      </c>
      <c r="AC175" s="9">
        <v>21.879117023136825</v>
      </c>
      <c r="AD175" s="9">
        <v>89.460640407388468</v>
      </c>
      <c r="AE175" s="9">
        <v>81.538595570069134</v>
      </c>
      <c r="AF175" s="9">
        <v>95.137771576181379</v>
      </c>
      <c r="AG175" s="9">
        <v>1105.8555684254663</v>
      </c>
      <c r="AH175" s="9">
        <v>43217.918617598283</v>
      </c>
      <c r="AI175" s="9">
        <v>4526.6316215479646</v>
      </c>
      <c r="AJ175" s="9">
        <v>49138.421932148492</v>
      </c>
      <c r="AK175" s="9">
        <v>61788451.466052122</v>
      </c>
      <c r="AL175" s="9">
        <v>59510018.977553651</v>
      </c>
    </row>
    <row r="176" spans="1:38" x14ac:dyDescent="0.25">
      <c r="A176" s="9">
        <v>174</v>
      </c>
      <c r="B176" s="9">
        <v>59</v>
      </c>
      <c r="C176" s="9">
        <v>8.6249999999999999E-4</v>
      </c>
      <c r="D176" s="9">
        <v>3.972071620784718</v>
      </c>
      <c r="E176" s="9">
        <v>16.330975607189117</v>
      </c>
      <c r="F176" s="9">
        <v>14.919962467642367</v>
      </c>
      <c r="G176" s="9">
        <v>18.645584305197733</v>
      </c>
      <c r="H176" s="9">
        <v>68.046946425700895</v>
      </c>
      <c r="I176" s="9">
        <v>4981.1199426749772</v>
      </c>
      <c r="J176" s="9">
        <v>3247.4015993749244</v>
      </c>
      <c r="K176" s="9">
        <v>1329.715975231514</v>
      </c>
      <c r="L176" s="9">
        <v>3697.9699395493963</v>
      </c>
      <c r="M176" s="9">
        <v>2.7050136003606235</v>
      </c>
      <c r="N176" s="9">
        <v>546.88104365956258</v>
      </c>
      <c r="O176" s="9">
        <v>30.507690127844796</v>
      </c>
      <c r="P176" s="9">
        <v>2.0509461211552078</v>
      </c>
      <c r="Q176" s="9">
        <v>30.507690127844796</v>
      </c>
      <c r="R176" s="9">
        <v>127.65147994009193</v>
      </c>
      <c r="S176" s="9">
        <v>56.796567669594893</v>
      </c>
      <c r="T176" s="9">
        <v>454.51322312905916</v>
      </c>
      <c r="U176" s="9">
        <v>645.02684486332612</v>
      </c>
      <c r="V176" s="9">
        <v>743.01436281936185</v>
      </c>
      <c r="W176" s="9">
        <v>98174.752629433191</v>
      </c>
      <c r="X176" s="9">
        <v>98549.007428640136</v>
      </c>
      <c r="Y176" s="9">
        <v>374.25479920695938</v>
      </c>
      <c r="Z176" s="9">
        <v>131133.36024735129</v>
      </c>
      <c r="AA176" s="9">
        <v>131661.90676223475</v>
      </c>
      <c r="AB176" s="9">
        <v>528.54651488344996</v>
      </c>
      <c r="AC176" s="9">
        <v>21.634550094540764</v>
      </c>
      <c r="AD176" s="9">
        <v>88.949380473823382</v>
      </c>
      <c r="AE176" s="9">
        <v>81.264062240425417</v>
      </c>
      <c r="AF176" s="9">
        <v>94.890486126535464</v>
      </c>
      <c r="AG176" s="9">
        <v>1103.0410015606117</v>
      </c>
      <c r="AH176" s="9">
        <v>43184.306992583006</v>
      </c>
      <c r="AI176" s="9">
        <v>4520.7228036614051</v>
      </c>
      <c r="AJ176" s="9">
        <v>49094.80927674035</v>
      </c>
      <c r="AK176" s="9">
        <v>61837546.27532886</v>
      </c>
      <c r="AL176" s="9">
        <v>59533832.641848572</v>
      </c>
    </row>
    <row r="177" spans="1:38" x14ac:dyDescent="0.25">
      <c r="A177" s="9">
        <v>175</v>
      </c>
      <c r="B177" s="9">
        <v>59</v>
      </c>
      <c r="C177" s="9">
        <v>8.6249999999999999E-4</v>
      </c>
      <c r="D177" s="9">
        <v>3.9276714123379319</v>
      </c>
      <c r="E177" s="9">
        <v>16.237419093158117</v>
      </c>
      <c r="F177" s="9">
        <v>14.869443825712633</v>
      </c>
      <c r="G177" s="9">
        <v>18.596998268815494</v>
      </c>
      <c r="H177" s="9">
        <v>67.873746492566184</v>
      </c>
      <c r="I177" s="9">
        <v>4981.310542413441</v>
      </c>
      <c r="J177" s="9">
        <v>3244.6007154954636</v>
      </c>
      <c r="K177" s="9">
        <v>1328.5690952028767</v>
      </c>
      <c r="L177" s="9">
        <v>3690.7616780515673</v>
      </c>
      <c r="M177" s="9">
        <v>2.6996063138652233</v>
      </c>
      <c r="N177" s="9">
        <v>549.58064997342785</v>
      </c>
      <c r="O177" s="9">
        <v>30.448977089074475</v>
      </c>
      <c r="P177" s="9">
        <v>2.047014927925523</v>
      </c>
      <c r="Q177" s="9">
        <v>30.448977089074475</v>
      </c>
      <c r="R177" s="9">
        <v>127.58412039591896</v>
      </c>
      <c r="S177" s="9">
        <v>56.721821516468317</v>
      </c>
      <c r="T177" s="9">
        <v>457.06293346836691</v>
      </c>
      <c r="U177" s="9">
        <v>649.36613588050272</v>
      </c>
      <c r="V177" s="9">
        <v>750.44217727773776</v>
      </c>
      <c r="W177" s="9">
        <v>98174.752629433191</v>
      </c>
      <c r="X177" s="9">
        <v>98549.007428640136</v>
      </c>
      <c r="Y177" s="9">
        <v>374.25479920695938</v>
      </c>
      <c r="Z177" s="9">
        <v>131133.36024735129</v>
      </c>
      <c r="AA177" s="9">
        <v>131661.90676223475</v>
      </c>
      <c r="AB177" s="9">
        <v>528.54651488344996</v>
      </c>
      <c r="AC177" s="9">
        <v>21.392716959200602</v>
      </c>
      <c r="AD177" s="9">
        <v>88.439809327401207</v>
      </c>
      <c r="AE177" s="9">
        <v>80.988904037381474</v>
      </c>
      <c r="AF177" s="9">
        <v>94.643223689713508</v>
      </c>
      <c r="AG177" s="9">
        <v>1100.233430644498</v>
      </c>
      <c r="AH177" s="9">
        <v>43149.883714294228</v>
      </c>
      <c r="AI177" s="9">
        <v>4514.7733836032958</v>
      </c>
      <c r="AJ177" s="9">
        <v>49050.355182555722</v>
      </c>
      <c r="AK177" s="9">
        <v>61886596.630511418</v>
      </c>
      <c r="AL177" s="9">
        <v>59557526.021066107</v>
      </c>
    </row>
    <row r="178" spans="1:38" x14ac:dyDescent="0.25">
      <c r="A178" s="9">
        <v>176</v>
      </c>
      <c r="B178" s="9">
        <v>59</v>
      </c>
      <c r="C178" s="9">
        <v>8.6249999999999999E-4</v>
      </c>
      <c r="D178" s="9">
        <v>3.8837675138015215</v>
      </c>
      <c r="E178" s="9">
        <v>16.144175261382554</v>
      </c>
      <c r="F178" s="9">
        <v>14.818814059325554</v>
      </c>
      <c r="G178" s="9">
        <v>18.548415488570065</v>
      </c>
      <c r="H178" s="9">
        <v>67.700975880564485</v>
      </c>
      <c r="I178" s="9">
        <v>4981.5006454935183</v>
      </c>
      <c r="J178" s="9">
        <v>3241.802247378349</v>
      </c>
      <c r="K178" s="9">
        <v>1327.4232043582642</v>
      </c>
      <c r="L178" s="9">
        <v>3683.5674672449745</v>
      </c>
      <c r="M178" s="9">
        <v>2.6942098757396495</v>
      </c>
      <c r="N178" s="9">
        <v>552.27485984916746</v>
      </c>
      <c r="O178" s="9">
        <v>30.390160135845797</v>
      </c>
      <c r="P178" s="9">
        <v>2.0430913331542029</v>
      </c>
      <c r="Q178" s="9">
        <v>30.390160135845797</v>
      </c>
      <c r="R178" s="9">
        <v>127.51395297690772</v>
      </c>
      <c r="S178" s="9">
        <v>56.646577817234132</v>
      </c>
      <c r="T178" s="9">
        <v>459.60869239041062</v>
      </c>
      <c r="U178" s="9">
        <v>653.70039927944083</v>
      </c>
      <c r="V178" s="9">
        <v>757.85984260764064</v>
      </c>
      <c r="W178" s="9">
        <v>98174.752629433191</v>
      </c>
      <c r="X178" s="9">
        <v>98549.007428640136</v>
      </c>
      <c r="Y178" s="9">
        <v>374.25479920695938</v>
      </c>
      <c r="Z178" s="9">
        <v>131133.36024735129</v>
      </c>
      <c r="AA178" s="9">
        <v>131661.90676223475</v>
      </c>
      <c r="AB178" s="9">
        <v>528.54651488344996</v>
      </c>
      <c r="AC178" s="9">
        <v>21.153587058505618</v>
      </c>
      <c r="AD178" s="9">
        <v>87.931941256996964</v>
      </c>
      <c r="AE178" s="9">
        <v>80.71314057645985</v>
      </c>
      <c r="AF178" s="9">
        <v>94.395977823914478</v>
      </c>
      <c r="AG178" s="9">
        <v>1097.4328190239503</v>
      </c>
      <c r="AH178" s="9">
        <v>43114.665391349932</v>
      </c>
      <c r="AI178" s="9">
        <v>4508.784361362751</v>
      </c>
      <c r="AJ178" s="9">
        <v>49005.077218452512</v>
      </c>
      <c r="AK178" s="9">
        <v>61935601.707729869</v>
      </c>
      <c r="AL178" s="9">
        <v>59581099.307102419</v>
      </c>
    </row>
    <row r="179" spans="1:38" x14ac:dyDescent="0.25">
      <c r="A179" s="9">
        <v>177</v>
      </c>
      <c r="B179" s="9">
        <v>59</v>
      </c>
      <c r="C179" s="9">
        <v>8.6249999999999999E-4</v>
      </c>
      <c r="D179" s="9">
        <v>3.8403543773743447</v>
      </c>
      <c r="E179" s="9">
        <v>16.05124665579196</v>
      </c>
      <c r="F179" s="9">
        <v>14.768076747943372</v>
      </c>
      <c r="G179" s="9">
        <v>18.499834750866466</v>
      </c>
      <c r="H179" s="9">
        <v>67.528632327699455</v>
      </c>
      <c r="I179" s="9">
        <v>4981.6902519484929</v>
      </c>
      <c r="J179" s="9">
        <v>3239.0061929399853</v>
      </c>
      <c r="K179" s="9">
        <v>1326.2783018445052</v>
      </c>
      <c r="L179" s="9">
        <v>3676.3872797413323</v>
      </c>
      <c r="M179" s="9">
        <v>2.6888242601385084</v>
      </c>
      <c r="N179" s="9">
        <v>554.96368410930597</v>
      </c>
      <c r="O179" s="9">
        <v>30.331244931511623</v>
      </c>
      <c r="P179" s="9">
        <v>2.0391753194883742</v>
      </c>
      <c r="Q179" s="9">
        <v>30.331244931511623</v>
      </c>
      <c r="R179" s="9">
        <v>127.44103177282055</v>
      </c>
      <c r="S179" s="9">
        <v>56.570848896635304</v>
      </c>
      <c r="T179" s="9">
        <v>462.15048922931663</v>
      </c>
      <c r="U179" s="9">
        <v>658.02958311649843</v>
      </c>
      <c r="V179" s="9">
        <v>765.26737189901507</v>
      </c>
      <c r="W179" s="9">
        <v>98174.752629433191</v>
      </c>
      <c r="X179" s="9">
        <v>98549.007428640136</v>
      </c>
      <c r="Y179" s="9">
        <v>374.25479920695938</v>
      </c>
      <c r="Z179" s="9">
        <v>131133.36024735129</v>
      </c>
      <c r="AA179" s="9">
        <v>131661.90676223475</v>
      </c>
      <c r="AB179" s="9">
        <v>528.54651488344996</v>
      </c>
      <c r="AC179" s="9">
        <v>20.917130175432263</v>
      </c>
      <c r="AD179" s="9">
        <v>87.425790118546871</v>
      </c>
      <c r="AE179" s="9">
        <v>80.436791353798228</v>
      </c>
      <c r="AF179" s="9">
        <v>94.148742352951245</v>
      </c>
      <c r="AG179" s="9">
        <v>1094.6391300320083</v>
      </c>
      <c r="AH179" s="9">
        <v>43078.668338939875</v>
      </c>
      <c r="AI179" s="9">
        <v>4502.7567179276866</v>
      </c>
      <c r="AJ179" s="9">
        <v>48958.992640900302</v>
      </c>
      <c r="AK179" s="9">
        <v>61984560.700370766</v>
      </c>
      <c r="AL179" s="9">
        <v>59604552.702243172</v>
      </c>
    </row>
    <row r="180" spans="1:38" x14ac:dyDescent="0.25">
      <c r="A180" s="9">
        <v>178</v>
      </c>
      <c r="B180" s="9">
        <v>59</v>
      </c>
      <c r="C180" s="9">
        <v>8.6249999999999999E-4</v>
      </c>
      <c r="D180" s="9">
        <v>3.7974265172691277</v>
      </c>
      <c r="E180" s="9">
        <v>15.95863574213068</v>
      </c>
      <c r="F180" s="9">
        <v>14.717235448774364</v>
      </c>
      <c r="G180" s="9">
        <v>18.451254893490947</v>
      </c>
      <c r="H180" s="9">
        <v>67.356713571662439</v>
      </c>
      <c r="I180" s="9">
        <v>4981.8793617992451</v>
      </c>
      <c r="J180" s="9">
        <v>3236.2125500985744</v>
      </c>
      <c r="K180" s="9">
        <v>1325.1343868091644</v>
      </c>
      <c r="L180" s="9">
        <v>3669.2210882057416</v>
      </c>
      <c r="M180" s="9">
        <v>2.6834494412493832</v>
      </c>
      <c r="N180" s="9">
        <v>557.6471335505554</v>
      </c>
      <c r="O180" s="9">
        <v>30.272237000423896</v>
      </c>
      <c r="P180" s="9">
        <v>2.0352668695761027</v>
      </c>
      <c r="Q180" s="9">
        <v>30.272237000423896</v>
      </c>
      <c r="R180" s="9">
        <v>127.36540996014398</v>
      </c>
      <c r="S180" s="9">
        <v>56.494646845455364</v>
      </c>
      <c r="T180" s="9">
        <v>464.68831365475376</v>
      </c>
      <c r="U180" s="9">
        <v>662.35363663370015</v>
      </c>
      <c r="V180" s="9">
        <v>772.66477827531594</v>
      </c>
      <c r="W180" s="9">
        <v>98174.752629433191</v>
      </c>
      <c r="X180" s="9">
        <v>98549.007428640136</v>
      </c>
      <c r="Y180" s="9">
        <v>374.25479920695938</v>
      </c>
      <c r="Z180" s="9">
        <v>131133.36024735129</v>
      </c>
      <c r="AA180" s="9">
        <v>131661.90676223475</v>
      </c>
      <c r="AB180" s="9">
        <v>528.54651488344996</v>
      </c>
      <c r="AC180" s="9">
        <v>20.683316430725849</v>
      </c>
      <c r="AD180" s="9">
        <v>86.921369342138433</v>
      </c>
      <c r="AE180" s="9">
        <v>80.159875744324367</v>
      </c>
      <c r="AF180" s="9">
        <v>93.901511362124339</v>
      </c>
      <c r="AG180" s="9">
        <v>1091.8523269966481</v>
      </c>
      <c r="AH180" s="9">
        <v>43041.90858493666</v>
      </c>
      <c r="AI180" s="9">
        <v>4496.6914156640196</v>
      </c>
      <c r="AJ180" s="9">
        <v>48912.11840047664</v>
      </c>
      <c r="AK180" s="9">
        <v>62033472.818771243</v>
      </c>
      <c r="AL180" s="9">
        <v>59627886.418852657</v>
      </c>
    </row>
    <row r="181" spans="1:38" x14ac:dyDescent="0.25">
      <c r="A181" s="9">
        <v>179</v>
      </c>
      <c r="B181" s="9">
        <v>59</v>
      </c>
      <c r="C181" s="9">
        <v>8.6249999999999999E-4</v>
      </c>
      <c r="D181" s="9">
        <v>3.754978509019268</v>
      </c>
      <c r="E181" s="9">
        <v>15.866344909241644</v>
      </c>
      <c r="F181" s="9">
        <v>14.666293696451206</v>
      </c>
      <c r="G181" s="9">
        <v>18.402674804805642</v>
      </c>
      <c r="H181" s="9">
        <v>67.185217350359324</v>
      </c>
      <c r="I181" s="9">
        <v>4982.0679750547733</v>
      </c>
      <c r="J181" s="9">
        <v>3233.4213167741145</v>
      </c>
      <c r="K181" s="9">
        <v>1323.9914584005414</v>
      </c>
      <c r="L181" s="9">
        <v>3662.0688653565858</v>
      </c>
      <c r="M181" s="9">
        <v>2.6780853932945456</v>
      </c>
      <c r="N181" s="9">
        <v>560.3252189438499</v>
      </c>
      <c r="O181" s="9">
        <v>30.213141728931991</v>
      </c>
      <c r="P181" s="9">
        <v>2.0313659660680119</v>
      </c>
      <c r="Q181" s="9">
        <v>30.213141728931991</v>
      </c>
      <c r="R181" s="9">
        <v>127.28713981721842</v>
      </c>
      <c r="S181" s="9">
        <v>56.417983525193883</v>
      </c>
      <c r="T181" s="9">
        <v>467.22215566579791</v>
      </c>
      <c r="U181" s="9">
        <v>666.67251023682468</v>
      </c>
      <c r="V181" s="9">
        <v>780.05207489245845</v>
      </c>
      <c r="W181" s="9">
        <v>98174.752629433191</v>
      </c>
      <c r="X181" s="9">
        <v>98549.007428640136</v>
      </c>
      <c r="Y181" s="9">
        <v>374.25479920695938</v>
      </c>
      <c r="Z181" s="9">
        <v>131133.36024735129</v>
      </c>
      <c r="AA181" s="9">
        <v>131661.90676223475</v>
      </c>
      <c r="AB181" s="9">
        <v>528.54651488344996</v>
      </c>
      <c r="AC181" s="9">
        <v>20.452116279124944</v>
      </c>
      <c r="AD181" s="9">
        <v>86.418691939002812</v>
      </c>
      <c r="AE181" s="9">
        <v>79.882413000004235</v>
      </c>
      <c r="AF181" s="9">
        <v>93.654279194123376</v>
      </c>
      <c r="AG181" s="9">
        <v>1089.0723732493248</v>
      </c>
      <c r="AH181" s="9">
        <v>43004.401874299394</v>
      </c>
      <c r="AI181" s="9">
        <v>4490.5893986878073</v>
      </c>
      <c r="AJ181" s="9">
        <v>48864.471146648779</v>
      </c>
      <c r="AK181" s="9">
        <v>62082337.289917894</v>
      </c>
      <c r="AL181" s="9">
        <v>59651100.679069862</v>
      </c>
    </row>
    <row r="182" spans="1:38" x14ac:dyDescent="0.25">
      <c r="A182" s="9">
        <v>180</v>
      </c>
      <c r="B182" s="9">
        <v>60</v>
      </c>
      <c r="C182" s="9">
        <v>8.6249999999999999E-4</v>
      </c>
      <c r="D182" s="9">
        <v>3.7130049887933865</v>
      </c>
      <c r="E182" s="9">
        <v>15.77437647033242</v>
      </c>
      <c r="F182" s="9">
        <v>14.615255002722494</v>
      </c>
      <c r="G182" s="9">
        <v>18.354093422948729</v>
      </c>
      <c r="H182" s="9">
        <v>67.014141402426404</v>
      </c>
      <c r="I182" s="9">
        <v>4982.2560917127139</v>
      </c>
      <c r="J182" s="9">
        <v>3230.6324908883967</v>
      </c>
      <c r="K182" s="9">
        <v>1322.8495157676709</v>
      </c>
      <c r="L182" s="9">
        <v>3654.9305839654276</v>
      </c>
      <c r="M182" s="9">
        <v>2.6727320905326311</v>
      </c>
      <c r="N182" s="9">
        <v>562.99795103438248</v>
      </c>
      <c r="O182" s="9">
        <v>30.156674455071485</v>
      </c>
      <c r="P182" s="9">
        <v>2.0247625059285177</v>
      </c>
      <c r="Q182" s="9">
        <v>30.156674455071485</v>
      </c>
      <c r="R182" s="9">
        <v>127.20356265342853</v>
      </c>
      <c r="S182" s="9">
        <v>56.340870572620879</v>
      </c>
      <c r="T182" s="9">
        <v>469.75200558489172</v>
      </c>
      <c r="U182" s="9">
        <v>670.98615547387033</v>
      </c>
      <c r="V182" s="9">
        <v>787.42927493778586</v>
      </c>
      <c r="W182" s="9">
        <v>102466.49092941565</v>
      </c>
      <c r="X182" s="9">
        <v>102863.08806254098</v>
      </c>
      <c r="Y182" s="9">
        <v>396.59713312533967</v>
      </c>
      <c r="Z182" s="9">
        <v>139630.7085240109</v>
      </c>
      <c r="AA182" s="9">
        <v>140203.4913318246</v>
      </c>
      <c r="AB182" s="9">
        <v>572.78280781367778</v>
      </c>
      <c r="AC182" s="9">
        <v>20.223500505627978</v>
      </c>
      <c r="AD182" s="9">
        <v>85.917770508410584</v>
      </c>
      <c r="AE182" s="9">
        <v>79.604422248161839</v>
      </c>
      <c r="AF182" s="9">
        <v>93.407040444956564</v>
      </c>
      <c r="AG182" s="9">
        <v>1086.299232133332</v>
      </c>
      <c r="AH182" s="9">
        <v>42966.163674228541</v>
      </c>
      <c r="AI182" s="9">
        <v>4484.4515932277591</v>
      </c>
      <c r="AJ182" s="9">
        <v>48816.067233296788</v>
      </c>
      <c r="AK182" s="9">
        <v>62131153.357151188</v>
      </c>
      <c r="AL182" s="9">
        <v>59674195.714511737</v>
      </c>
    </row>
    <row r="183" spans="1:38" x14ac:dyDescent="0.25">
      <c r="A183" s="9">
        <v>181</v>
      </c>
      <c r="B183" s="9">
        <v>60</v>
      </c>
      <c r="C183" s="9">
        <v>9.5333333333333338E-4</v>
      </c>
      <c r="D183" s="9">
        <v>3.6711633880977241</v>
      </c>
      <c r="E183" s="9">
        <v>15.681299825027725</v>
      </c>
      <c r="F183" s="9">
        <v>14.562795303827723</v>
      </c>
      <c r="G183" s="9">
        <v>18.303842571554267</v>
      </c>
      <c r="H183" s="9">
        <v>66.83739634989125</v>
      </c>
      <c r="I183" s="9">
        <v>4982.4437117598463</v>
      </c>
      <c r="J183" s="9">
        <v>3227.5526212470832</v>
      </c>
      <c r="K183" s="9">
        <v>1321.5883992293057</v>
      </c>
      <c r="L183" s="9">
        <v>3647.4742273288603</v>
      </c>
      <c r="M183" s="9">
        <v>2.6673895072602738</v>
      </c>
      <c r="N183" s="9">
        <v>565.66534054164276</v>
      </c>
      <c r="O183" s="9">
        <v>30.09732260263926</v>
      </c>
      <c r="P183" s="9">
        <v>2.0208818373607382</v>
      </c>
      <c r="Q183" s="9">
        <v>30.09732260263926</v>
      </c>
      <c r="R183" s="9">
        <v>127.10593484037602</v>
      </c>
      <c r="S183" s="9">
        <v>56.25820177515476</v>
      </c>
      <c r="T183" s="9">
        <v>472.27785405191531</v>
      </c>
      <c r="U183" s="9">
        <v>675.29454331224213</v>
      </c>
      <c r="V183" s="9">
        <v>795.57225222746149</v>
      </c>
      <c r="W183" s="9">
        <v>102466.49092941565</v>
      </c>
      <c r="X183" s="9">
        <v>102863.08806254098</v>
      </c>
      <c r="Y183" s="9">
        <v>396.59713312533967</v>
      </c>
      <c r="Z183" s="9">
        <v>139630.7085240109</v>
      </c>
      <c r="AA183" s="9">
        <v>140203.4913318246</v>
      </c>
      <c r="AB183" s="9">
        <v>572.78280781367778</v>
      </c>
      <c r="AC183" s="9">
        <v>19.995603253838937</v>
      </c>
      <c r="AD183" s="9">
        <v>85.410813046984345</v>
      </c>
      <c r="AE183" s="9">
        <v>79.318691754848331</v>
      </c>
      <c r="AF183" s="9">
        <v>93.151305487068257</v>
      </c>
      <c r="AG183" s="9">
        <v>1083.4341948317372</v>
      </c>
      <c r="AH183" s="9">
        <v>42923.301423099037</v>
      </c>
      <c r="AI183" s="9">
        <v>4477.8715702934433</v>
      </c>
      <c r="AJ183" s="9">
        <v>48762.483601766959</v>
      </c>
      <c r="AK183" s="9">
        <v>62179915.840752952</v>
      </c>
      <c r="AL183" s="9">
        <v>59697169.674535029</v>
      </c>
    </row>
    <row r="184" spans="1:38" x14ac:dyDescent="0.25">
      <c r="A184" s="9">
        <v>182</v>
      </c>
      <c r="B184" s="9">
        <v>60</v>
      </c>
      <c r="C184" s="9">
        <v>9.5333333333333338E-4</v>
      </c>
      <c r="D184" s="9">
        <v>3.6297932975546359</v>
      </c>
      <c r="E184" s="9">
        <v>15.588566756963196</v>
      </c>
      <c r="F184" s="9">
        <v>14.510255026795141</v>
      </c>
      <c r="G184" s="9">
        <v>18.253597426892039</v>
      </c>
      <c r="H184" s="9">
        <v>66.661098607970303</v>
      </c>
      <c r="I184" s="9">
        <v>4982.6308181304448</v>
      </c>
      <c r="J184" s="9">
        <v>3224.4756877481609</v>
      </c>
      <c r="K184" s="9">
        <v>1320.3284849553738</v>
      </c>
      <c r="L184" s="9">
        <v>3640.0330822682763</v>
      </c>
      <c r="M184" s="9">
        <v>2.6618153299334688</v>
      </c>
      <c r="N184" s="9">
        <v>568.32715587157622</v>
      </c>
      <c r="O184" s="9">
        <v>30.037825693589113</v>
      </c>
      <c r="P184" s="9">
        <v>2.0168419304108847</v>
      </c>
      <c r="Q184" s="9">
        <v>30.037825693589113</v>
      </c>
      <c r="R184" s="9">
        <v>127.00589306118684</v>
      </c>
      <c r="S184" s="9">
        <v>56.175120408694561</v>
      </c>
      <c r="T184" s="9">
        <v>474.79946248005956</v>
      </c>
      <c r="U184" s="9">
        <v>679.59723553427159</v>
      </c>
      <c r="V184" s="9">
        <v>803.70335921571507</v>
      </c>
      <c r="W184" s="9">
        <v>102466.49092941565</v>
      </c>
      <c r="X184" s="9">
        <v>102863.08806254098</v>
      </c>
      <c r="Y184" s="9">
        <v>396.59713312533967</v>
      </c>
      <c r="Z184" s="9">
        <v>139630.7085240109</v>
      </c>
      <c r="AA184" s="9">
        <v>140203.4913318246</v>
      </c>
      <c r="AB184" s="9">
        <v>572.78280781367778</v>
      </c>
      <c r="AC184" s="9">
        <v>19.770274160680916</v>
      </c>
      <c r="AD184" s="9">
        <v>84.905726936259541</v>
      </c>
      <c r="AE184" s="9">
        <v>79.032522379277523</v>
      </c>
      <c r="AF184" s="9">
        <v>92.895599571691392</v>
      </c>
      <c r="AG184" s="9">
        <v>1080.5764084351986</v>
      </c>
      <c r="AH184" s="9">
        <v>42879.740447866541</v>
      </c>
      <c r="AI184" s="9">
        <v>4471.2587089300432</v>
      </c>
      <c r="AJ184" s="9">
        <v>48708.179688279692</v>
      </c>
      <c r="AK184" s="9">
        <v>62228624.020441234</v>
      </c>
      <c r="AL184" s="9">
        <v>59720022.828334458</v>
      </c>
    </row>
    <row r="185" spans="1:38" x14ac:dyDescent="0.25">
      <c r="A185" s="9">
        <v>183</v>
      </c>
      <c r="B185" s="9">
        <v>60</v>
      </c>
      <c r="C185" s="9">
        <v>9.5333333333333338E-4</v>
      </c>
      <c r="D185" s="9">
        <v>3.5888894037482806</v>
      </c>
      <c r="E185" s="9">
        <v>15.496179268529996</v>
      </c>
      <c r="F185" s="9">
        <v>14.457637636242641</v>
      </c>
      <c r="G185" s="9">
        <v>18.203357071360639</v>
      </c>
      <c r="H185" s="9">
        <v>66.485245802909873</v>
      </c>
      <c r="I185" s="9">
        <v>4982.8174108828434</v>
      </c>
      <c r="J185" s="9">
        <v>3221.4016875925076</v>
      </c>
      <c r="K185" s="9">
        <v>1319.0697717997164</v>
      </c>
      <c r="L185" s="9">
        <v>3632.6071177508193</v>
      </c>
      <c r="M185" s="9">
        <v>2.6562528114442623</v>
      </c>
      <c r="N185" s="9">
        <v>570.98340868302046</v>
      </c>
      <c r="O185" s="9">
        <v>29.978190662639857</v>
      </c>
      <c r="P185" s="9">
        <v>2.012810143360142</v>
      </c>
      <c r="Q185" s="9">
        <v>29.978190662639857</v>
      </c>
      <c r="R185" s="9">
        <v>126.90348563911958</v>
      </c>
      <c r="S185" s="9">
        <v>56.091637478933777</v>
      </c>
      <c r="T185" s="9">
        <v>477.31682277354986</v>
      </c>
      <c r="U185" s="9">
        <v>683.89418724653774</v>
      </c>
      <c r="V185" s="9">
        <v>811.82261264872147</v>
      </c>
      <c r="W185" s="9">
        <v>102466.49092941565</v>
      </c>
      <c r="X185" s="9">
        <v>102863.08806254098</v>
      </c>
      <c r="Y185" s="9">
        <v>396.59713312533967</v>
      </c>
      <c r="Z185" s="9">
        <v>139630.7085240109</v>
      </c>
      <c r="AA185" s="9">
        <v>140203.4913318246</v>
      </c>
      <c r="AB185" s="9">
        <v>572.78280781367778</v>
      </c>
      <c r="AC185" s="9">
        <v>19.547484285748968</v>
      </c>
      <c r="AD185" s="9">
        <v>84.402523082593376</v>
      </c>
      <c r="AE185" s="9">
        <v>78.745932992068248</v>
      </c>
      <c r="AF185" s="9">
        <v>92.639918028999517</v>
      </c>
      <c r="AG185" s="9">
        <v>1077.7258344651691</v>
      </c>
      <c r="AH185" s="9">
        <v>42835.495836353402</v>
      </c>
      <c r="AI185" s="9">
        <v>4464.6138851357337</v>
      </c>
      <c r="AJ185" s="9">
        <v>48653.171414343713</v>
      </c>
      <c r="AK185" s="9">
        <v>62277277.19185558</v>
      </c>
      <c r="AL185" s="9">
        <v>59742755.453796767</v>
      </c>
    </row>
    <row r="186" spans="1:38" x14ac:dyDescent="0.25">
      <c r="A186" s="9">
        <v>184</v>
      </c>
      <c r="B186" s="9">
        <v>60</v>
      </c>
      <c r="C186" s="9">
        <v>9.5333333333333338E-4</v>
      </c>
      <c r="D186" s="9">
        <v>3.5484464531393378</v>
      </c>
      <c r="E186" s="9">
        <v>15.404139290631104</v>
      </c>
      <c r="F186" s="9">
        <v>14.404946571541426</v>
      </c>
      <c r="G186" s="9">
        <v>18.153120634325315</v>
      </c>
      <c r="H186" s="9">
        <v>66.309835564482754</v>
      </c>
      <c r="I186" s="9">
        <v>4983.0034900659994</v>
      </c>
      <c r="J186" s="9">
        <v>3218.3306179836695</v>
      </c>
      <c r="K186" s="9">
        <v>1317.8122586172674</v>
      </c>
      <c r="L186" s="9">
        <v>3625.1963028069426</v>
      </c>
      <c r="M186" s="9">
        <v>2.6507019231716993</v>
      </c>
      <c r="N186" s="9">
        <v>573.63411060619217</v>
      </c>
      <c r="O186" s="9">
        <v>29.918424271010036</v>
      </c>
      <c r="P186" s="9">
        <v>2.0087864569899634</v>
      </c>
      <c r="Q186" s="9">
        <v>29.918424271010036</v>
      </c>
      <c r="R186" s="9">
        <v>126.79876007341535</v>
      </c>
      <c r="S186" s="9">
        <v>56.007763789601498</v>
      </c>
      <c r="T186" s="9">
        <v>479.82992714419805</v>
      </c>
      <c r="U186" s="9">
        <v>688.18535464578122</v>
      </c>
      <c r="V186" s="9">
        <v>819.93002929948966</v>
      </c>
      <c r="W186" s="9">
        <v>102466.49092941565</v>
      </c>
      <c r="X186" s="9">
        <v>102863.08806254098</v>
      </c>
      <c r="Y186" s="9">
        <v>396.59713312533967</v>
      </c>
      <c r="Z186" s="9">
        <v>139630.7085240109</v>
      </c>
      <c r="AA186" s="9">
        <v>140203.4913318246</v>
      </c>
      <c r="AB186" s="9">
        <v>572.78280781367778</v>
      </c>
      <c r="AC186" s="9">
        <v>19.327205014765592</v>
      </c>
      <c r="AD186" s="9">
        <v>83.901212002970738</v>
      </c>
      <c r="AE186" s="9">
        <v>78.458942326328966</v>
      </c>
      <c r="AF186" s="9">
        <v>92.384256428187243</v>
      </c>
      <c r="AG186" s="9">
        <v>1074.8824345002654</v>
      </c>
      <c r="AH186" s="9">
        <v>42790.582404016393</v>
      </c>
      <c r="AI186" s="9">
        <v>4457.9379588333313</v>
      </c>
      <c r="AJ186" s="9">
        <v>48597.47441312224</v>
      </c>
      <c r="AK186" s="9">
        <v>62325874.666268699</v>
      </c>
      <c r="AL186" s="9">
        <v>59765367.837222219</v>
      </c>
    </row>
    <row r="187" spans="1:38" x14ac:dyDescent="0.25">
      <c r="A187" s="9">
        <v>185</v>
      </c>
      <c r="B187" s="9">
        <v>60</v>
      </c>
      <c r="C187" s="9">
        <v>9.5333333333333338E-4</v>
      </c>
      <c r="D187" s="9">
        <v>3.5084592513902648</v>
      </c>
      <c r="E187" s="9">
        <v>15.312448683894369</v>
      </c>
      <c r="F187" s="9">
        <v>14.352185246580358</v>
      </c>
      <c r="G187" s="9">
        <v>18.102887291325569</v>
      </c>
      <c r="H187" s="9">
        <v>66.134865526449147</v>
      </c>
      <c r="I187" s="9">
        <v>4983.1890557199677</v>
      </c>
      <c r="J187" s="9">
        <v>3215.2624761278585</v>
      </c>
      <c r="K187" s="9">
        <v>1316.5559442640522</v>
      </c>
      <c r="L187" s="9">
        <v>3617.8006065302798</v>
      </c>
      <c r="M187" s="9">
        <v>2.6451626365488572</v>
      </c>
      <c r="N187" s="9">
        <v>576.27927324274106</v>
      </c>
      <c r="O187" s="9">
        <v>29.858533114900556</v>
      </c>
      <c r="P187" s="9">
        <v>2.0047708520994445</v>
      </c>
      <c r="Q187" s="9">
        <v>29.858533114900556</v>
      </c>
      <c r="R187" s="9">
        <v>126.69176305303905</v>
      </c>
      <c r="S187" s="9">
        <v>55.923509946006895</v>
      </c>
      <c r="T187" s="9">
        <v>482.33876810559627</v>
      </c>
      <c r="U187" s="9">
        <v>692.47069499874885</v>
      </c>
      <c r="V187" s="9">
        <v>828.02562596679638</v>
      </c>
      <c r="W187" s="9">
        <v>102466.49092941565</v>
      </c>
      <c r="X187" s="9">
        <v>102863.08806254098</v>
      </c>
      <c r="Y187" s="9">
        <v>396.59713312533967</v>
      </c>
      <c r="Z187" s="9">
        <v>139630.7085240109</v>
      </c>
      <c r="AA187" s="9">
        <v>140203.4913318246</v>
      </c>
      <c r="AB187" s="9">
        <v>572.78280781367778</v>
      </c>
      <c r="AC187" s="9">
        <v>19.109408055905643</v>
      </c>
      <c r="AD187" s="9">
        <v>83.401803831611318</v>
      </c>
      <c r="AE187" s="9">
        <v>78.171568976374346</v>
      </c>
      <c r="AF187" s="9">
        <v>92.128610573437697</v>
      </c>
      <c r="AG187" s="9">
        <v>1072.0461701837407</v>
      </c>
      <c r="AH187" s="9">
        <v>42745.014700014792</v>
      </c>
      <c r="AI187" s="9">
        <v>4451.2317741524184</v>
      </c>
      <c r="AJ187" s="9">
        <v>48541.104035788281</v>
      </c>
      <c r="AK187" s="9">
        <v>62374415.770304486</v>
      </c>
      <c r="AL187" s="9">
        <v>59787860.273053318</v>
      </c>
    </row>
    <row r="188" spans="1:38" x14ac:dyDescent="0.25">
      <c r="A188" s="9">
        <v>186</v>
      </c>
      <c r="B188" s="9">
        <v>60</v>
      </c>
      <c r="C188" s="9">
        <v>9.5333333333333338E-4</v>
      </c>
      <c r="D188" s="9">
        <v>3.4689226626981555</v>
      </c>
      <c r="E188" s="9">
        <v>15.221109239868511</v>
      </c>
      <c r="F188" s="9">
        <v>14.299357049541966</v>
      </c>
      <c r="G188" s="9">
        <v>18.052656263289116</v>
      </c>
      <c r="H188" s="9">
        <v>65.960333327006992</v>
      </c>
      <c r="I188" s="9">
        <v>4983.374107876376</v>
      </c>
      <c r="J188" s="9">
        <v>3212.1972592339498</v>
      </c>
      <c r="K188" s="9">
        <v>1315.3008275971872</v>
      </c>
      <c r="L188" s="9">
        <v>3610.4199980775161</v>
      </c>
      <c r="M188" s="9">
        <v>2.639634923064285</v>
      </c>
      <c r="N188" s="9">
        <v>578.91890816580531</v>
      </c>
      <c r="O188" s="9">
        <v>29.798523624493267</v>
      </c>
      <c r="P188" s="9">
        <v>2.0007633095067354</v>
      </c>
      <c r="Q188" s="9">
        <v>29.798523624493267</v>
      </c>
      <c r="R188" s="9">
        <v>126.58254047019312</v>
      </c>
      <c r="S188" s="9">
        <v>55.838886358550106</v>
      </c>
      <c r="T188" s="9">
        <v>484.84333846744119</v>
      </c>
      <c r="U188" s="9">
        <v>696.75016662247606</v>
      </c>
      <c r="V188" s="9">
        <v>836.10941947414381</v>
      </c>
      <c r="W188" s="9">
        <v>102466.49092941565</v>
      </c>
      <c r="X188" s="9">
        <v>102863.08806254098</v>
      </c>
      <c r="Y188" s="9">
        <v>396.59713312533967</v>
      </c>
      <c r="Z188" s="9">
        <v>139630.7085240109</v>
      </c>
      <c r="AA188" s="9">
        <v>140203.4913318246</v>
      </c>
      <c r="AB188" s="9">
        <v>572.78280781367778</v>
      </c>
      <c r="AC188" s="9">
        <v>18.89406543616262</v>
      </c>
      <c r="AD188" s="9">
        <v>82.904308326483815</v>
      </c>
      <c r="AE188" s="9">
        <v>77.883831396505229</v>
      </c>
      <c r="AF188" s="9">
        <v>91.872976499922189</v>
      </c>
      <c r="AG188" s="9">
        <v>1069.2170032307833</v>
      </c>
      <c r="AH188" s="9">
        <v>42698.807010626828</v>
      </c>
      <c r="AI188" s="9">
        <v>4444.4961597087959</v>
      </c>
      <c r="AJ188" s="9">
        <v>48484.075355225483</v>
      </c>
      <c r="AK188" s="9">
        <v>62422899.84565971</v>
      </c>
      <c r="AL188" s="9">
        <v>59810233.063609309</v>
      </c>
    </row>
    <row r="189" spans="1:38" x14ac:dyDescent="0.25">
      <c r="A189" s="9">
        <v>187</v>
      </c>
      <c r="B189" s="9">
        <v>60</v>
      </c>
      <c r="C189" s="9">
        <v>9.5333333333333338E-4</v>
      </c>
      <c r="D189" s="9">
        <v>3.4298316091351175</v>
      </c>
      <c r="E189" s="9">
        <v>15.130122682202272</v>
      </c>
      <c r="F189" s="9">
        <v>14.246465342689866</v>
      </c>
      <c r="G189" s="9">
        <v>18.002426815752248</v>
      </c>
      <c r="H189" s="9">
        <v>65.786236609231779</v>
      </c>
      <c r="I189" s="9">
        <v>4983.5586465588885</v>
      </c>
      <c r="J189" s="9">
        <v>3209.1349645134801</v>
      </c>
      <c r="K189" s="9">
        <v>1314.0469074748778</v>
      </c>
      <c r="L189" s="9">
        <v>3603.0544466682595</v>
      </c>
      <c r="M189" s="9">
        <v>2.6341187542634099</v>
      </c>
      <c r="N189" s="9">
        <v>581.55302692006876</v>
      </c>
      <c r="O189" s="9">
        <v>29.738402071949587</v>
      </c>
      <c r="P189" s="9">
        <v>1.9967638100504124</v>
      </c>
      <c r="Q189" s="9">
        <v>29.738402071949587</v>
      </c>
      <c r="R189" s="9">
        <v>126.47113743360764</v>
      </c>
      <c r="S189" s="9">
        <v>55.753903246144276</v>
      </c>
      <c r="T189" s="9">
        <v>487.34363132993195</v>
      </c>
      <c r="U189" s="9">
        <v>701.02372886484409</v>
      </c>
      <c r="V189" s="9">
        <v>844.18142666873257</v>
      </c>
      <c r="W189" s="9">
        <v>102466.49092941565</v>
      </c>
      <c r="X189" s="9">
        <v>102863.08806254098</v>
      </c>
      <c r="Y189" s="9">
        <v>396.59713312533967</v>
      </c>
      <c r="Z189" s="9">
        <v>139630.7085240109</v>
      </c>
      <c r="AA189" s="9">
        <v>140203.4913318246</v>
      </c>
      <c r="AB189" s="9">
        <v>572.78280781367778</v>
      </c>
      <c r="AC189" s="9">
        <v>18.681149497755939</v>
      </c>
      <c r="AD189" s="9">
        <v>82.408734875728371</v>
      </c>
      <c r="AE189" s="9">
        <v>77.595747899850807</v>
      </c>
      <c r="AF189" s="9">
        <v>91.617350469832473</v>
      </c>
      <c r="AG189" s="9">
        <v>1066.3948954356472</v>
      </c>
      <c r="AH189" s="9">
        <v>42651.973365062368</v>
      </c>
      <c r="AI189" s="9">
        <v>4437.731928876854</v>
      </c>
      <c r="AJ189" s="9">
        <v>48426.403172118036</v>
      </c>
      <c r="AK189" s="9">
        <v>62471326.248831831</v>
      </c>
      <c r="AL189" s="9">
        <v>59832486.518827602</v>
      </c>
    </row>
    <row r="190" spans="1:38" x14ac:dyDescent="0.25">
      <c r="A190" s="9">
        <v>188</v>
      </c>
      <c r="B190" s="9">
        <v>60</v>
      </c>
      <c r="C190" s="9">
        <v>9.5333333333333338E-4</v>
      </c>
      <c r="D190" s="9">
        <v>3.3911810699960818</v>
      </c>
      <c r="E190" s="9">
        <v>15.039490667806938</v>
      </c>
      <c r="F190" s="9">
        <v>14.193513462167337</v>
      </c>
      <c r="G190" s="9">
        <v>17.952198258086675</v>
      </c>
      <c r="H190" s="9">
        <v>65.612573021506094</v>
      </c>
      <c r="I190" s="9">
        <v>4983.7426717836624</v>
      </c>
      <c r="J190" s="9">
        <v>3206.0755891806439</v>
      </c>
      <c r="K190" s="9">
        <v>1312.7941827564184</v>
      </c>
      <c r="L190" s="9">
        <v>3595.7039215849127</v>
      </c>
      <c r="M190" s="9">
        <v>2.6286141017499038</v>
      </c>
      <c r="N190" s="9">
        <v>584.18164102181868</v>
      </c>
      <c r="O190" s="9">
        <v>29.678174572409169</v>
      </c>
      <c r="P190" s="9">
        <v>1.9927723345908317</v>
      </c>
      <c r="Q190" s="9">
        <v>29.678174572409169</v>
      </c>
      <c r="R190" s="9">
        <v>126.35759828161042</v>
      </c>
      <c r="S190" s="9">
        <v>55.66857063960417</v>
      </c>
      <c r="T190" s="9">
        <v>489.83964007829326</v>
      </c>
      <c r="U190" s="9">
        <v>705.29134208555661</v>
      </c>
      <c r="V190" s="9">
        <v>852.24166442045816</v>
      </c>
      <c r="W190" s="9">
        <v>102466.49092941565</v>
      </c>
      <c r="X190" s="9">
        <v>102863.08806254098</v>
      </c>
      <c r="Y190" s="9">
        <v>396.59713312533967</v>
      </c>
      <c r="Z190" s="9">
        <v>139630.7085240109</v>
      </c>
      <c r="AA190" s="9">
        <v>140203.4913318246</v>
      </c>
      <c r="AB190" s="9">
        <v>572.78280781367778</v>
      </c>
      <c r="AC190" s="9">
        <v>18.470632894578657</v>
      </c>
      <c r="AD190" s="9">
        <v>81.915092503988447</v>
      </c>
      <c r="AE190" s="9">
        <v>77.307336657271421</v>
      </c>
      <c r="AF190" s="9">
        <v>91.361728968446101</v>
      </c>
      <c r="AG190" s="9">
        <v>1063.5798086786137</v>
      </c>
      <c r="AH190" s="9">
        <v>42604.527539304356</v>
      </c>
      <c r="AI190" s="9">
        <v>4430.9398800592935</v>
      </c>
      <c r="AJ190" s="9">
        <v>48368.102019066544</v>
      </c>
      <c r="AK190" s="9">
        <v>62519694.350850895</v>
      </c>
      <c r="AL190" s="9">
        <v>59854620.95601096</v>
      </c>
    </row>
    <row r="191" spans="1:38" x14ac:dyDescent="0.25">
      <c r="A191" s="9">
        <v>189</v>
      </c>
      <c r="B191" s="9">
        <v>60</v>
      </c>
      <c r="C191" s="9">
        <v>9.5333333333333338E-4</v>
      </c>
      <c r="D191" s="9">
        <v>3.3529660811539643</v>
      </c>
      <c r="E191" s="9">
        <v>14.949214788002465</v>
      </c>
      <c r="F191" s="9">
        <v>14.140504717806785</v>
      </c>
      <c r="G191" s="9">
        <v>17.901969942732851</v>
      </c>
      <c r="H191" s="9">
        <v>65.439340217938778</v>
      </c>
      <c r="I191" s="9">
        <v>4983.9261835597936</v>
      </c>
      <c r="J191" s="9">
        <v>3203.0191304522918</v>
      </c>
      <c r="K191" s="9">
        <v>1311.5426523021906</v>
      </c>
      <c r="L191" s="9">
        <v>3588.3683921725446</v>
      </c>
      <c r="M191" s="9">
        <v>2.6231209371870192</v>
      </c>
      <c r="N191" s="9">
        <v>586.80476195900565</v>
      </c>
      <c r="O191" s="9">
        <v>29.617847087988554</v>
      </c>
      <c r="P191" s="9">
        <v>1.9887888640114477</v>
      </c>
      <c r="Q191" s="9">
        <v>29.617847087988554</v>
      </c>
      <c r="R191" s="9">
        <v>126.24196659498081</v>
      </c>
      <c r="S191" s="9">
        <v>55.582898384960686</v>
      </c>
      <c r="T191" s="9">
        <v>492.33135837738109</v>
      </c>
      <c r="U191" s="9">
        <v>709.55296763741524</v>
      </c>
      <c r="V191" s="9">
        <v>860.29014962092356</v>
      </c>
      <c r="W191" s="9">
        <v>102466.49092941565</v>
      </c>
      <c r="X191" s="9">
        <v>102863.08806254098</v>
      </c>
      <c r="Y191" s="9">
        <v>396.59713312533967</v>
      </c>
      <c r="Z191" s="9">
        <v>139630.7085240109</v>
      </c>
      <c r="AA191" s="9">
        <v>140203.4913318246</v>
      </c>
      <c r="AB191" s="9">
        <v>572.78280781367778</v>
      </c>
      <c r="AC191" s="9">
        <v>18.262488588685258</v>
      </c>
      <c r="AD191" s="9">
        <v>81.423389878653424</v>
      </c>
      <c r="AE191" s="9">
        <v>77.01861569632095</v>
      </c>
      <c r="AF191" s="9">
        <v>91.106108700224596</v>
      </c>
      <c r="AG191" s="9">
        <v>1060.7717049327875</v>
      </c>
      <c r="AH191" s="9">
        <v>42556.483060710234</v>
      </c>
      <c r="AI191" s="9">
        <v>4424.120796950946</v>
      </c>
      <c r="AJ191" s="9">
        <v>48309.186165457853</v>
      </c>
      <c r="AK191" s="9">
        <v>62568003.537016355</v>
      </c>
      <c r="AL191" s="9">
        <v>59876636.699580818</v>
      </c>
    </row>
    <row r="192" spans="1:38" x14ac:dyDescent="0.25">
      <c r="A192" s="9">
        <v>190</v>
      </c>
      <c r="B192" s="9">
        <v>60</v>
      </c>
      <c r="C192" s="9">
        <v>9.5333333333333338E-4</v>
      </c>
      <c r="D192" s="9">
        <v>3.3151817344220911</v>
      </c>
      <c r="E192" s="9">
        <v>14.859296569647393</v>
      </c>
      <c r="F192" s="9">
        <v>14.08744239294988</v>
      </c>
      <c r="G192" s="9">
        <v>17.851741264439873</v>
      </c>
      <c r="H192" s="9">
        <v>65.26653585877412</v>
      </c>
      <c r="I192" s="9">
        <v>4984.1091818897585</v>
      </c>
      <c r="J192" s="9">
        <v>3199.9655855479273</v>
      </c>
      <c r="K192" s="9">
        <v>1310.2923149736625</v>
      </c>
      <c r="L192" s="9">
        <v>3581.0478278387632</v>
      </c>
      <c r="M192" s="9">
        <v>2.6176392322988939</v>
      </c>
      <c r="N192" s="9">
        <v>589.42240119130452</v>
      </c>
      <c r="O192" s="9">
        <v>29.557425433779894</v>
      </c>
      <c r="P192" s="9">
        <v>1.9848133792201064</v>
      </c>
      <c r="Q192" s="9">
        <v>29.557425433779894</v>
      </c>
      <c r="R192" s="9">
        <v>126.1242852095906</v>
      </c>
      <c r="S192" s="9">
        <v>55.496896146720971</v>
      </c>
      <c r="T192" s="9">
        <v>494.81878016638751</v>
      </c>
      <c r="U192" s="9">
        <v>713.80856784793809</v>
      </c>
      <c r="V192" s="9">
        <v>868.32689918247149</v>
      </c>
      <c r="W192" s="9">
        <v>102466.49092941565</v>
      </c>
      <c r="X192" s="9">
        <v>102863.08806254098</v>
      </c>
      <c r="Y192" s="9">
        <v>396.59713312533967</v>
      </c>
      <c r="Z192" s="9">
        <v>139630.7085240109</v>
      </c>
      <c r="AA192" s="9">
        <v>140203.4913318246</v>
      </c>
      <c r="AB192" s="9">
        <v>572.78280781367778</v>
      </c>
      <c r="AC192" s="9">
        <v>18.056689846818987</v>
      </c>
      <c r="AD192" s="9">
        <v>80.933635316012797</v>
      </c>
      <c r="AE192" s="9">
        <v>76.729602900267011</v>
      </c>
      <c r="AF192" s="9">
        <v>90.850486584945244</v>
      </c>
      <c r="AG192" s="9">
        <v>1057.9705462707286</v>
      </c>
      <c r="AH192" s="9">
        <v>42507.853213101356</v>
      </c>
      <c r="AI192" s="9">
        <v>4417.2754487982556</v>
      </c>
      <c r="AJ192" s="9">
        <v>48249.669622818386</v>
      </c>
      <c r="AK192" s="9">
        <v>62616253.206639171</v>
      </c>
      <c r="AL192" s="9">
        <v>59898534.080836795</v>
      </c>
    </row>
    <row r="193" spans="1:38" x14ac:dyDescent="0.25">
      <c r="A193" s="9">
        <v>191</v>
      </c>
      <c r="B193" s="9">
        <v>60</v>
      </c>
      <c r="C193" s="9">
        <v>9.5333333333333338E-4</v>
      </c>
      <c r="D193" s="9">
        <v>3.27782317692381</v>
      </c>
      <c r="E193" s="9">
        <v>14.769737476252779</v>
      </c>
      <c r="F193" s="9">
        <v>14.034329744278082</v>
      </c>
      <c r="G193" s="9">
        <v>17.801511659511938</v>
      </c>
      <c r="H193" s="9">
        <v>65.094157610790944</v>
      </c>
      <c r="I193" s="9">
        <v>4984.2916667698482</v>
      </c>
      <c r="J193" s="9">
        <v>3196.914951689705</v>
      </c>
      <c r="K193" s="9">
        <v>1309.0431696333876</v>
      </c>
      <c r="L193" s="9">
        <v>3573.7421980535864</v>
      </c>
      <c r="M193" s="9">
        <v>2.6121689588718158</v>
      </c>
      <c r="N193" s="9">
        <v>592.03457015017636</v>
      </c>
      <c r="O193" s="9">
        <v>29.496915277849688</v>
      </c>
      <c r="P193" s="9">
        <v>1.9808458611503106</v>
      </c>
      <c r="Q193" s="9">
        <v>29.496915277849688</v>
      </c>
      <c r="R193" s="9">
        <v>126.00459622883577</v>
      </c>
      <c r="S193" s="9">
        <v>55.41057341108705</v>
      </c>
      <c r="T193" s="9">
        <v>497.30189965365497</v>
      </c>
      <c r="U193" s="9">
        <v>718.05810600135067</v>
      </c>
      <c r="V193" s="9">
        <v>876.35193003723691</v>
      </c>
      <c r="W193" s="9">
        <v>102466.49092941565</v>
      </c>
      <c r="X193" s="9">
        <v>102863.08806254098</v>
      </c>
      <c r="Y193" s="9">
        <v>396.59713312533967</v>
      </c>
      <c r="Z193" s="9">
        <v>139630.7085240109</v>
      </c>
      <c r="AA193" s="9">
        <v>140203.4913318246</v>
      </c>
      <c r="AB193" s="9">
        <v>572.78280781367778</v>
      </c>
      <c r="AC193" s="9">
        <v>17.853210236978352</v>
      </c>
      <c r="AD193" s="9">
        <v>80.445836787323458</v>
      </c>
      <c r="AE193" s="9">
        <v>76.440316007167951</v>
      </c>
      <c r="AF193" s="9">
        <v>90.59485975386616</v>
      </c>
      <c r="AG193" s="9">
        <v>1055.1762948709213</v>
      </c>
      <c r="AH193" s="9">
        <v>42458.651040157085</v>
      </c>
      <c r="AI193" s="9">
        <v>4410.4045906554738</v>
      </c>
      <c r="AJ193" s="9">
        <v>48189.566148468817</v>
      </c>
      <c r="AK193" s="9">
        <v>62664442.772787638</v>
      </c>
      <c r="AL193" s="9">
        <v>59920313.43772155</v>
      </c>
    </row>
    <row r="194" spans="1:38" x14ac:dyDescent="0.25">
      <c r="A194" s="9">
        <v>192</v>
      </c>
      <c r="B194" s="9">
        <v>61</v>
      </c>
      <c r="C194" s="9">
        <v>9.5333333333333338E-4</v>
      </c>
      <c r="D194" s="9">
        <v>3.2408856104692054</v>
      </c>
      <c r="E194" s="9">
        <v>14.680538909080353</v>
      </c>
      <c r="F194" s="9">
        <v>13.981170001653357</v>
      </c>
      <c r="G194" s="9">
        <v>17.751280605061456</v>
      </c>
      <c r="H194" s="9">
        <v>64.922203147691889</v>
      </c>
      <c r="I194" s="9">
        <v>4984.4736381905896</v>
      </c>
      <c r="J194" s="9">
        <v>3193.8672261024276</v>
      </c>
      <c r="K194" s="9">
        <v>1307.7952151450038</v>
      </c>
      <c r="L194" s="9">
        <v>3566.4514723493166</v>
      </c>
      <c r="M194" s="9">
        <v>2.6067100887554604</v>
      </c>
      <c r="N194" s="9">
        <v>594.64128023893181</v>
      </c>
      <c r="O194" s="9">
        <v>29.439235426216221</v>
      </c>
      <c r="P194" s="9">
        <v>1.97397301278378</v>
      </c>
      <c r="Q194" s="9">
        <v>29.439235426216221</v>
      </c>
      <c r="R194" s="9">
        <v>125.88002775788368</v>
      </c>
      <c r="S194" s="9">
        <v>55.32393948909862</v>
      </c>
      <c r="T194" s="9">
        <v>499.78071131156383</v>
      </c>
      <c r="U194" s="9">
        <v>722.30154632084475</v>
      </c>
      <c r="V194" s="9">
        <v>884.36525913621415</v>
      </c>
      <c r="W194" s="9">
        <v>106482.86492146402</v>
      </c>
      <c r="X194" s="9">
        <v>106900.42483909109</v>
      </c>
      <c r="Y194" s="9">
        <v>417.55991762709652</v>
      </c>
      <c r="Z194" s="9">
        <v>147980.46159513519</v>
      </c>
      <c r="AA194" s="9">
        <v>148596.82452636849</v>
      </c>
      <c r="AB194" s="9">
        <v>616.36293123330802</v>
      </c>
      <c r="AC194" s="9">
        <v>17.65202362502227</v>
      </c>
      <c r="AD194" s="9">
        <v>79.960001924790987</v>
      </c>
      <c r="AE194" s="9">
        <v>76.150772609005287</v>
      </c>
      <c r="AF194" s="9">
        <v>90.33922554592526</v>
      </c>
      <c r="AG194" s="9">
        <v>1052.3889130240855</v>
      </c>
      <c r="AH194" s="9">
        <v>42408.889350663922</v>
      </c>
      <c r="AI194" s="9">
        <v>4403.5089636348048</v>
      </c>
      <c r="AJ194" s="9">
        <v>48128.889251027555</v>
      </c>
      <c r="AK194" s="9">
        <v>62712571.662038669</v>
      </c>
      <c r="AL194" s="9">
        <v>59941975.114591718</v>
      </c>
    </row>
    <row r="195" spans="1:38" x14ac:dyDescent="0.25">
      <c r="A195" s="9">
        <v>193</v>
      </c>
      <c r="B195" s="9">
        <v>61</v>
      </c>
      <c r="C195" s="9">
        <v>1.0516666666666667E-3</v>
      </c>
      <c r="D195" s="9">
        <v>3.204045603853809</v>
      </c>
      <c r="E195" s="9">
        <v>14.590258621899027</v>
      </c>
      <c r="F195" s="9">
        <v>13.926591552918657</v>
      </c>
      <c r="G195" s="9">
        <v>17.699302075675977</v>
      </c>
      <c r="H195" s="9">
        <v>64.744286133840035</v>
      </c>
      <c r="I195" s="9">
        <v>4984.6550961371649</v>
      </c>
      <c r="J195" s="9">
        <v>3190.5083424029767</v>
      </c>
      <c r="K195" s="9">
        <v>1306.4198505104096</v>
      </c>
      <c r="L195" s="9">
        <v>3558.8249192589651</v>
      </c>
      <c r="M195" s="9">
        <v>2.6012625938640945</v>
      </c>
      <c r="N195" s="9">
        <v>597.24254283279595</v>
      </c>
      <c r="O195" s="9">
        <v>29.378509117517851</v>
      </c>
      <c r="P195" s="9">
        <v>1.9700271944821479</v>
      </c>
      <c r="Q195" s="9">
        <v>29.378509117517851</v>
      </c>
      <c r="R195" s="9">
        <v>125.74120988945928</v>
      </c>
      <c r="S195" s="9">
        <v>55.231563332360146</v>
      </c>
      <c r="T195" s="9">
        <v>502.25520987153266</v>
      </c>
      <c r="U195" s="9">
        <v>726.53887362145838</v>
      </c>
      <c r="V195" s="9">
        <v>893.19224787914277</v>
      </c>
      <c r="W195" s="9">
        <v>106482.86492146402</v>
      </c>
      <c r="X195" s="9">
        <v>106900.42483909109</v>
      </c>
      <c r="Y195" s="9">
        <v>417.55991762709652</v>
      </c>
      <c r="Z195" s="9">
        <v>147980.46159513519</v>
      </c>
      <c r="AA195" s="9">
        <v>148596.82452636849</v>
      </c>
      <c r="AB195" s="9">
        <v>616.36293123330802</v>
      </c>
      <c r="AC195" s="9">
        <v>17.45136838899041</v>
      </c>
      <c r="AD195" s="9">
        <v>79.468275293943364</v>
      </c>
      <c r="AE195" s="9">
        <v>75.853501991563618</v>
      </c>
      <c r="AF195" s="9">
        <v>90.074698146794319</v>
      </c>
      <c r="AG195" s="9">
        <v>1049.5048782295471</v>
      </c>
      <c r="AH195" s="9">
        <v>42354.405143395066</v>
      </c>
      <c r="AI195" s="9">
        <v>4396.1562834392062</v>
      </c>
      <c r="AJ195" s="9">
        <v>48062.914148885109</v>
      </c>
      <c r="AK195" s="9">
        <v>62760634.576187551</v>
      </c>
      <c r="AL195" s="9">
        <v>59963517.33836019</v>
      </c>
    </row>
    <row r="196" spans="1:38" x14ac:dyDescent="0.25">
      <c r="A196" s="9">
        <v>194</v>
      </c>
      <c r="B196" s="9">
        <v>61</v>
      </c>
      <c r="C196" s="9">
        <v>1.0516666666666667E-3</v>
      </c>
      <c r="D196" s="9">
        <v>3.167624367368107</v>
      </c>
      <c r="E196" s="9">
        <v>14.500359094200777</v>
      </c>
      <c r="F196" s="9">
        <v>13.871982987480211</v>
      </c>
      <c r="G196" s="9">
        <v>17.64733122126221</v>
      </c>
      <c r="H196" s="9">
        <v>64.566822637141811</v>
      </c>
      <c r="I196" s="9">
        <v>4984.8360227464573</v>
      </c>
      <c r="J196" s="9">
        <v>3187.1529911295497</v>
      </c>
      <c r="K196" s="9">
        <v>1305.0459323009561</v>
      </c>
      <c r="L196" s="9">
        <v>3551.2146749036378</v>
      </c>
      <c r="M196" s="9">
        <v>2.5955706553560147</v>
      </c>
      <c r="N196" s="9">
        <v>599.83811348815198</v>
      </c>
      <c r="O196" s="9">
        <v>29.317635091924338</v>
      </c>
      <c r="P196" s="9">
        <v>1.9659103300756626</v>
      </c>
      <c r="Q196" s="9">
        <v>29.317635091924338</v>
      </c>
      <c r="R196" s="9">
        <v>125.60060074696774</v>
      </c>
      <c r="S196" s="9">
        <v>55.138911615485959</v>
      </c>
      <c r="T196" s="9">
        <v>504.72514687829749</v>
      </c>
      <c r="U196" s="9">
        <v>730.76963658848774</v>
      </c>
      <c r="V196" s="9">
        <v>902.00549731636522</v>
      </c>
      <c r="W196" s="9">
        <v>106482.86492146402</v>
      </c>
      <c r="X196" s="9">
        <v>106900.42483909109</v>
      </c>
      <c r="Y196" s="9">
        <v>417.55991762709652</v>
      </c>
      <c r="Z196" s="9">
        <v>147980.46159513519</v>
      </c>
      <c r="AA196" s="9">
        <v>148596.82452636849</v>
      </c>
      <c r="AB196" s="9">
        <v>616.36293123330802</v>
      </c>
      <c r="AC196" s="9">
        <v>17.252994054264956</v>
      </c>
      <c r="AD196" s="9">
        <v>78.978622533080227</v>
      </c>
      <c r="AE196" s="9">
        <v>75.556067338475543</v>
      </c>
      <c r="AF196" s="9">
        <v>89.810209806873587</v>
      </c>
      <c r="AG196" s="9">
        <v>1046.6281949480688</v>
      </c>
      <c r="AH196" s="9">
        <v>42299.391507570559</v>
      </c>
      <c r="AI196" s="9">
        <v>4388.7816700346048</v>
      </c>
      <c r="AJ196" s="9">
        <v>47996.399266285924</v>
      </c>
      <c r="AK196" s="9">
        <v>62808630.975453839</v>
      </c>
      <c r="AL196" s="9">
        <v>59984940.48645217</v>
      </c>
    </row>
    <row r="197" spans="1:38" x14ac:dyDescent="0.25">
      <c r="A197" s="9">
        <v>195</v>
      </c>
      <c r="B197" s="9">
        <v>61</v>
      </c>
      <c r="C197" s="9">
        <v>1.0516666666666667E-3</v>
      </c>
      <c r="D197" s="9">
        <v>3.1316171407409268</v>
      </c>
      <c r="E197" s="9">
        <v>14.410841437214376</v>
      </c>
      <c r="F197" s="9">
        <v>13.817347464338356</v>
      </c>
      <c r="G197" s="9">
        <v>17.59536763616935</v>
      </c>
      <c r="H197" s="9">
        <v>64.389810225621702</v>
      </c>
      <c r="I197" s="9">
        <v>4985.0164180969223</v>
      </c>
      <c r="J197" s="9">
        <v>3183.8011685672118</v>
      </c>
      <c r="K197" s="9">
        <v>1303.6734589954863</v>
      </c>
      <c r="L197" s="9">
        <v>3543.6207044084927</v>
      </c>
      <c r="M197" s="9">
        <v>2.5898911303616887</v>
      </c>
      <c r="N197" s="9">
        <v>602.42800461851368</v>
      </c>
      <c r="O197" s="9">
        <v>29.256620622579728</v>
      </c>
      <c r="P197" s="9">
        <v>1.9618020764202744</v>
      </c>
      <c r="Q197" s="9">
        <v>29.256620622579728</v>
      </c>
      <c r="R197" s="9">
        <v>125.45823895004672</v>
      </c>
      <c r="S197" s="9">
        <v>55.045993121427315</v>
      </c>
      <c r="T197" s="9">
        <v>507.19051832959673</v>
      </c>
      <c r="U197" s="9">
        <v>734.99380263047442</v>
      </c>
      <c r="V197" s="9">
        <v>910.8050288005428</v>
      </c>
      <c r="W197" s="9">
        <v>106482.86492146402</v>
      </c>
      <c r="X197" s="9">
        <v>106900.42483909109</v>
      </c>
      <c r="Y197" s="9">
        <v>417.55991762709652</v>
      </c>
      <c r="Z197" s="9">
        <v>147980.46159513519</v>
      </c>
      <c r="AA197" s="9">
        <v>148596.82452636849</v>
      </c>
      <c r="AB197" s="9">
        <v>616.36293123330802</v>
      </c>
      <c r="AC197" s="9">
        <v>17.056874693235581</v>
      </c>
      <c r="AD197" s="9">
        <v>78.491049694694297</v>
      </c>
      <c r="AE197" s="9">
        <v>75.258485855762913</v>
      </c>
      <c r="AF197" s="9">
        <v>89.545758461738515</v>
      </c>
      <c r="AG197" s="9">
        <v>1043.7588237573279</v>
      </c>
      <c r="AH197" s="9">
        <v>42243.8609739085</v>
      </c>
      <c r="AI197" s="9">
        <v>4381.3858225000067</v>
      </c>
      <c r="AJ197" s="9">
        <v>47929.357788871268</v>
      </c>
      <c r="AK197" s="9">
        <v>62856560.333242707</v>
      </c>
      <c r="AL197" s="9">
        <v>60006244.942078061</v>
      </c>
    </row>
    <row r="198" spans="1:38" x14ac:dyDescent="0.25">
      <c r="A198" s="9">
        <v>196</v>
      </c>
      <c r="B198" s="9">
        <v>61</v>
      </c>
      <c r="C198" s="9">
        <v>1.0516666666666667E-3</v>
      </c>
      <c r="D198" s="9">
        <v>3.0960192178123598</v>
      </c>
      <c r="E198" s="9">
        <v>14.321706703699304</v>
      </c>
      <c r="F198" s="9">
        <v>13.762688113893301</v>
      </c>
      <c r="G198" s="9">
        <v>17.543410952793391</v>
      </c>
      <c r="H198" s="9">
        <v>64.213246476619645</v>
      </c>
      <c r="I198" s="9">
        <v>4985.1962822628684</v>
      </c>
      <c r="J198" s="9">
        <v>3180.4528710049353</v>
      </c>
      <c r="K198" s="9">
        <v>1302.3024290744427</v>
      </c>
      <c r="L198" s="9">
        <v>3536.0429729732637</v>
      </c>
      <c r="M198" s="9">
        <v>2.5842239874967072</v>
      </c>
      <c r="N198" s="9">
        <v>605.01222860601035</v>
      </c>
      <c r="O198" s="9">
        <v>29.195472804622312</v>
      </c>
      <c r="P198" s="9">
        <v>1.9577024123776903</v>
      </c>
      <c r="Q198" s="9">
        <v>29.195472804622312</v>
      </c>
      <c r="R198" s="9">
        <v>125.31416245020785</v>
      </c>
      <c r="S198" s="9">
        <v>54.952816476745888</v>
      </c>
      <c r="T198" s="9">
        <v>509.6513204742833</v>
      </c>
      <c r="U198" s="9">
        <v>739.2113400553701</v>
      </c>
      <c r="V198" s="9">
        <v>919.59086369615477</v>
      </c>
      <c r="W198" s="9">
        <v>106482.86492146402</v>
      </c>
      <c r="X198" s="9">
        <v>106900.42483909109</v>
      </c>
      <c r="Y198" s="9">
        <v>417.55991762709652</v>
      </c>
      <c r="Z198" s="9">
        <v>147980.46159513519</v>
      </c>
      <c r="AA198" s="9">
        <v>148596.82452636849</v>
      </c>
      <c r="AB198" s="9">
        <v>616.36293123330802</v>
      </c>
      <c r="AC198" s="9">
        <v>16.862984673017984</v>
      </c>
      <c r="AD198" s="9">
        <v>78.005562512815544</v>
      </c>
      <c r="AE198" s="9">
        <v>74.96077459367217</v>
      </c>
      <c r="AF198" s="9">
        <v>89.28134224059103</v>
      </c>
      <c r="AG198" s="9">
        <v>1040.8967253860044</v>
      </c>
      <c r="AH198" s="9">
        <v>42187.825842096347</v>
      </c>
      <c r="AI198" s="9">
        <v>4373.969427466589</v>
      </c>
      <c r="AJ198" s="9">
        <v>47861.802658969034</v>
      </c>
      <c r="AK198" s="9">
        <v>62904422.135901675</v>
      </c>
      <c r="AL198" s="9">
        <v>60027431.094018467</v>
      </c>
    </row>
    <row r="199" spans="1:38" x14ac:dyDescent="0.25">
      <c r="A199" s="9">
        <v>197</v>
      </c>
      <c r="B199" s="9">
        <v>61</v>
      </c>
      <c r="C199" s="9">
        <v>1.0516666666666667E-3</v>
      </c>
      <c r="D199" s="9">
        <v>3.060825945918666</v>
      </c>
      <c r="E199" s="9">
        <v>14.23295588899664</v>
      </c>
      <c r="F199" s="9">
        <v>13.708008037847025</v>
      </c>
      <c r="G199" s="9">
        <v>17.491460840845132</v>
      </c>
      <c r="H199" s="9">
        <v>64.037128977128404</v>
      </c>
      <c r="I199" s="9">
        <v>4985.375615314847</v>
      </c>
      <c r="J199" s="9">
        <v>3177.1080947355949</v>
      </c>
      <c r="K199" s="9">
        <v>1300.9328410198661</v>
      </c>
      <c r="L199" s="9">
        <v>3528.4814458721025</v>
      </c>
      <c r="M199" s="9">
        <v>2.5785691954573919</v>
      </c>
      <c r="N199" s="9">
        <v>607.59079780146772</v>
      </c>
      <c r="O199" s="9">
        <v>29.134198554150476</v>
      </c>
      <c r="P199" s="9">
        <v>1.9536113168495239</v>
      </c>
      <c r="Q199" s="9">
        <v>29.134198554150476</v>
      </c>
      <c r="R199" s="9">
        <v>125.16840854206966</v>
      </c>
      <c r="S199" s="9">
        <v>54.859390153960852</v>
      </c>
      <c r="T199" s="9">
        <v>512.10754980741569</v>
      </c>
      <c r="U199" s="9">
        <v>743.42221805390841</v>
      </c>
      <c r="V199" s="9">
        <v>928.36302337854329</v>
      </c>
      <c r="W199" s="9">
        <v>106482.86492146402</v>
      </c>
      <c r="X199" s="9">
        <v>106900.42483909109</v>
      </c>
      <c r="Y199" s="9">
        <v>417.55991762709652</v>
      </c>
      <c r="Z199" s="9">
        <v>147980.46159513519</v>
      </c>
      <c r="AA199" s="9">
        <v>148596.82452636849</v>
      </c>
      <c r="AB199" s="9">
        <v>616.36293123330802</v>
      </c>
      <c r="AC199" s="9">
        <v>16.671298652103665</v>
      </c>
      <c r="AD199" s="9">
        <v>77.522166408735032</v>
      </c>
      <c r="AE199" s="9">
        <v>74.66295044614013</v>
      </c>
      <c r="AF199" s="9">
        <v>89.016959462534345</v>
      </c>
      <c r="AG199" s="9">
        <v>1038.0418607192514</v>
      </c>
      <c r="AH199" s="9">
        <v>42131.2981835756</v>
      </c>
      <c r="AI199" s="9">
        <v>4366.5331593045139</v>
      </c>
      <c r="AJ199" s="9">
        <v>47793.746578568876</v>
      </c>
      <c r="AK199" s="9">
        <v>62952215.882480241</v>
      </c>
      <c r="AL199" s="9">
        <v>60048499.336413838</v>
      </c>
    </row>
    <row r="200" spans="1:38" x14ac:dyDescent="0.25">
      <c r="A200" s="9">
        <v>198</v>
      </c>
      <c r="B200" s="9">
        <v>61</v>
      </c>
      <c r="C200" s="9">
        <v>1.0516666666666667E-3</v>
      </c>
      <c r="D200" s="9">
        <v>3.026032725284169</v>
      </c>
      <c r="E200" s="9">
        <v>14.144589932064779</v>
      </c>
      <c r="F200" s="9">
        <v>13.653310309114078</v>
      </c>
      <c r="G200" s="9">
        <v>17.439517006625412</v>
      </c>
      <c r="H200" s="9">
        <v>63.861455324121593</v>
      </c>
      <c r="I200" s="9">
        <v>4985.5544173200324</v>
      </c>
      <c r="J200" s="9">
        <v>3173.7668360559646</v>
      </c>
      <c r="K200" s="9">
        <v>1299.5646933153937</v>
      </c>
      <c r="L200" s="9">
        <v>3520.9360884534194</v>
      </c>
      <c r="M200" s="9">
        <v>2.5729267230218063</v>
      </c>
      <c r="N200" s="9">
        <v>610.16372452448957</v>
      </c>
      <c r="O200" s="9">
        <v>29.072804614221642</v>
      </c>
      <c r="P200" s="9">
        <v>1.9495287687783585</v>
      </c>
      <c r="Q200" s="9">
        <v>29.072804614221642</v>
      </c>
      <c r="R200" s="9">
        <v>125.02101387440334</v>
      </c>
      <c r="S200" s="9">
        <v>54.765722473847127</v>
      </c>
      <c r="T200" s="9">
        <v>514.55920306540929</v>
      </c>
      <c r="U200" s="9">
        <v>747.62640668317727</v>
      </c>
      <c r="V200" s="9">
        <v>937.12152923297117</v>
      </c>
      <c r="W200" s="9">
        <v>106482.86492146402</v>
      </c>
      <c r="X200" s="9">
        <v>106900.42483909109</v>
      </c>
      <c r="Y200" s="9">
        <v>417.55991762709652</v>
      </c>
      <c r="Z200" s="9">
        <v>147980.46159513519</v>
      </c>
      <c r="AA200" s="9">
        <v>148596.82452636849</v>
      </c>
      <c r="AB200" s="9">
        <v>616.36293123330802</v>
      </c>
      <c r="AC200" s="9">
        <v>16.481791577047773</v>
      </c>
      <c r="AD200" s="9">
        <v>77.04086649664616</v>
      </c>
      <c r="AE200" s="9">
        <v>74.365030150308002</v>
      </c>
      <c r="AF200" s="9">
        <v>88.752608632884488</v>
      </c>
      <c r="AG200" s="9">
        <v>1035.194190804011</v>
      </c>
      <c r="AH200" s="9">
        <v>42074.289846195796</v>
      </c>
      <c r="AI200" s="9">
        <v>4359.0776803058616</v>
      </c>
      <c r="AJ200" s="9">
        <v>47725.202014162554</v>
      </c>
      <c r="AK200" s="9">
        <v>62999941.084494404</v>
      </c>
      <c r="AL200" s="9">
        <v>60069450.06855955</v>
      </c>
    </row>
    <row r="201" spans="1:38" x14ac:dyDescent="0.25">
      <c r="A201" s="9">
        <v>199</v>
      </c>
      <c r="B201" s="9">
        <v>61</v>
      </c>
      <c r="C201" s="9">
        <v>1.0516666666666667E-3</v>
      </c>
      <c r="D201" s="9">
        <v>2.9916350084200629</v>
      </c>
      <c r="E201" s="9">
        <v>14.056609716500134</v>
      </c>
      <c r="F201" s="9">
        <v>13.598597971741054</v>
      </c>
      <c r="G201" s="9">
        <v>17.387579192307545</v>
      </c>
      <c r="H201" s="9">
        <v>63.686223124872434</v>
      </c>
      <c r="I201" s="9">
        <v>4985.7326883425967</v>
      </c>
      <c r="J201" s="9">
        <v>3170.4290912667125</v>
      </c>
      <c r="K201" s="9">
        <v>1298.1979844462569</v>
      </c>
      <c r="L201" s="9">
        <v>3513.4068661397241</v>
      </c>
      <c r="M201" s="9">
        <v>2.5672965390507332</v>
      </c>
      <c r="N201" s="9">
        <v>612.73102106354031</v>
      </c>
      <c r="O201" s="9">
        <v>29.011297560851215</v>
      </c>
      <c r="P201" s="9">
        <v>1.945454747148784</v>
      </c>
      <c r="Q201" s="9">
        <v>29.011297560851215</v>
      </c>
      <c r="R201" s="9">
        <v>124.87201446099452</v>
      </c>
      <c r="S201" s="9">
        <v>54.67182160772699</v>
      </c>
      <c r="T201" s="9">
        <v>517.00627722128718</v>
      </c>
      <c r="U201" s="9">
        <v>751.82387685050389</v>
      </c>
      <c r="V201" s="9">
        <v>945.86640265369999</v>
      </c>
      <c r="W201" s="9">
        <v>106482.86492146402</v>
      </c>
      <c r="X201" s="9">
        <v>106900.42483909109</v>
      </c>
      <c r="Y201" s="9">
        <v>417.55991762709652</v>
      </c>
      <c r="Z201" s="9">
        <v>147980.46159513519</v>
      </c>
      <c r="AA201" s="9">
        <v>148596.82452636849</v>
      </c>
      <c r="AB201" s="9">
        <v>616.36293123330802</v>
      </c>
      <c r="AC201" s="9">
        <v>16.294438679194609</v>
      </c>
      <c r="AD201" s="9">
        <v>76.561667589204063</v>
      </c>
      <c r="AE201" s="9">
        <v>74.067030286082939</v>
      </c>
      <c r="AF201" s="9">
        <v>88.48828843951847</v>
      </c>
      <c r="AG201" s="9">
        <v>1032.3536768541821</v>
      </c>
      <c r="AH201" s="9">
        <v>42016.812458818167</v>
      </c>
      <c r="AI201" s="9">
        <v>4351.6036408670298</v>
      </c>
      <c r="AJ201" s="9">
        <v>47656.181201533378</v>
      </c>
      <c r="AK201" s="9">
        <v>63047597.265695937</v>
      </c>
      <c r="AL201" s="9">
        <v>60090283.694706239</v>
      </c>
    </row>
    <row r="202" spans="1:38" x14ac:dyDescent="0.25">
      <c r="A202" s="9">
        <v>200</v>
      </c>
      <c r="B202" s="9">
        <v>61</v>
      </c>
      <c r="C202" s="9">
        <v>1.0516666666666667E-3</v>
      </c>
      <c r="D202" s="9">
        <v>2.9576282995300534</v>
      </c>
      <c r="E202" s="9">
        <v>13.969016071543036</v>
      </c>
      <c r="F202" s="9">
        <v>13.543874040834536</v>
      </c>
      <c r="G202" s="9">
        <v>17.335647175227017</v>
      </c>
      <c r="H202" s="9">
        <v>63.511429997263456</v>
      </c>
      <c r="I202" s="9">
        <v>4985.9104284440773</v>
      </c>
      <c r="J202" s="9">
        <v>3167.0948566723969</v>
      </c>
      <c r="K202" s="9">
        <v>1296.832712899281</v>
      </c>
      <c r="L202" s="9">
        <v>3505.8937444274666</v>
      </c>
      <c r="M202" s="9">
        <v>2.5616786124886266</v>
      </c>
      <c r="N202" s="9">
        <v>615.29269967602897</v>
      </c>
      <c r="O202" s="9">
        <v>28.949683805011592</v>
      </c>
      <c r="P202" s="9">
        <v>1.9413892309884089</v>
      </c>
      <c r="Q202" s="9">
        <v>28.949683805011592</v>
      </c>
      <c r="R202" s="9">
        <v>124.72144569132408</v>
      </c>
      <c r="S202" s="9">
        <v>54.577695579754348</v>
      </c>
      <c r="T202" s="9">
        <v>519.44876948003036</v>
      </c>
      <c r="U202" s="9">
        <v>756.01460029764996</v>
      </c>
      <c r="V202" s="9">
        <v>954.59766504308845</v>
      </c>
      <c r="W202" s="9">
        <v>106482.86492146402</v>
      </c>
      <c r="X202" s="9">
        <v>106900.42483909109</v>
      </c>
      <c r="Y202" s="9">
        <v>417.55991762709652</v>
      </c>
      <c r="Z202" s="9">
        <v>147980.46159513519</v>
      </c>
      <c r="AA202" s="9">
        <v>148596.82452636849</v>
      </c>
      <c r="AB202" s="9">
        <v>616.36293123330802</v>
      </c>
      <c r="AC202" s="9">
        <v>16.109215471440358</v>
      </c>
      <c r="AD202" s="9">
        <v>76.084574203004394</v>
      </c>
      <c r="AE202" s="9">
        <v>73.768967275745439</v>
      </c>
      <c r="AF202" s="9">
        <v>88.223997749259482</v>
      </c>
      <c r="AG202" s="9">
        <v>1029.5202802556407</v>
      </c>
      <c r="AH202" s="9">
        <v>41958.877434777816</v>
      </c>
      <c r="AI202" s="9">
        <v>4344.1116796705473</v>
      </c>
      <c r="AJ202" s="9">
        <v>47586.696149403455</v>
      </c>
      <c r="AK202" s="9">
        <v>63095183.961845338</v>
      </c>
      <c r="AL202" s="9">
        <v>60111000.623864911</v>
      </c>
    </row>
    <row r="203" spans="1:38" x14ac:dyDescent="0.25">
      <c r="A203" s="9">
        <v>201</v>
      </c>
      <c r="B203" s="9">
        <v>61</v>
      </c>
      <c r="C203" s="9">
        <v>1.0516666666666667E-3</v>
      </c>
      <c r="D203" s="9">
        <v>2.9240081539227556</v>
      </c>
      <c r="E203" s="9">
        <v>13.881809773069035</v>
      </c>
      <c r="F203" s="9">
        <v>13.489141502497297</v>
      </c>
      <c r="G203" s="9">
        <v>17.283720767178409</v>
      </c>
      <c r="H203" s="9">
        <v>63.337073570087192</v>
      </c>
      <c r="I203" s="9">
        <v>4986.087637683735</v>
      </c>
      <c r="J203" s="9">
        <v>3163.764128581463</v>
      </c>
      <c r="K203" s="9">
        <v>1295.4688771628819</v>
      </c>
      <c r="L203" s="9">
        <v>3498.3966888868808</v>
      </c>
      <c r="M203" s="9">
        <v>2.5560729123645265</v>
      </c>
      <c r="N203" s="9">
        <v>617.84877258839344</v>
      </c>
      <c r="O203" s="9">
        <v>28.887969596631155</v>
      </c>
      <c r="P203" s="9">
        <v>1.9373321993688448</v>
      </c>
      <c r="Q203" s="9">
        <v>28.887969596631155</v>
      </c>
      <c r="R203" s="9">
        <v>124.56934234107101</v>
      </c>
      <c r="S203" s="9">
        <v>54.483352269167526</v>
      </c>
      <c r="T203" s="9">
        <v>521.88667727400241</v>
      </c>
      <c r="U203" s="9">
        <v>760.19854958524888</v>
      </c>
      <c r="V203" s="9">
        <v>963.3153378107055</v>
      </c>
      <c r="W203" s="9">
        <v>106482.86492146402</v>
      </c>
      <c r="X203" s="9">
        <v>106900.42483909109</v>
      </c>
      <c r="Y203" s="9">
        <v>417.55991762709652</v>
      </c>
      <c r="Z203" s="9">
        <v>147980.46159513519</v>
      </c>
      <c r="AA203" s="9">
        <v>148596.82452636849</v>
      </c>
      <c r="AB203" s="9">
        <v>616.36293123330802</v>
      </c>
      <c r="AC203" s="9">
        <v>15.926097745032608</v>
      </c>
      <c r="AD203" s="9">
        <v>75.609590563982678</v>
      </c>
      <c r="AE203" s="9">
        <v>73.470857383601938</v>
      </c>
      <c r="AF203" s="9">
        <v>87.959735604298785</v>
      </c>
      <c r="AG203" s="9">
        <v>1026.6939625711134</v>
      </c>
      <c r="AH203" s="9">
        <v>41900.495975843325</v>
      </c>
      <c r="AI203" s="9">
        <v>4336.6024238643895</v>
      </c>
      <c r="AJ203" s="9">
        <v>47516.758643575748</v>
      </c>
      <c r="AK203" s="9">
        <v>63142700.720488913</v>
      </c>
      <c r="AL203" s="9">
        <v>60131601.26961682</v>
      </c>
    </row>
    <row r="204" spans="1:38" x14ac:dyDescent="0.25">
      <c r="A204" s="9">
        <v>202</v>
      </c>
      <c r="B204" s="9">
        <v>61</v>
      </c>
      <c r="C204" s="9">
        <v>1.0516666666666667E-3</v>
      </c>
      <c r="D204" s="9">
        <v>2.8907701774307704</v>
      </c>
      <c r="E204" s="9">
        <v>13.79499154456577</v>
      </c>
      <c r="F204" s="9">
        <v>13.434403313772547</v>
      </c>
      <c r="G204" s="9">
        <v>17.231799813719576</v>
      </c>
      <c r="H204" s="9">
        <v>63.163151483338041</v>
      </c>
      <c r="I204" s="9">
        <v>4986.2643161189071</v>
      </c>
      <c r="J204" s="9">
        <v>3160.436903306238</v>
      </c>
      <c r="K204" s="9">
        <v>1294.1064757270656</v>
      </c>
      <c r="L204" s="9">
        <v>3490.915665161825</v>
      </c>
      <c r="M204" s="9">
        <v>2.550479407792952</v>
      </c>
      <c r="N204" s="9">
        <v>620.39925199618642</v>
      </c>
      <c r="O204" s="9">
        <v>28.826161027593329</v>
      </c>
      <c r="P204" s="9">
        <v>1.933283631406671</v>
      </c>
      <c r="Q204" s="9">
        <v>28.826161027593329</v>
      </c>
      <c r="R204" s="9">
        <v>124.4157385824403</v>
      </c>
      <c r="S204" s="9">
        <v>54.38879941252268</v>
      </c>
      <c r="T204" s="9">
        <v>524.31999825845924</v>
      </c>
      <c r="U204" s="9">
        <v>764.37569807751527</v>
      </c>
      <c r="V204" s="9">
        <v>972.01944237246153</v>
      </c>
      <c r="W204" s="9">
        <v>106482.86492146402</v>
      </c>
      <c r="X204" s="9">
        <v>106900.42483909109</v>
      </c>
      <c r="Y204" s="9">
        <v>417.55991762709652</v>
      </c>
      <c r="Z204" s="9">
        <v>147980.46159513519</v>
      </c>
      <c r="AA204" s="9">
        <v>148596.82452636849</v>
      </c>
      <c r="AB204" s="9">
        <v>616.36293123330802</v>
      </c>
      <c r="AC204" s="9">
        <v>15.745061566406262</v>
      </c>
      <c r="AD204" s="9">
        <v>75.136720612734891</v>
      </c>
      <c r="AE204" s="9">
        <v>73.172716715681133</v>
      </c>
      <c r="AF204" s="9">
        <v>87.695501218654542</v>
      </c>
      <c r="AG204" s="9">
        <v>1023.8746855449097</v>
      </c>
      <c r="AH204" s="9">
        <v>41841.679075855616</v>
      </c>
      <c r="AI204" s="9">
        <v>4329.0764892397428</v>
      </c>
      <c r="AJ204" s="9">
        <v>47446.380250753748</v>
      </c>
      <c r="AK204" s="9">
        <v>63190147.100739665</v>
      </c>
      <c r="AL204" s="9">
        <v>60152086.049928032</v>
      </c>
    </row>
    <row r="205" spans="1:38" x14ac:dyDescent="0.25">
      <c r="A205" s="9">
        <v>203</v>
      </c>
      <c r="B205" s="9">
        <v>61</v>
      </c>
      <c r="C205" s="9">
        <v>1.0516666666666667E-3</v>
      </c>
      <c r="D205" s="9">
        <v>2.8579100258363663</v>
      </c>
      <c r="E205" s="9">
        <v>13.708562058095632</v>
      </c>
      <c r="F205" s="9">
        <v>13.37966240259605</v>
      </c>
      <c r="G205" s="9">
        <v>17.179884193483087</v>
      </c>
      <c r="H205" s="9">
        <v>62.989661388495406</v>
      </c>
      <c r="I205" s="9">
        <v>4986.4404638053511</v>
      </c>
      <c r="J205" s="9">
        <v>3157.1131771629275</v>
      </c>
      <c r="K205" s="9">
        <v>1292.745507083426</v>
      </c>
      <c r="L205" s="9">
        <v>3483.4506389696253</v>
      </c>
      <c r="M205" s="9">
        <v>2.5448980679747586</v>
      </c>
      <c r="N205" s="9">
        <v>622.94415006416114</v>
      </c>
      <c r="O205" s="9">
        <v>28.764264038735632</v>
      </c>
      <c r="P205" s="9">
        <v>1.9292435062643682</v>
      </c>
      <c r="Q205" s="9">
        <v>28.764264038735632</v>
      </c>
      <c r="R205" s="9">
        <v>124.26066799431872</v>
      </c>
      <c r="S205" s="9">
        <v>54.294044605901817</v>
      </c>
      <c r="T205" s="9">
        <v>526.74873030713684</v>
      </c>
      <c r="U205" s="9">
        <v>768.54601992720688</v>
      </c>
      <c r="V205" s="9">
        <v>980.7100001497555</v>
      </c>
      <c r="W205" s="9">
        <v>106482.86492146402</v>
      </c>
      <c r="X205" s="9">
        <v>106900.42483909109</v>
      </c>
      <c r="Y205" s="9">
        <v>417.55991762709652</v>
      </c>
      <c r="Z205" s="9">
        <v>147980.46159513519</v>
      </c>
      <c r="AA205" s="9">
        <v>148596.82452636849</v>
      </c>
      <c r="AB205" s="9">
        <v>616.36293123330802</v>
      </c>
      <c r="AC205" s="9">
        <v>15.566083274055408</v>
      </c>
      <c r="AD205" s="9">
        <v>74.665968009760874</v>
      </c>
      <c r="AE205" s="9">
        <v>72.874561219473151</v>
      </c>
      <c r="AF205" s="9">
        <v>87.431293974667668</v>
      </c>
      <c r="AG205" s="9">
        <v>1021.0624111075106</v>
      </c>
      <c r="AH205" s="9">
        <v>41782.437525411944</v>
      </c>
      <c r="AI205" s="9">
        <v>4321.5344804067554</v>
      </c>
      <c r="AJ205" s="9">
        <v>47375.572323404165</v>
      </c>
      <c r="AK205" s="9">
        <v>63237522.67306307</v>
      </c>
      <c r="AL205" s="9">
        <v>60172455.386969008</v>
      </c>
    </row>
    <row r="206" spans="1:38" x14ac:dyDescent="0.25">
      <c r="A206" s="9">
        <v>204</v>
      </c>
      <c r="B206" s="9">
        <v>62</v>
      </c>
      <c r="C206" s="9">
        <v>1.0516666666666667E-3</v>
      </c>
      <c r="D206" s="9">
        <v>2.8254234043036868</v>
      </c>
      <c r="E206" s="9">
        <v>13.622521935244377</v>
      </c>
      <c r="F206" s="9">
        <v>13.324921667755884</v>
      </c>
      <c r="G206" s="9">
        <v>17.127973817494905</v>
      </c>
      <c r="H206" s="9">
        <v>62.816600948798204</v>
      </c>
      <c r="I206" s="9">
        <v>4986.6160807975848</v>
      </c>
      <c r="J206" s="9">
        <v>3153.7929464716112</v>
      </c>
      <c r="K206" s="9">
        <v>1291.3859697251432</v>
      </c>
      <c r="L206" s="9">
        <v>3476.001576100919</v>
      </c>
      <c r="M206" s="9">
        <v>2.5393288621979719</v>
      </c>
      <c r="N206" s="9">
        <v>625.48347892635911</v>
      </c>
      <c r="O206" s="9">
        <v>28.7053603377535</v>
      </c>
      <c r="P206" s="9">
        <v>1.9221358852465014</v>
      </c>
      <c r="Q206" s="9">
        <v>28.7053603377535</v>
      </c>
      <c r="R206" s="9">
        <v>124.10108765435668</v>
      </c>
      <c r="S206" s="9">
        <v>54.199095307119038</v>
      </c>
      <c r="T206" s="9">
        <v>529.17287150794027</v>
      </c>
      <c r="U206" s="9">
        <v>772.70949006090314</v>
      </c>
      <c r="V206" s="9">
        <v>989.38703256864164</v>
      </c>
      <c r="W206" s="9">
        <v>110237.13217703461</v>
      </c>
      <c r="X206" s="9">
        <v>110674.30333912754</v>
      </c>
      <c r="Y206" s="9">
        <v>437.17116209294471</v>
      </c>
      <c r="Z206" s="9">
        <v>156175.55618531464</v>
      </c>
      <c r="AA206" s="9">
        <v>156834.728003739</v>
      </c>
      <c r="AB206" s="9">
        <v>659.17181842435389</v>
      </c>
      <c r="AC206" s="9">
        <v>15.389139475440746</v>
      </c>
      <c r="AD206" s="9">
        <v>74.197336140631037</v>
      </c>
      <c r="AE206" s="9">
        <v>72.576406683710374</v>
      </c>
      <c r="AF206" s="9">
        <v>87.167113419534473</v>
      </c>
      <c r="AG206" s="9">
        <v>1018.257101380019</v>
      </c>
      <c r="AH206" s="9">
        <v>41722.781914592408</v>
      </c>
      <c r="AI206" s="9">
        <v>4313.9769909701399</v>
      </c>
      <c r="AJ206" s="9">
        <v>47304.346002661885</v>
      </c>
      <c r="AK206" s="9">
        <v>63284827.01906573</v>
      </c>
      <c r="AL206" s="9">
        <v>60192709.7069382</v>
      </c>
    </row>
    <row r="207" spans="1:38" x14ac:dyDescent="0.25">
      <c r="A207" s="9">
        <v>205</v>
      </c>
      <c r="B207" s="9">
        <v>62</v>
      </c>
      <c r="C207" s="9">
        <v>1.1566666666666667E-3</v>
      </c>
      <c r="D207" s="9">
        <v>2.7930093973599623</v>
      </c>
      <c r="E207" s="9">
        <v>13.535441383252694</v>
      </c>
      <c r="F207" s="9">
        <v>13.268784862084559</v>
      </c>
      <c r="G207" s="9">
        <v>17.074270191249504</v>
      </c>
      <c r="H207" s="9">
        <v>62.637372096411291</v>
      </c>
      <c r="I207" s="9">
        <v>4986.7911671492166</v>
      </c>
      <c r="J207" s="9">
        <v>3150.145059296859</v>
      </c>
      <c r="K207" s="9">
        <v>1289.8922666201611</v>
      </c>
      <c r="L207" s="9">
        <v>3468.2034622540059</v>
      </c>
      <c r="M207" s="9">
        <v>2.5337717598385914</v>
      </c>
      <c r="N207" s="9">
        <v>628.01725068619771</v>
      </c>
      <c r="O207" s="9">
        <v>28.643286862536492</v>
      </c>
      <c r="P207" s="9">
        <v>1.9181190114635061</v>
      </c>
      <c r="Q207" s="9">
        <v>28.643286862536492</v>
      </c>
      <c r="R207" s="9">
        <v>123.92713324663241</v>
      </c>
      <c r="S207" s="9">
        <v>54.098267932875842</v>
      </c>
      <c r="T207" s="9">
        <v>531.59242015869052</v>
      </c>
      <c r="U207" s="9">
        <v>776.86610493285673</v>
      </c>
      <c r="V207" s="9">
        <v>998.91554092413355</v>
      </c>
      <c r="W207" s="9">
        <v>110237.13217703461</v>
      </c>
      <c r="X207" s="9">
        <v>110674.30333912754</v>
      </c>
      <c r="Y207" s="9">
        <v>437.17116209294471</v>
      </c>
      <c r="Z207" s="9">
        <v>156175.55618531464</v>
      </c>
      <c r="AA207" s="9">
        <v>156834.728003739</v>
      </c>
      <c r="AB207" s="9">
        <v>659.17181842435389</v>
      </c>
      <c r="AC207" s="9">
        <v>15.212591184287261</v>
      </c>
      <c r="AD207" s="9">
        <v>73.723037400782999</v>
      </c>
      <c r="AE207" s="9">
        <v>72.270648215487228</v>
      </c>
      <c r="AF207" s="9">
        <v>86.893806714967255</v>
      </c>
      <c r="AG207" s="9">
        <v>1015.351801682827</v>
      </c>
      <c r="AH207" s="9">
        <v>41658.336074674509</v>
      </c>
      <c r="AI207" s="9">
        <v>4305.9516361172527</v>
      </c>
      <c r="AJ207" s="9">
        <v>47227.739595990111</v>
      </c>
      <c r="AK207" s="9">
        <v>63332054.758661717</v>
      </c>
      <c r="AL207" s="9">
        <v>60212847.319593474</v>
      </c>
    </row>
    <row r="208" spans="1:38" x14ac:dyDescent="0.25">
      <c r="A208" s="9">
        <v>206</v>
      </c>
      <c r="B208" s="9">
        <v>62</v>
      </c>
      <c r="C208" s="9">
        <v>1.1566666666666667E-3</v>
      </c>
      <c r="D208" s="9">
        <v>2.7609672525040749</v>
      </c>
      <c r="E208" s="9">
        <v>13.44876942707452</v>
      </c>
      <c r="F208" s="9">
        <v>13.212665584580794</v>
      </c>
      <c r="G208" s="9">
        <v>17.020582814721166</v>
      </c>
      <c r="H208" s="9">
        <v>62.458605207487977</v>
      </c>
      <c r="I208" s="9">
        <v>4986.9657045292015</v>
      </c>
      <c r="J208" s="9">
        <v>3146.5013915116056</v>
      </c>
      <c r="K208" s="9">
        <v>1288.4002912317703</v>
      </c>
      <c r="L208" s="9">
        <v>3460.4228428121551</v>
      </c>
      <c r="M208" s="9">
        <v>2.5279606843265805</v>
      </c>
      <c r="N208" s="9">
        <v>630.54521137052427</v>
      </c>
      <c r="O208" s="9">
        <v>28.581064972153584</v>
      </c>
      <c r="P208" s="9">
        <v>1.9139218898464181</v>
      </c>
      <c r="Q208" s="9">
        <v>28.581064972153584</v>
      </c>
      <c r="R208" s="9">
        <v>123.75191420885442</v>
      </c>
      <c r="S208" s="9">
        <v>53.997281030621878</v>
      </c>
      <c r="T208" s="9">
        <v>534.0071205888371</v>
      </c>
      <c r="U208" s="9">
        <v>781.01540379334222</v>
      </c>
      <c r="V208" s="9">
        <v>1008.4282201537595</v>
      </c>
      <c r="W208" s="9">
        <v>110237.13217703461</v>
      </c>
      <c r="X208" s="9">
        <v>110674.30333912754</v>
      </c>
      <c r="Y208" s="9">
        <v>437.17116209294471</v>
      </c>
      <c r="Z208" s="9">
        <v>156175.55618531464</v>
      </c>
      <c r="AA208" s="9">
        <v>156834.728003739</v>
      </c>
      <c r="AB208" s="9">
        <v>659.17181842435389</v>
      </c>
      <c r="AC208" s="9">
        <v>15.038068301972194</v>
      </c>
      <c r="AD208" s="9">
        <v>73.250964146132546</v>
      </c>
      <c r="AE208" s="9">
        <v>71.964985217350048</v>
      </c>
      <c r="AF208" s="9">
        <v>86.620582707918459</v>
      </c>
      <c r="AG208" s="9">
        <v>1012.4539904133802</v>
      </c>
      <c r="AH208" s="9">
        <v>41593.504412179696</v>
      </c>
      <c r="AI208" s="9">
        <v>4297.9135836323485</v>
      </c>
      <c r="AJ208" s="9">
        <v>47150.746586598798</v>
      </c>
      <c r="AK208" s="9">
        <v>63379205.505248316</v>
      </c>
      <c r="AL208" s="9">
        <v>60232868.680573881</v>
      </c>
    </row>
    <row r="209" spans="1:38" x14ac:dyDescent="0.25">
      <c r="A209" s="9">
        <v>207</v>
      </c>
      <c r="B209" s="9">
        <v>62</v>
      </c>
      <c r="C209" s="9">
        <v>1.1566666666666667E-3</v>
      </c>
      <c r="D209" s="9">
        <v>2.729292703635489</v>
      </c>
      <c r="E209" s="9">
        <v>13.362506416576561</v>
      </c>
      <c r="F209" s="9">
        <v>13.156566642741845</v>
      </c>
      <c r="G209" s="9">
        <v>16.966911688738477</v>
      </c>
      <c r="H209" s="9">
        <v>62.280297842445421</v>
      </c>
      <c r="I209" s="9">
        <v>4987.1396931036488</v>
      </c>
      <c r="J209" s="9">
        <v>3142.8619382354236</v>
      </c>
      <c r="K209" s="9">
        <v>1286.910041561579</v>
      </c>
      <c r="L209" s="9">
        <v>3452.6596785281567</v>
      </c>
      <c r="M209" s="9">
        <v>2.5221628436419903</v>
      </c>
      <c r="N209" s="9">
        <v>633.06737421416631</v>
      </c>
      <c r="O209" s="9">
        <v>28.518702252293899</v>
      </c>
      <c r="P209" s="9">
        <v>1.909733921706102</v>
      </c>
      <c r="Q209" s="9">
        <v>28.518702252293899</v>
      </c>
      <c r="R209" s="9">
        <v>123.57546101340142</v>
      </c>
      <c r="S209" s="9">
        <v>53.896141599072287</v>
      </c>
      <c r="T209" s="9">
        <v>536.41697237869516</v>
      </c>
      <c r="U209" s="9">
        <v>785.157364488182</v>
      </c>
      <c r="V209" s="9">
        <v>1017.9250970287281</v>
      </c>
      <c r="W209" s="9">
        <v>110237.13217703461</v>
      </c>
      <c r="X209" s="9">
        <v>110674.30333912754</v>
      </c>
      <c r="Y209" s="9">
        <v>437.17116209294471</v>
      </c>
      <c r="Z209" s="9">
        <v>156175.55618531464</v>
      </c>
      <c r="AA209" s="9">
        <v>156834.728003739</v>
      </c>
      <c r="AB209" s="9">
        <v>659.17181842435389</v>
      </c>
      <c r="AC209" s="9">
        <v>14.865547592467962</v>
      </c>
      <c r="AD209" s="9">
        <v>72.781118282286997</v>
      </c>
      <c r="AE209" s="9">
        <v>71.659432980800574</v>
      </c>
      <c r="AF209" s="9">
        <v>86.3474414026049</v>
      </c>
      <c r="AG209" s="9">
        <v>1009.5636280260403</v>
      </c>
      <c r="AH209" s="9">
        <v>41528.297318609671</v>
      </c>
      <c r="AI209" s="9">
        <v>4289.8633905781589</v>
      </c>
      <c r="AJ209" s="9">
        <v>47073.377877472034</v>
      </c>
      <c r="AK209" s="9">
        <v>63426278.883125789</v>
      </c>
      <c r="AL209" s="9">
        <v>60252774.249038249</v>
      </c>
    </row>
    <row r="210" spans="1:38" x14ac:dyDescent="0.25">
      <c r="A210" s="9">
        <v>208</v>
      </c>
      <c r="B210" s="9">
        <v>62</v>
      </c>
      <c r="C210" s="9">
        <v>1.1566666666666667E-3</v>
      </c>
      <c r="D210" s="9">
        <v>2.6979815335955069</v>
      </c>
      <c r="E210" s="9">
        <v>13.276652654633102</v>
      </c>
      <c r="F210" s="9">
        <v>13.100490813649072</v>
      </c>
      <c r="G210" s="9">
        <v>16.913256843869512</v>
      </c>
      <c r="H210" s="9">
        <v>62.102447575469661</v>
      </c>
      <c r="I210" s="9">
        <v>4987.313133038675</v>
      </c>
      <c r="J210" s="9">
        <v>3139.2266945935312</v>
      </c>
      <c r="K210" s="9">
        <v>1285.421515613506</v>
      </c>
      <c r="L210" s="9">
        <v>3444.9139302428493</v>
      </c>
      <c r="M210" s="9">
        <v>2.5163782034495799</v>
      </c>
      <c r="N210" s="9">
        <v>635.58375241761587</v>
      </c>
      <c r="O210" s="9">
        <v>28.456206097099678</v>
      </c>
      <c r="P210" s="9">
        <v>1.9055550839003219</v>
      </c>
      <c r="Q210" s="9">
        <v>28.456206097099678</v>
      </c>
      <c r="R210" s="9">
        <v>123.39780359581215</v>
      </c>
      <c r="S210" s="9">
        <v>53.794856514922671</v>
      </c>
      <c r="T210" s="9">
        <v>538.82197531201564</v>
      </c>
      <c r="U210" s="9">
        <v>789.29196560664127</v>
      </c>
      <c r="V210" s="9">
        <v>1027.4061983149079</v>
      </c>
      <c r="W210" s="9">
        <v>110237.13217703461</v>
      </c>
      <c r="X210" s="9">
        <v>110674.30333912754</v>
      </c>
      <c r="Y210" s="9">
        <v>437.17116209294471</v>
      </c>
      <c r="Z210" s="9">
        <v>156175.55618531464</v>
      </c>
      <c r="AA210" s="9">
        <v>156834.728003739</v>
      </c>
      <c r="AB210" s="9">
        <v>659.17181842435389</v>
      </c>
      <c r="AC210" s="9">
        <v>14.695006086316861</v>
      </c>
      <c r="AD210" s="9">
        <v>72.313501458901627</v>
      </c>
      <c r="AE210" s="9">
        <v>71.354006631675276</v>
      </c>
      <c r="AF210" s="9">
        <v>86.074382954592579</v>
      </c>
      <c r="AG210" s="9">
        <v>1006.6806751983632</v>
      </c>
      <c r="AH210" s="9">
        <v>41462.724986584959</v>
      </c>
      <c r="AI210" s="9">
        <v>4281.8016043052703</v>
      </c>
      <c r="AJ210" s="9">
        <v>46995.64416322008</v>
      </c>
      <c r="AK210" s="9">
        <v>63473274.527289011</v>
      </c>
      <c r="AL210" s="9">
        <v>60272564.487499297</v>
      </c>
    </row>
    <row r="211" spans="1:38" x14ac:dyDescent="0.25">
      <c r="A211" s="9">
        <v>209</v>
      </c>
      <c r="B211" s="9">
        <v>62</v>
      </c>
      <c r="C211" s="9">
        <v>1.1566666666666667E-3</v>
      </c>
      <c r="D211" s="9">
        <v>2.6670295736057943</v>
      </c>
      <c r="E211" s="9">
        <v>13.191208398031808</v>
      </c>
      <c r="F211" s="9">
        <v>13.044440843978833</v>
      </c>
      <c r="G211" s="9">
        <v>16.859618339761141</v>
      </c>
      <c r="H211" s="9">
        <v>61.925051994741928</v>
      </c>
      <c r="I211" s="9">
        <v>4987.4860245007094</v>
      </c>
      <c r="J211" s="9">
        <v>3135.5956557167847</v>
      </c>
      <c r="K211" s="9">
        <v>1283.9347113937797</v>
      </c>
      <c r="L211" s="9">
        <v>3437.1855588849212</v>
      </c>
      <c r="M211" s="9">
        <v>2.5106067295185923</v>
      </c>
      <c r="N211" s="9">
        <v>638.09435914713447</v>
      </c>
      <c r="O211" s="9">
        <v>28.39358371765363</v>
      </c>
      <c r="P211" s="9">
        <v>1.9013853533463716</v>
      </c>
      <c r="Q211" s="9">
        <v>28.39358371765363</v>
      </c>
      <c r="R211" s="9">
        <v>123.21897136389475</v>
      </c>
      <c r="S211" s="9">
        <v>53.693432534314148</v>
      </c>
      <c r="T211" s="9">
        <v>541.22212937177642</v>
      </c>
      <c r="U211" s="9">
        <v>793.41918646742681</v>
      </c>
      <c r="V211" s="9">
        <v>1036.8715507719726</v>
      </c>
      <c r="W211" s="9">
        <v>110237.13217703461</v>
      </c>
      <c r="X211" s="9">
        <v>110674.30333912754</v>
      </c>
      <c r="Y211" s="9">
        <v>437.17116209294471</v>
      </c>
      <c r="Z211" s="9">
        <v>156175.55618531464</v>
      </c>
      <c r="AA211" s="9">
        <v>156834.728003739</v>
      </c>
      <c r="AB211" s="9">
        <v>659.17181842435389</v>
      </c>
      <c r="AC211" s="9">
        <v>14.526421077572891</v>
      </c>
      <c r="AD211" s="9">
        <v>71.848115074613247</v>
      </c>
      <c r="AE211" s="9">
        <v>71.048721130204711</v>
      </c>
      <c r="AF211" s="9">
        <v>85.801407667434404</v>
      </c>
      <c r="AG211" s="9">
        <v>1003.8050928347667</v>
      </c>
      <c r="AH211" s="9">
        <v>41396.797414649576</v>
      </c>
      <c r="AI211" s="9">
        <v>4273.728762568735</v>
      </c>
      <c r="AJ211" s="9">
        <v>46917.5559350029</v>
      </c>
      <c r="AK211" s="9">
        <v>63520192.083224013</v>
      </c>
      <c r="AL211" s="9">
        <v>60292239.861662477</v>
      </c>
    </row>
    <row r="212" spans="1:38" x14ac:dyDescent="0.25">
      <c r="A212" s="9">
        <v>210</v>
      </c>
      <c r="B212" s="9">
        <v>62</v>
      </c>
      <c r="C212" s="9">
        <v>1.1566666666666667E-3</v>
      </c>
      <c r="D212" s="9">
        <v>2.6364327027133476</v>
      </c>
      <c r="E212" s="9">
        <v>13.106173858366002</v>
      </c>
      <c r="F212" s="9">
        <v>12.988419450019929</v>
      </c>
      <c r="G212" s="9">
        <v>16.805996264485959</v>
      </c>
      <c r="H212" s="9">
        <v>61.748108702656978</v>
      </c>
      <c r="I212" s="9">
        <v>4987.6583676567916</v>
      </c>
      <c r="J212" s="9">
        <v>3131.9688167416721</v>
      </c>
      <c r="K212" s="9">
        <v>1282.4496269109343</v>
      </c>
      <c r="L212" s="9">
        <v>3429.4745254707141</v>
      </c>
      <c r="M212" s="9">
        <v>2.504848387723372</v>
      </c>
      <c r="N212" s="9">
        <v>640.5992075348579</v>
      </c>
      <c r="O212" s="9">
        <v>28.330842140978181</v>
      </c>
      <c r="P212" s="9">
        <v>1.8972247070218196</v>
      </c>
      <c r="Q212" s="9">
        <v>28.330842140978181</v>
      </c>
      <c r="R212" s="9">
        <v>123.03899320668354</v>
      </c>
      <c r="S212" s="9">
        <v>53.591876294333453</v>
      </c>
      <c r="T212" s="9">
        <v>543.61743473607623</v>
      </c>
      <c r="U212" s="9">
        <v>797.53900710498363</v>
      </c>
      <c r="V212" s="9">
        <v>1046.3211811525666</v>
      </c>
      <c r="W212" s="9">
        <v>110237.13217703461</v>
      </c>
      <c r="X212" s="9">
        <v>110674.30333912754</v>
      </c>
      <c r="Y212" s="9">
        <v>437.17116209294471</v>
      </c>
      <c r="Z212" s="9">
        <v>156175.55618531464</v>
      </c>
      <c r="AA212" s="9">
        <v>156834.728003739</v>
      </c>
      <c r="AB212" s="9">
        <v>659.17181842435389</v>
      </c>
      <c r="AC212" s="9">
        <v>14.359770120778698</v>
      </c>
      <c r="AD212" s="9">
        <v>71.384960281900149</v>
      </c>
      <c r="AE212" s="9">
        <v>70.743591271108542</v>
      </c>
      <c r="AF212" s="9">
        <v>85.528515989346459</v>
      </c>
      <c r="AG212" s="9">
        <v>1000.9368420700697</v>
      </c>
      <c r="AH212" s="9">
        <v>41330.524409443387</v>
      </c>
      <c r="AI212" s="9">
        <v>4265.6453936474709</v>
      </c>
      <c r="AJ212" s="9">
        <v>46839.123482824063</v>
      </c>
      <c r="AK212" s="9">
        <v>63567031.206706837</v>
      </c>
      <c r="AL212" s="9">
        <v>60311800.840268336</v>
      </c>
    </row>
    <row r="213" spans="1:38" x14ac:dyDescent="0.25">
      <c r="A213" s="9">
        <v>211</v>
      </c>
      <c r="B213" s="9">
        <v>62</v>
      </c>
      <c r="C213" s="9">
        <v>1.1566666666666667E-3</v>
      </c>
      <c r="D213" s="9">
        <v>2.6061868472418297</v>
      </c>
      <c r="E213" s="9">
        <v>13.021549202913612</v>
      </c>
      <c r="F213" s="9">
        <v>12.93242931769743</v>
      </c>
      <c r="G213" s="9">
        <v>16.752390733896846</v>
      </c>
      <c r="H213" s="9">
        <v>61.571615316033494</v>
      </c>
      <c r="I213" s="9">
        <v>4987.8301626748616</v>
      </c>
      <c r="J213" s="9">
        <v>3128.3461728103075</v>
      </c>
      <c r="K213" s="9">
        <v>1280.9662601758073</v>
      </c>
      <c r="L213" s="9">
        <v>3421.7807911040259</v>
      </c>
      <c r="M213" s="9">
        <v>2.4991031440439548</v>
      </c>
      <c r="N213" s="9">
        <v>643.09831067890184</v>
      </c>
      <c r="O213" s="9">
        <v>28.26798821803477</v>
      </c>
      <c r="P213" s="9">
        <v>1.8930731219652297</v>
      </c>
      <c r="Q213" s="9">
        <v>28.26798821803477</v>
      </c>
      <c r="R213" s="9">
        <v>122.85789750324533</v>
      </c>
      <c r="S213" s="9">
        <v>53.490194314489976</v>
      </c>
      <c r="T213" s="9">
        <v>546.00789177407557</v>
      </c>
      <c r="U213" s="9">
        <v>801.65140825593051</v>
      </c>
      <c r="V213" s="9">
        <v>1055.7551162014834</v>
      </c>
      <c r="W213" s="9">
        <v>110237.13217703461</v>
      </c>
      <c r="X213" s="9">
        <v>110674.30333912754</v>
      </c>
      <c r="Y213" s="9">
        <v>437.17116209294471</v>
      </c>
      <c r="Z213" s="9">
        <v>156175.55618531464</v>
      </c>
      <c r="AA213" s="9">
        <v>156834.728003739</v>
      </c>
      <c r="AB213" s="9">
        <v>659.17181842435389</v>
      </c>
      <c r="AC213" s="9">
        <v>14.195031027977166</v>
      </c>
      <c r="AD213" s="9">
        <v>70.924037991869469</v>
      </c>
      <c r="AE213" s="9">
        <v>70.438631683725333</v>
      </c>
      <c r="AF213" s="9">
        <v>85.255708509923366</v>
      </c>
      <c r="AG213" s="9">
        <v>998.07588427290295</v>
      </c>
      <c r="AH213" s="9">
        <v>41263.915590290722</v>
      </c>
      <c r="AI213" s="9">
        <v>4257.5520164618292</v>
      </c>
      <c r="AJ213" s="9">
        <v>46760.356900238949</v>
      </c>
      <c r="AK213" s="9">
        <v>63613791.563607074</v>
      </c>
      <c r="AL213" s="9">
        <v>60331247.894939393</v>
      </c>
    </row>
    <row r="214" spans="1:38" x14ac:dyDescent="0.25">
      <c r="A214" s="9">
        <v>212</v>
      </c>
      <c r="B214" s="9">
        <v>62</v>
      </c>
      <c r="C214" s="9">
        <v>1.1566666666666667E-3</v>
      </c>
      <c r="D214" s="9">
        <v>2.5762879802491994</v>
      </c>
      <c r="E214" s="9">
        <v>12.937334555502948</v>
      </c>
      <c r="F214" s="9">
        <v>12.876473102602693</v>
      </c>
      <c r="G214" s="9">
        <v>16.698801890989106</v>
      </c>
      <c r="H214" s="9">
        <v>61.395569466316687</v>
      </c>
      <c r="I214" s="9">
        <v>4988.0014097240428</v>
      </c>
      <c r="J214" s="9">
        <v>3124.7277190704235</v>
      </c>
      <c r="K214" s="9">
        <v>1279.4846092015373</v>
      </c>
      <c r="L214" s="9">
        <v>3414.1043169759155</v>
      </c>
      <c r="M214" s="9">
        <v>2.4933709645666329</v>
      </c>
      <c r="N214" s="9">
        <v>645.59168164346852</v>
      </c>
      <c r="O214" s="9">
        <v>28.205028627723138</v>
      </c>
      <c r="P214" s="9">
        <v>1.8889305752768635</v>
      </c>
      <c r="Q214" s="9">
        <v>28.205028627723138</v>
      </c>
      <c r="R214" s="9">
        <v>122.67571213133805</v>
      </c>
      <c r="S214" s="9">
        <v>53.388392998222628</v>
      </c>
      <c r="T214" s="9">
        <v>548.39350104203572</v>
      </c>
      <c r="U214" s="9">
        <v>805.75637134578278</v>
      </c>
      <c r="V214" s="9">
        <v>1065.1733826548621</v>
      </c>
      <c r="W214" s="9">
        <v>110237.13217703461</v>
      </c>
      <c r="X214" s="9">
        <v>110674.30333912754</v>
      </c>
      <c r="Y214" s="9">
        <v>437.17116209294471</v>
      </c>
      <c r="Z214" s="9">
        <v>156175.55618531464</v>
      </c>
      <c r="AA214" s="9">
        <v>156834.728003739</v>
      </c>
      <c r="AB214" s="9">
        <v>659.17181842435389</v>
      </c>
      <c r="AC214" s="9">
        <v>14.032181865757305</v>
      </c>
      <c r="AD214" s="9">
        <v>70.465348878972719</v>
      </c>
      <c r="AE214" s="9">
        <v>70.133856832175994</v>
      </c>
      <c r="AF214" s="9">
        <v>84.982985956892051</v>
      </c>
      <c r="AG214" s="9">
        <v>995.22218104899355</v>
      </c>
      <c r="AH214" s="9">
        <v>41196.980392656602</v>
      </c>
      <c r="AI214" s="9">
        <v>4249.4491406935304</v>
      </c>
      <c r="AJ214" s="9">
        <v>46681.266087932927</v>
      </c>
      <c r="AK214" s="9">
        <v>63660472.829695009</v>
      </c>
      <c r="AL214" s="9">
        <v>60350581.500030965</v>
      </c>
    </row>
    <row r="215" spans="1:38" x14ac:dyDescent="0.25">
      <c r="A215" s="9">
        <v>213</v>
      </c>
      <c r="B215" s="9">
        <v>62</v>
      </c>
      <c r="C215" s="9">
        <v>1.1566666666666667E-3</v>
      </c>
      <c r="D215" s="9">
        <v>2.546732120991563</v>
      </c>
      <c r="E215" s="9">
        <v>12.853529997365509</v>
      </c>
      <c r="F215" s="9">
        <v>12.820553430029426</v>
      </c>
      <c r="G215" s="9">
        <v>16.645229905270199</v>
      </c>
      <c r="H215" s="9">
        <v>61.219968799773277</v>
      </c>
      <c r="I215" s="9">
        <v>4988.1721089749208</v>
      </c>
      <c r="J215" s="9">
        <v>3121.1134506753656</v>
      </c>
      <c r="K215" s="9">
        <v>1278.0046720035609</v>
      </c>
      <c r="L215" s="9">
        <v>3406.4450643645055</v>
      </c>
      <c r="M215" s="9">
        <v>2.4876518154844938</v>
      </c>
      <c r="N215" s="9">
        <v>648.07933345895299</v>
      </c>
      <c r="O215" s="9">
        <v>28.141969878880644</v>
      </c>
      <c r="P215" s="9">
        <v>1.8847970441193544</v>
      </c>
      <c r="Q215" s="9">
        <v>28.141969878880644</v>
      </c>
      <c r="R215" s="9">
        <v>122.49246447592415</v>
      </c>
      <c r="S215" s="9">
        <v>53.286478634410884</v>
      </c>
      <c r="T215" s="9">
        <v>550.77426327943238</v>
      </c>
      <c r="U215" s="9">
        <v>809.85387847589436</v>
      </c>
      <c r="V215" s="9">
        <v>1074.576007239403</v>
      </c>
      <c r="W215" s="9">
        <v>110237.13217703461</v>
      </c>
      <c r="X215" s="9">
        <v>110674.30333912754</v>
      </c>
      <c r="Y215" s="9">
        <v>437.17116209294471</v>
      </c>
      <c r="Z215" s="9">
        <v>156175.55618531464</v>
      </c>
      <c r="AA215" s="9">
        <v>156834.728003739</v>
      </c>
      <c r="AB215" s="9">
        <v>659.17181842435389</v>
      </c>
      <c r="AC215" s="9">
        <v>13.871200952334046</v>
      </c>
      <c r="AD215" s="9">
        <v>70.008893385650808</v>
      </c>
      <c r="AE215" s="9">
        <v>69.829281015560269</v>
      </c>
      <c r="AF215" s="9">
        <v>84.710349192904246</v>
      </c>
      <c r="AG215" s="9">
        <v>992.3756942443249</v>
      </c>
      <c r="AH215" s="9">
        <v>41129.728071017089</v>
      </c>
      <c r="AI215" s="9">
        <v>4241.3372669059345</v>
      </c>
      <c r="AJ215" s="9">
        <v>46601.860756713795</v>
      </c>
      <c r="AK215" s="9">
        <v>63707074.690451719</v>
      </c>
      <c r="AL215" s="9">
        <v>60369802.132485628</v>
      </c>
    </row>
    <row r="216" spans="1:38" x14ac:dyDescent="0.25">
      <c r="A216" s="9">
        <v>214</v>
      </c>
      <c r="B216" s="9">
        <v>62</v>
      </c>
      <c r="C216" s="9">
        <v>1.1566666666666667E-3</v>
      </c>
      <c r="D216" s="9">
        <v>2.5175153343931767</v>
      </c>
      <c r="E216" s="9">
        <v>12.770135567975975</v>
      </c>
      <c r="F216" s="9">
        <v>12.764672895015602</v>
      </c>
      <c r="G216" s="9">
        <v>16.591674972137024</v>
      </c>
      <c r="H216" s="9">
        <v>61.044810977678893</v>
      </c>
      <c r="I216" s="9">
        <v>4988.3422605998139</v>
      </c>
      <c r="J216" s="9">
        <v>3117.5033627840844</v>
      </c>
      <c r="K216" s="9">
        <v>1276.5264465996102</v>
      </c>
      <c r="L216" s="9">
        <v>3398.8029946347883</v>
      </c>
      <c r="M216" s="9">
        <v>2.4819456630979362</v>
      </c>
      <c r="N216" s="9">
        <v>650.56127912205091</v>
      </c>
      <c r="O216" s="9">
        <v>28.078818317281634</v>
      </c>
      <c r="P216" s="9">
        <v>1.8806725057183669</v>
      </c>
      <c r="Q216" s="9">
        <v>28.078818317281634</v>
      </c>
      <c r="R216" s="9">
        <v>122.30818143754107</v>
      </c>
      <c r="S216" s="9">
        <v>53.184457398877171</v>
      </c>
      <c r="T216" s="9">
        <v>553.15017940513087</v>
      </c>
      <c r="U216" s="9">
        <v>813.94391241058599</v>
      </c>
      <c r="V216" s="9">
        <v>1083.963016671594</v>
      </c>
      <c r="W216" s="9">
        <v>110237.13217703461</v>
      </c>
      <c r="X216" s="9">
        <v>110674.30333912754</v>
      </c>
      <c r="Y216" s="9">
        <v>437.17116209294471</v>
      </c>
      <c r="Z216" s="9">
        <v>156175.55618531464</v>
      </c>
      <c r="AA216" s="9">
        <v>156834.728003739</v>
      </c>
      <c r="AB216" s="9">
        <v>659.17181842435389</v>
      </c>
      <c r="AC216" s="9">
        <v>13.712066854661501</v>
      </c>
      <c r="AD216" s="9">
        <v>69.554671726909135</v>
      </c>
      <c r="AE216" s="9">
        <v>69.52491836818497</v>
      </c>
      <c r="AF216" s="9">
        <v>84.437799212367338</v>
      </c>
      <c r="AG216" s="9">
        <v>989.53638594817494</v>
      </c>
      <c r="AH216" s="9">
        <v>41062.167703055973</v>
      </c>
      <c r="AI216" s="9">
        <v>4233.2168866636284</v>
      </c>
      <c r="AJ216" s="9">
        <v>46522.150431829898</v>
      </c>
      <c r="AK216" s="9">
        <v>63753596.840883546</v>
      </c>
      <c r="AL216" s="9">
        <v>60388910.271691814</v>
      </c>
    </row>
    <row r="217" spans="1:38" x14ac:dyDescent="0.25">
      <c r="A217" s="9">
        <v>215</v>
      </c>
      <c r="B217" s="9">
        <v>62</v>
      </c>
      <c r="C217" s="9">
        <v>1.1566666666666667E-3</v>
      </c>
      <c r="D217" s="9">
        <v>2.4886337305225297</v>
      </c>
      <c r="E217" s="9">
        <v>12.687151265879569</v>
      </c>
      <c r="F217" s="9">
        <v>12.708834062391093</v>
      </c>
      <c r="G217" s="9">
        <v>16.538137312260719</v>
      </c>
      <c r="H217" s="9">
        <v>60.870093676498058</v>
      </c>
      <c r="I217" s="9">
        <v>4988.5118647730387</v>
      </c>
      <c r="J217" s="9">
        <v>3113.8974505611309</v>
      </c>
      <c r="K217" s="9">
        <v>1275.04993100971</v>
      </c>
      <c r="L217" s="9">
        <v>3391.1780692384305</v>
      </c>
      <c r="M217" s="9">
        <v>2.476252473815157</v>
      </c>
      <c r="N217" s="9">
        <v>653.03753159586608</v>
      </c>
      <c r="O217" s="9">
        <v>28.015580126636774</v>
      </c>
      <c r="P217" s="9">
        <v>1.8765569373632276</v>
      </c>
      <c r="Q217" s="9">
        <v>28.015580126636774</v>
      </c>
      <c r="R217" s="9">
        <v>122.12288944053121</v>
      </c>
      <c r="S217" s="9">
        <v>53.0823353559095</v>
      </c>
      <c r="T217" s="9">
        <v>555.52125051365124</v>
      </c>
      <c r="U217" s="9">
        <v>818.02645656453979</v>
      </c>
      <c r="V217" s="9">
        <v>1093.3344376569573</v>
      </c>
      <c r="W217" s="9">
        <v>110237.13217703461</v>
      </c>
      <c r="X217" s="9">
        <v>110674.30333912754</v>
      </c>
      <c r="Y217" s="9">
        <v>437.17116209294471</v>
      </c>
      <c r="Z217" s="9">
        <v>156175.55618531464</v>
      </c>
      <c r="AA217" s="9">
        <v>156834.728003739</v>
      </c>
      <c r="AB217" s="9">
        <v>659.17181842435389</v>
      </c>
      <c r="AC217" s="9">
        <v>13.554758385579378</v>
      </c>
      <c r="AD217" s="9">
        <v>69.102683894824054</v>
      </c>
      <c r="AE217" s="9">
        <v>69.220782859823487</v>
      </c>
      <c r="AF217" s="9">
        <v>84.165337138313504</v>
      </c>
      <c r="AG217" s="9">
        <v>986.7042184960336</v>
      </c>
      <c r="AH217" s="9">
        <v>40994.30819218477</v>
      </c>
      <c r="AI217" s="9">
        <v>4225.0884826536167</v>
      </c>
      <c r="AJ217" s="9">
        <v>46442.144455612957</v>
      </c>
      <c r="AK217" s="9">
        <v>63800038.985339157</v>
      </c>
      <c r="AL217" s="9">
        <v>60407906.399345785</v>
      </c>
    </row>
    <row r="218" spans="1:38" x14ac:dyDescent="0.25">
      <c r="A218" s="9">
        <v>216</v>
      </c>
      <c r="B218" s="9">
        <v>63</v>
      </c>
      <c r="C218" s="9">
        <v>1.1566666666666667E-3</v>
      </c>
      <c r="D218" s="9">
        <v>2.460083464074438</v>
      </c>
      <c r="E218" s="9">
        <v>12.604577049506952</v>
      </c>
      <c r="F218" s="9">
        <v>12.653039466830828</v>
      </c>
      <c r="G218" s="9">
        <v>16.484617170978982</v>
      </c>
      <c r="H218" s="9">
        <v>60.695814588056891</v>
      </c>
      <c r="I218" s="9">
        <v>4988.6809216711654</v>
      </c>
      <c r="J218" s="9">
        <v>3110.2957091766484</v>
      </c>
      <c r="K218" s="9">
        <v>1273.5751232561754</v>
      </c>
      <c r="L218" s="9">
        <v>3383.5702497135785</v>
      </c>
      <c r="M218" s="9">
        <v>2.4705722141526185</v>
      </c>
      <c r="N218" s="9">
        <v>655.50810381001872</v>
      </c>
      <c r="O218" s="9">
        <v>27.955460888958829</v>
      </c>
      <c r="P218" s="9">
        <v>1.8692507620411711</v>
      </c>
      <c r="Q218" s="9">
        <v>27.955460888958829</v>
      </c>
      <c r="R218" s="9">
        <v>121.93341488676752</v>
      </c>
      <c r="S218" s="9">
        <v>52.980118459767411</v>
      </c>
      <c r="T218" s="9">
        <v>557.8874778714877</v>
      </c>
      <c r="U218" s="9">
        <v>822.10149499036106</v>
      </c>
      <c r="V218" s="9">
        <v>1102.6902968893094</v>
      </c>
      <c r="W218" s="9">
        <v>113742.02114398842</v>
      </c>
      <c r="X218" s="9">
        <v>114197.48993209889</v>
      </c>
      <c r="Y218" s="9">
        <v>455.46878811049248</v>
      </c>
      <c r="Z218" s="9">
        <v>164208.82589943148</v>
      </c>
      <c r="AA218" s="9">
        <v>164909.93621186033</v>
      </c>
      <c r="AB218" s="9">
        <v>701.11031242884621</v>
      </c>
      <c r="AC218" s="9">
        <v>13.399254600992105</v>
      </c>
      <c r="AD218" s="9">
        <v>68.652929662981194</v>
      </c>
      <c r="AE218" s="9">
        <v>68.91688829600524</v>
      </c>
      <c r="AF218" s="9">
        <v>83.892964219307203</v>
      </c>
      <c r="AG218" s="9">
        <v>983.87915447240221</v>
      </c>
      <c r="AH218" s="9">
        <v>40926.158271390246</v>
      </c>
      <c r="AI218" s="9">
        <v>4216.9525288051873</v>
      </c>
      <c r="AJ218" s="9">
        <v>46361.851991447118</v>
      </c>
      <c r="AK218" s="9">
        <v>63846400.837330602</v>
      </c>
      <c r="AL218" s="9">
        <v>60426790.999317467</v>
      </c>
    </row>
    <row r="219" spans="1:38" x14ac:dyDescent="0.25">
      <c r="A219" s="9">
        <v>217</v>
      </c>
      <c r="B219" s="9">
        <v>63</v>
      </c>
      <c r="C219" s="9">
        <v>1.2716666666666666E-3</v>
      </c>
      <c r="D219" s="9">
        <v>2.4315778242597101</v>
      </c>
      <c r="E219" s="9">
        <v>12.520963311616137</v>
      </c>
      <c r="F219" s="9">
        <v>12.595836513374671</v>
      </c>
      <c r="G219" s="9">
        <v>16.429219086721197</v>
      </c>
      <c r="H219" s="9">
        <v>60.514991401030969</v>
      </c>
      <c r="I219" s="9">
        <v>4988.8494314732743</v>
      </c>
      <c r="J219" s="9">
        <v>3106.3404497998122</v>
      </c>
      <c r="K219" s="9">
        <v>1271.9555602244345</v>
      </c>
      <c r="L219" s="9">
        <v>3375.5903871059477</v>
      </c>
      <c r="M219" s="9">
        <v>2.4649048507354889</v>
      </c>
      <c r="N219" s="9">
        <v>657.9730086607542</v>
      </c>
      <c r="O219" s="9">
        <v>27.891969504147617</v>
      </c>
      <c r="P219" s="9">
        <v>1.8651600678523839</v>
      </c>
      <c r="Q219" s="9">
        <v>27.891969504147617</v>
      </c>
      <c r="R219" s="9">
        <v>121.72902142344742</v>
      </c>
      <c r="S219" s="9">
        <v>52.871719842577598</v>
      </c>
      <c r="T219" s="9">
        <v>560.24886291351061</v>
      </c>
      <c r="U219" s="9">
        <v>826.16903396954615</v>
      </c>
      <c r="V219" s="9">
        <v>1112.9592699939703</v>
      </c>
      <c r="W219" s="9">
        <v>113742.02114398842</v>
      </c>
      <c r="X219" s="9">
        <v>114197.48993209889</v>
      </c>
      <c r="Y219" s="9">
        <v>455.46878811049248</v>
      </c>
      <c r="Z219" s="9">
        <v>164208.82589943148</v>
      </c>
      <c r="AA219" s="9">
        <v>164909.93621186033</v>
      </c>
      <c r="AB219" s="9">
        <v>701.11031242884621</v>
      </c>
      <c r="AC219" s="9">
        <v>13.24399388280122</v>
      </c>
      <c r="AD219" s="9">
        <v>68.197513503935895</v>
      </c>
      <c r="AE219" s="9">
        <v>68.605322876180708</v>
      </c>
      <c r="AF219" s="9">
        <v>83.611034135505292</v>
      </c>
      <c r="AG219" s="9">
        <v>980.948010610712</v>
      </c>
      <c r="AH219" s="9">
        <v>40853.014099506974</v>
      </c>
      <c r="AI219" s="9">
        <v>4208.324540869964</v>
      </c>
      <c r="AJ219" s="9">
        <v>46275.944515386072</v>
      </c>
      <c r="AK219" s="9">
        <v>63892676.781845987</v>
      </c>
      <c r="AL219" s="9">
        <v>60445562.392409377</v>
      </c>
    </row>
    <row r="220" spans="1:38" x14ac:dyDescent="0.25">
      <c r="A220" s="9">
        <v>218</v>
      </c>
      <c r="B220" s="9">
        <v>63</v>
      </c>
      <c r="C220" s="9">
        <v>1.2716666666666666E-3</v>
      </c>
      <c r="D220" s="9">
        <v>2.4034024868567148</v>
      </c>
      <c r="E220" s="9">
        <v>12.437778523629218</v>
      </c>
      <c r="F220" s="9">
        <v>12.538695765450099</v>
      </c>
      <c r="G220" s="9">
        <v>16.373851606889989</v>
      </c>
      <c r="H220" s="9">
        <v>60.334642643767523</v>
      </c>
      <c r="I220" s="9">
        <v>4989.0173749825708</v>
      </c>
      <c r="J220" s="9">
        <v>3102.3902201944834</v>
      </c>
      <c r="K220" s="9">
        <v>1270.3380567370157</v>
      </c>
      <c r="L220" s="9">
        <v>3367.6293443254631</v>
      </c>
      <c r="M220" s="9">
        <v>2.4589668862402267</v>
      </c>
      <c r="N220" s="9">
        <v>660.43197554699441</v>
      </c>
      <c r="O220" s="9">
        <v>27.828324121053519</v>
      </c>
      <c r="P220" s="9">
        <v>1.8608824189464825</v>
      </c>
      <c r="Q220" s="9">
        <v>27.828324121053519</v>
      </c>
      <c r="R220" s="9">
        <v>121.52381944406048</v>
      </c>
      <c r="S220" s="9">
        <v>52.763262061328547</v>
      </c>
      <c r="T220" s="9">
        <v>562.60513555374666</v>
      </c>
      <c r="U220" s="9">
        <v>830.22859025708419</v>
      </c>
      <c r="V220" s="9">
        <v>1123.2100118340979</v>
      </c>
      <c r="W220" s="9">
        <v>113742.02114398842</v>
      </c>
      <c r="X220" s="9">
        <v>114197.48993209889</v>
      </c>
      <c r="Y220" s="9">
        <v>455.46878811049248</v>
      </c>
      <c r="Z220" s="9">
        <v>164208.82589943148</v>
      </c>
      <c r="AA220" s="9">
        <v>164909.93621186033</v>
      </c>
      <c r="AB220" s="9">
        <v>701.11031242884621</v>
      </c>
      <c r="AC220" s="9">
        <v>13.09053221174624</v>
      </c>
      <c r="AD220" s="9">
        <v>67.744433692033809</v>
      </c>
      <c r="AE220" s="9">
        <v>68.294096269151538</v>
      </c>
      <c r="AF220" s="9">
        <v>83.329259802730959</v>
      </c>
      <c r="AG220" s="9">
        <v>978.02455725547156</v>
      </c>
      <c r="AH220" s="9">
        <v>40779.607119497283</v>
      </c>
      <c r="AI220" s="9">
        <v>4199.6918437714457</v>
      </c>
      <c r="AJ220" s="9">
        <v>46189.781842499862</v>
      </c>
      <c r="AK220" s="9">
        <v>63938866.563688487</v>
      </c>
      <c r="AL220" s="9">
        <v>60464221.089866623</v>
      </c>
    </row>
    <row r="221" spans="1:38" x14ac:dyDescent="0.25">
      <c r="A221" s="9">
        <v>219</v>
      </c>
      <c r="B221" s="9">
        <v>63</v>
      </c>
      <c r="C221" s="9">
        <v>1.2716666666666666E-3</v>
      </c>
      <c r="D221" s="9">
        <v>2.3755536245637701</v>
      </c>
      <c r="E221" s="9">
        <v>12.355022383710928</v>
      </c>
      <c r="F221" s="9">
        <v>12.481619648428692</v>
      </c>
      <c r="G221" s="9">
        <v>16.318515038865574</v>
      </c>
      <c r="H221" s="9">
        <v>60.154765898545854</v>
      </c>
      <c r="I221" s="9">
        <v>4989.184752511901</v>
      </c>
      <c r="J221" s="9">
        <v>3098.4450139644696</v>
      </c>
      <c r="K221" s="9">
        <v>1268.7226101748652</v>
      </c>
      <c r="L221" s="9">
        <v>3359.6870769871634</v>
      </c>
      <c r="M221" s="9">
        <v>2.4530430847019447</v>
      </c>
      <c r="N221" s="9">
        <v>662.88501863169631</v>
      </c>
      <c r="O221" s="9">
        <v>27.764532813538256</v>
      </c>
      <c r="P221" s="9">
        <v>1.8566145124617419</v>
      </c>
      <c r="Q221" s="9">
        <v>27.764532813538256</v>
      </c>
      <c r="R221" s="9">
        <v>121.31783241382307</v>
      </c>
      <c r="S221" s="9">
        <v>52.654750658778795</v>
      </c>
      <c r="T221" s="9">
        <v>564.95629857689278</v>
      </c>
      <c r="U221" s="9">
        <v>834.28015064979354</v>
      </c>
      <c r="V221" s="9">
        <v>1133.4425557451068</v>
      </c>
      <c r="W221" s="9">
        <v>113742.02114398842</v>
      </c>
      <c r="X221" s="9">
        <v>114197.48993209889</v>
      </c>
      <c r="Y221" s="9">
        <v>455.46878811049248</v>
      </c>
      <c r="Z221" s="9">
        <v>164208.82589943148</v>
      </c>
      <c r="AA221" s="9">
        <v>164909.93621186033</v>
      </c>
      <c r="AB221" s="9">
        <v>701.11031242884621</v>
      </c>
      <c r="AC221" s="9">
        <v>12.938848741790666</v>
      </c>
      <c r="AD221" s="9">
        <v>67.293688583278851</v>
      </c>
      <c r="AE221" s="9">
        <v>67.983221685108276</v>
      </c>
      <c r="AF221" s="9">
        <v>83.047642785293377</v>
      </c>
      <c r="AG221" s="9">
        <v>975.10875521542835</v>
      </c>
      <c r="AH221" s="9">
        <v>40705.945942896164</v>
      </c>
      <c r="AI221" s="9">
        <v>4191.0548786854979</v>
      </c>
      <c r="AJ221" s="9">
        <v>46103.372978592561</v>
      </c>
      <c r="AK221" s="9">
        <v>63984969.936667077</v>
      </c>
      <c r="AL221" s="9">
        <v>60482767.604691342</v>
      </c>
    </row>
    <row r="222" spans="1:38" x14ac:dyDescent="0.25">
      <c r="A222" s="9">
        <v>220</v>
      </c>
      <c r="B222" s="9">
        <v>63</v>
      </c>
      <c r="C222" s="9">
        <v>1.2716666666666666E-3</v>
      </c>
      <c r="D222" s="9">
        <v>2.3480274544271551</v>
      </c>
      <c r="E222" s="9">
        <v>12.272694553155038</v>
      </c>
      <c r="F222" s="9">
        <v>12.424610556671832</v>
      </c>
      <c r="G222" s="9">
        <v>16.263209712194993</v>
      </c>
      <c r="H222" s="9">
        <v>59.975358764702513</v>
      </c>
      <c r="I222" s="9">
        <v>4989.3515643772535</v>
      </c>
      <c r="J222" s="9">
        <v>3094.5048247217114</v>
      </c>
      <c r="K222" s="9">
        <v>1267.1092179222594</v>
      </c>
      <c r="L222" s="9">
        <v>3351.7635408107653</v>
      </c>
      <c r="M222" s="9">
        <v>2.4471334084199654</v>
      </c>
      <c r="N222" s="9">
        <v>665.33215204011628</v>
      </c>
      <c r="O222" s="9">
        <v>27.700603450876695</v>
      </c>
      <c r="P222" s="9">
        <v>1.8523563231233047</v>
      </c>
      <c r="Q222" s="9">
        <v>27.700603450876695</v>
      </c>
      <c r="R222" s="9">
        <v>121.11108337440587</v>
      </c>
      <c r="S222" s="9">
        <v>52.546191082470173</v>
      </c>
      <c r="T222" s="9">
        <v>567.30235493081705</v>
      </c>
      <c r="U222" s="9">
        <v>838.32370256099955</v>
      </c>
      <c r="V222" s="9">
        <v>1143.65693503681</v>
      </c>
      <c r="W222" s="9">
        <v>113742.02114398842</v>
      </c>
      <c r="X222" s="9">
        <v>114197.48993209889</v>
      </c>
      <c r="Y222" s="9">
        <v>455.46878811049248</v>
      </c>
      <c r="Z222" s="9">
        <v>164208.82589943148</v>
      </c>
      <c r="AA222" s="9">
        <v>164909.93621186033</v>
      </c>
      <c r="AB222" s="9">
        <v>701.11031242884621</v>
      </c>
      <c r="AC222" s="9">
        <v>12.788922868446571</v>
      </c>
      <c r="AD222" s="9">
        <v>66.8452763328511</v>
      </c>
      <c r="AE222" s="9">
        <v>67.672712165339235</v>
      </c>
      <c r="AF222" s="9">
        <v>82.766184760312342</v>
      </c>
      <c r="AG222" s="9">
        <v>972.2005655758278</v>
      </c>
      <c r="AH222" s="9">
        <v>40632.039009731234</v>
      </c>
      <c r="AI222" s="9">
        <v>4182.414079209213</v>
      </c>
      <c r="AJ222" s="9">
        <v>46016.726750643225</v>
      </c>
      <c r="AK222" s="9">
        <v>64030986.663417719</v>
      </c>
      <c r="AL222" s="9">
        <v>60501202.451515846</v>
      </c>
    </row>
    <row r="223" spans="1:38" x14ac:dyDescent="0.25">
      <c r="A223" s="9">
        <v>221</v>
      </c>
      <c r="B223" s="9">
        <v>63</v>
      </c>
      <c r="C223" s="9">
        <v>1.2716666666666666E-3</v>
      </c>
      <c r="D223" s="9">
        <v>2.3208202373272364</v>
      </c>
      <c r="E223" s="9">
        <v>12.19079465716066</v>
      </c>
      <c r="F223" s="9">
        <v>12.367670853626787</v>
      </c>
      <c r="G223" s="9">
        <v>16.207935978008727</v>
      </c>
      <c r="H223" s="9">
        <v>59.796418858759701</v>
      </c>
      <c r="I223" s="9">
        <v>4989.5178108979844</v>
      </c>
      <c r="J223" s="9">
        <v>3090.5696460862737</v>
      </c>
      <c r="K223" s="9">
        <v>1265.4978773668015</v>
      </c>
      <c r="L223" s="9">
        <v>3343.8586916204167</v>
      </c>
      <c r="M223" s="9">
        <v>2.4412378198201066</v>
      </c>
      <c r="N223" s="9">
        <v>667.7733898599364</v>
      </c>
      <c r="O223" s="9">
        <v>27.636543705266774</v>
      </c>
      <c r="P223" s="9">
        <v>1.8481078257332262</v>
      </c>
      <c r="Q223" s="9">
        <v>27.636543705266774</v>
      </c>
      <c r="R223" s="9">
        <v>120.90359495119957</v>
      </c>
      <c r="S223" s="9">
        <v>52.437588685554886</v>
      </c>
      <c r="T223" s="9">
        <v>569.64330772294693</v>
      </c>
      <c r="U223" s="9">
        <v>842.3592340086484</v>
      </c>
      <c r="V223" s="9">
        <v>1153.8531829926667</v>
      </c>
      <c r="W223" s="9">
        <v>113742.02114398842</v>
      </c>
      <c r="X223" s="9">
        <v>114197.48993209889</v>
      </c>
      <c r="Y223" s="9">
        <v>455.46878811049248</v>
      </c>
      <c r="Z223" s="9">
        <v>164208.82589943148</v>
      </c>
      <c r="AA223" s="9">
        <v>164909.93621186033</v>
      </c>
      <c r="AB223" s="9">
        <v>701.11031242884621</v>
      </c>
      <c r="AC223" s="9">
        <v>12.640734225975681</v>
      </c>
      <c r="AD223" s="9">
        <v>66.399194899335058</v>
      </c>
      <c r="AE223" s="9">
        <v>67.362580582753893</v>
      </c>
      <c r="AF223" s="9">
        <v>82.484887514749417</v>
      </c>
      <c r="AG223" s="9">
        <v>969.29994970049484</v>
      </c>
      <c r="AH223" s="9">
        <v>40557.894592557095</v>
      </c>
      <c r="AI223" s="9">
        <v>4173.7698714267408</v>
      </c>
      <c r="AJ223" s="9">
        <v>45929.851810907145</v>
      </c>
      <c r="AK223" s="9">
        <v>64076916.515228629</v>
      </c>
      <c r="AL223" s="9">
        <v>60519526.146479517</v>
      </c>
    </row>
    <row r="224" spans="1:38" x14ac:dyDescent="0.25">
      <c r="A224" s="9">
        <v>222</v>
      </c>
      <c r="B224" s="9">
        <v>63</v>
      </c>
      <c r="C224" s="9">
        <v>1.2716666666666666E-3</v>
      </c>
      <c r="D224" s="9">
        <v>2.2939282774705525</v>
      </c>
      <c r="E224" s="9">
        <v>12.10932228559653</v>
      </c>
      <c r="F224" s="9">
        <v>12.310802871927397</v>
      </c>
      <c r="G224" s="9">
        <v>16.152694208445059</v>
      </c>
      <c r="H224" s="9">
        <v>59.617943814547004</v>
      </c>
      <c r="I224" s="9">
        <v>4989.68349239704</v>
      </c>
      <c r="J224" s="9">
        <v>3086.6394716863338</v>
      </c>
      <c r="K224" s="9">
        <v>1263.8885858994167</v>
      </c>
      <c r="L224" s="9">
        <v>3335.9724853444509</v>
      </c>
      <c r="M224" s="9">
        <v>2.4353562814549399</v>
      </c>
      <c r="N224" s="9">
        <v>670.20874614139132</v>
      </c>
      <c r="O224" s="9">
        <v>27.57236105282907</v>
      </c>
      <c r="P224" s="9">
        <v>1.8438689951709286</v>
      </c>
      <c r="Q224" s="9">
        <v>27.57236105282907</v>
      </c>
      <c r="R224" s="9">
        <v>120.69538936045764</v>
      </c>
      <c r="S224" s="9">
        <v>52.328948727670493</v>
      </c>
      <c r="T224" s="9">
        <v>571.97916021674416</v>
      </c>
      <c r="U224" s="9">
        <v>846.38673360365499</v>
      </c>
      <c r="V224" s="9">
        <v>1164.031332869049</v>
      </c>
      <c r="W224" s="9">
        <v>113742.02114398842</v>
      </c>
      <c r="X224" s="9">
        <v>114197.48993209889</v>
      </c>
      <c r="Y224" s="9">
        <v>455.46878811049248</v>
      </c>
      <c r="Z224" s="9">
        <v>164208.82589943148</v>
      </c>
      <c r="AA224" s="9">
        <v>164909.93621186033</v>
      </c>
      <c r="AB224" s="9">
        <v>701.11031242884621</v>
      </c>
      <c r="AC224" s="9">
        <v>12.494262684622942</v>
      </c>
      <c r="AD224" s="9">
        <v>65.955442048882432</v>
      </c>
      <c r="AE224" s="9">
        <v>67.052839642431223</v>
      </c>
      <c r="AF224" s="9">
        <v>82.203752942478303</v>
      </c>
      <c r="AG224" s="9">
        <v>966.40686923380702</v>
      </c>
      <c r="AH224" s="9">
        <v>40483.520798678517</v>
      </c>
      <c r="AI224" s="9">
        <v>4165.1226739789327</v>
      </c>
      <c r="AJ224" s="9">
        <v>45842.756639209671</v>
      </c>
      <c r="AK224" s="9">
        <v>64122759.271867841</v>
      </c>
      <c r="AL224" s="9">
        <v>60537739.207108639</v>
      </c>
    </row>
    <row r="225" spans="1:38" x14ac:dyDescent="0.25">
      <c r="A225" s="9">
        <v>223</v>
      </c>
      <c r="B225" s="9">
        <v>63</v>
      </c>
      <c r="C225" s="9">
        <v>1.2716666666666666E-3</v>
      </c>
      <c r="D225" s="9">
        <v>2.2673479218877808</v>
      </c>
      <c r="E225" s="9">
        <v>12.028276993753437</v>
      </c>
      <c r="F225" s="9">
        <v>12.254008913499186</v>
      </c>
      <c r="G225" s="9">
        <v>16.097484796082089</v>
      </c>
      <c r="H225" s="9">
        <v>59.439931283316525</v>
      </c>
      <c r="I225" s="9">
        <v>4989.8486092011708</v>
      </c>
      <c r="J225" s="9">
        <v>3082.7142951581727</v>
      </c>
      <c r="K225" s="9">
        <v>1262.281340914348</v>
      </c>
      <c r="L225" s="9">
        <v>3328.10487801514</v>
      </c>
      <c r="M225" s="9">
        <v>2.4294887560040306</v>
      </c>
      <c r="N225" s="9">
        <v>672.63823489739536</v>
      </c>
      <c r="O225" s="9">
        <v>27.508062780606366</v>
      </c>
      <c r="P225" s="9">
        <v>1.8396398063936361</v>
      </c>
      <c r="Q225" s="9">
        <v>27.508062780606366</v>
      </c>
      <c r="R225" s="9">
        <v>120.48648841631842</v>
      </c>
      <c r="S225" s="9">
        <v>52.220276375821818</v>
      </c>
      <c r="T225" s="9">
        <v>574.30991582822719</v>
      </c>
      <c r="U225" s="9">
        <v>850.40619053837736</v>
      </c>
      <c r="V225" s="9">
        <v>1174.1914178945201</v>
      </c>
      <c r="W225" s="9">
        <v>113742.02114398842</v>
      </c>
      <c r="X225" s="9">
        <v>114197.48993209889</v>
      </c>
      <c r="Y225" s="9">
        <v>455.46878811049248</v>
      </c>
      <c r="Z225" s="9">
        <v>164208.82589943148</v>
      </c>
      <c r="AA225" s="9">
        <v>164909.93621186033</v>
      </c>
      <c r="AB225" s="9">
        <v>701.11031242884621</v>
      </c>
      <c r="AC225" s="9">
        <v>12.349488347882112</v>
      </c>
      <c r="AD225" s="9">
        <v>65.514015359310378</v>
      </c>
      <c r="AE225" s="9">
        <v>66.743501882192234</v>
      </c>
      <c r="AF225" s="9">
        <v>81.922783041394425</v>
      </c>
      <c r="AG225" s="9">
        <v>963.52128610256091</v>
      </c>
      <c r="AH225" s="9">
        <v>40408.925573979002</v>
      </c>
      <c r="AI225" s="9">
        <v>4156.4728981335375</v>
      </c>
      <c r="AJ225" s="9">
        <v>45755.449546845877</v>
      </c>
      <c r="AK225" s="9">
        <v>64168514.721414685</v>
      </c>
      <c r="AL225" s="9">
        <v>60555842.15219979</v>
      </c>
    </row>
    <row r="226" spans="1:38" x14ac:dyDescent="0.25">
      <c r="A226" s="9">
        <v>224</v>
      </c>
      <c r="B226" s="9">
        <v>63</v>
      </c>
      <c r="C226" s="9">
        <v>1.2716666666666666E-3</v>
      </c>
      <c r="D226" s="9">
        <v>2.2410755599375238</v>
      </c>
      <c r="E226" s="9">
        <v>11.947658303084978</v>
      </c>
      <c r="F226" s="9">
        <v>12.197291249668794</v>
      </c>
      <c r="G226" s="9">
        <v>16.042308153377423</v>
      </c>
      <c r="H226" s="9">
        <v>59.262378933851537</v>
      </c>
      <c r="I226" s="9">
        <v>4990.013161641139</v>
      </c>
      <c r="J226" s="9">
        <v>3078.7941101461633</v>
      </c>
      <c r="K226" s="9">
        <v>1260.6761398091519</v>
      </c>
      <c r="L226" s="9">
        <v>3320.2558257684504</v>
      </c>
      <c r="M226" s="9">
        <v>2.4236352062741529</v>
      </c>
      <c r="N226" s="9">
        <v>675.06187010366955</v>
      </c>
      <c r="O226" s="9">
        <v>27.443655990563212</v>
      </c>
      <c r="P226" s="9">
        <v>1.8354202344367898</v>
      </c>
      <c r="Q226" s="9">
        <v>27.443655990563212</v>
      </c>
      <c r="R226" s="9">
        <v>120.27691353770827</v>
      </c>
      <c r="S226" s="9">
        <v>52.111576705303825</v>
      </c>
      <c r="T226" s="9">
        <v>576.63557812257568</v>
      </c>
      <c r="U226" s="9">
        <v>854.41759457531623</v>
      </c>
      <c r="V226" s="9">
        <v>1184.3334712691319</v>
      </c>
      <c r="W226" s="9">
        <v>113742.02114398842</v>
      </c>
      <c r="X226" s="9">
        <v>114197.48993209889</v>
      </c>
      <c r="Y226" s="9">
        <v>455.46878811049248</v>
      </c>
      <c r="Z226" s="9">
        <v>164208.82589943148</v>
      </c>
      <c r="AA226" s="9">
        <v>164909.93621186033</v>
      </c>
      <c r="AB226" s="9">
        <v>701.11031242884621</v>
      </c>
      <c r="AC226" s="9">
        <v>12.206391549793045</v>
      </c>
      <c r="AD226" s="9">
        <v>65.07491222413617</v>
      </c>
      <c r="AE226" s="9">
        <v>66.434579673196026</v>
      </c>
      <c r="AF226" s="9">
        <v>81.641979910563265</v>
      </c>
      <c r="AG226" s="9">
        <v>960.64316251773346</v>
      </c>
      <c r="AH226" s="9">
        <v>40334.116705897672</v>
      </c>
      <c r="AI226" s="9">
        <v>4147.8209478586577</v>
      </c>
      <c r="AJ226" s="9">
        <v>45667.938679631749</v>
      </c>
      <c r="AK226" s="9">
        <v>64214182.660094313</v>
      </c>
      <c r="AL226" s="9">
        <v>60573835.501706406</v>
      </c>
    </row>
    <row r="227" spans="1:38" x14ac:dyDescent="0.25">
      <c r="A227" s="9">
        <v>225</v>
      </c>
      <c r="B227" s="9">
        <v>63</v>
      </c>
      <c r="C227" s="9">
        <v>1.2716666666666666E-3</v>
      </c>
      <c r="D227" s="9">
        <v>2.2151076228158439</v>
      </c>
      <c r="E227" s="9">
        <v>11.867465701936784</v>
      </c>
      <c r="F227" s="9">
        <v>12.140652121277551</v>
      </c>
      <c r="G227" s="9">
        <v>15.987164712115439</v>
      </c>
      <c r="H227" s="9">
        <v>59.085284452568814</v>
      </c>
      <c r="I227" s="9">
        <v>4990.1771500519253</v>
      </c>
      <c r="J227" s="9">
        <v>3074.8789103027607</v>
      </c>
      <c r="K227" s="9">
        <v>1259.0729799846945</v>
      </c>
      <c r="L227" s="9">
        <v>3312.4252848437982</v>
      </c>
      <c r="M227" s="9">
        <v>2.4177955951994869</v>
      </c>
      <c r="N227" s="9">
        <v>677.47966569886898</v>
      </c>
      <c r="O227" s="9">
        <v>27.379147604585555</v>
      </c>
      <c r="P227" s="9">
        <v>1.8312102544144455</v>
      </c>
      <c r="Q227" s="9">
        <v>27.379147604585555</v>
      </c>
      <c r="R227" s="9">
        <v>120.06668575512811</v>
      </c>
      <c r="S227" s="9">
        <v>52.002854700645258</v>
      </c>
      <c r="T227" s="9">
        <v>578.95615081079904</v>
      </c>
      <c r="U227" s="9">
        <v>858.4209360359913</v>
      </c>
      <c r="V227" s="9">
        <v>1194.4575261637353</v>
      </c>
      <c r="W227" s="9">
        <v>113742.02114398842</v>
      </c>
      <c r="X227" s="9">
        <v>114197.48993209889</v>
      </c>
      <c r="Y227" s="9">
        <v>455.46878811049248</v>
      </c>
      <c r="Z227" s="9">
        <v>164208.82589943148</v>
      </c>
      <c r="AA227" s="9">
        <v>164909.93621186033</v>
      </c>
      <c r="AB227" s="9">
        <v>701.11031242884621</v>
      </c>
      <c r="AC227" s="9">
        <v>12.064952852270295</v>
      </c>
      <c r="AD227" s="9">
        <v>64.638129856549014</v>
      </c>
      <c r="AE227" s="9">
        <v>66.126085220558394</v>
      </c>
      <c r="AF227" s="9">
        <v>81.361345747407483</v>
      </c>
      <c r="AG227" s="9">
        <v>957.77246097614056</v>
      </c>
      <c r="AH227" s="9">
        <v>40259.10182664742</v>
      </c>
      <c r="AI227" s="9">
        <v>4139.1672198978595</v>
      </c>
      <c r="AJ227" s="9">
        <v>45580.232021198208</v>
      </c>
      <c r="AK227" s="9">
        <v>64259762.892115511</v>
      </c>
      <c r="AL227" s="9">
        <v>60591719.776628524</v>
      </c>
    </row>
    <row r="228" spans="1:38" x14ac:dyDescent="0.25">
      <c r="A228" s="9">
        <v>226</v>
      </c>
      <c r="B228" s="9">
        <v>63</v>
      </c>
      <c r="C228" s="9">
        <v>1.2716666666666666E-3</v>
      </c>
      <c r="D228" s="9">
        <v>2.1894405830714816</v>
      </c>
      <c r="E228" s="9">
        <v>11.787698646264378</v>
      </c>
      <c r="F228" s="9">
        <v>12.084093738799105</v>
      </c>
      <c r="G228" s="9">
        <v>15.932054922862116</v>
      </c>
      <c r="H228" s="9">
        <v>58.908645543614689</v>
      </c>
      <c r="I228" s="9">
        <v>4990.340574772923</v>
      </c>
      <c r="J228" s="9">
        <v>3070.9686892884924</v>
      </c>
      <c r="K228" s="9">
        <v>1257.4718588451474</v>
      </c>
      <c r="L228" s="9">
        <v>3304.613211583805</v>
      </c>
      <c r="M228" s="9">
        <v>2.4119698858417915</v>
      </c>
      <c r="N228" s="9">
        <v>679.8916355847108</v>
      </c>
      <c r="O228" s="9">
        <v>27.314544366480344</v>
      </c>
      <c r="P228" s="9">
        <v>1.8270098415196527</v>
      </c>
      <c r="Q228" s="9">
        <v>27.314544366480344</v>
      </c>
      <c r="R228" s="9">
        <v>119.85582571732505</v>
      </c>
      <c r="S228" s="9">
        <v>51.894115256577308</v>
      </c>
      <c r="T228" s="9">
        <v>581.27163774647386</v>
      </c>
      <c r="U228" s="9">
        <v>862.4162057900096</v>
      </c>
      <c r="V228" s="9">
        <v>1204.5636157193073</v>
      </c>
      <c r="W228" s="9">
        <v>113742.02114398842</v>
      </c>
      <c r="X228" s="9">
        <v>114197.48993209889</v>
      </c>
      <c r="Y228" s="9">
        <v>455.46878811049248</v>
      </c>
      <c r="Z228" s="9">
        <v>164208.82589943148</v>
      </c>
      <c r="AA228" s="9">
        <v>164909.93621186033</v>
      </c>
      <c r="AB228" s="9">
        <v>701.11031242884621</v>
      </c>
      <c r="AC228" s="9">
        <v>11.92515304246267</v>
      </c>
      <c r="AD228" s="9">
        <v>64.203665293319972</v>
      </c>
      <c r="AE228" s="9">
        <v>65.818030563992451</v>
      </c>
      <c r="AF228" s="9">
        <v>81.080882844932447</v>
      </c>
      <c r="AG228" s="9">
        <v>954.90914426199413</v>
      </c>
      <c r="AH228" s="9">
        <v>40183.888415582507</v>
      </c>
      <c r="AI228" s="9">
        <v>4130.5121038472707</v>
      </c>
      <c r="AJ228" s="9">
        <v>45492.33739543648</v>
      </c>
      <c r="AK228" s="9">
        <v>64305255.229510948</v>
      </c>
      <c r="AL228" s="9">
        <v>60609495.498905361</v>
      </c>
    </row>
    <row r="229" spans="1:38" x14ac:dyDescent="0.25">
      <c r="A229" s="9">
        <v>227</v>
      </c>
      <c r="B229" s="9">
        <v>63</v>
      </c>
      <c r="C229" s="9">
        <v>1.2716666666666666E-3</v>
      </c>
      <c r="D229" s="9">
        <v>2.1640709541266911</v>
      </c>
      <c r="E229" s="9">
        <v>11.708356560339828</v>
      </c>
      <c r="F229" s="9">
        <v>12.02761828246093</v>
      </c>
      <c r="G229" s="9">
        <v>15.876979254427381</v>
      </c>
      <c r="H229" s="9">
        <v>58.732459928955016</v>
      </c>
      <c r="I229" s="9">
        <v>4990.5034361481303</v>
      </c>
      <c r="J229" s="9">
        <v>3067.0634407719472</v>
      </c>
      <c r="K229" s="9">
        <v>1255.8727737979827</v>
      </c>
      <c r="L229" s="9">
        <v>3296.8195624340547</v>
      </c>
      <c r="M229" s="9">
        <v>2.4061580413905621</v>
      </c>
      <c r="N229" s="9">
        <v>682.29779362610134</v>
      </c>
      <c r="O229" s="9">
        <v>27.249852849975188</v>
      </c>
      <c r="P229" s="9">
        <v>1.8228189710248133</v>
      </c>
      <c r="Q229" s="9">
        <v>27.249852849975188</v>
      </c>
      <c r="R229" s="9">
        <v>119.64435369785122</v>
      </c>
      <c r="S229" s="9">
        <v>51.785363179007859</v>
      </c>
      <c r="T229" s="9">
        <v>583.58204292253197</v>
      </c>
      <c r="U229" s="9">
        <v>866.40339524427702</v>
      </c>
      <c r="V229" s="9">
        <v>1214.6517730462901</v>
      </c>
      <c r="W229" s="9">
        <v>113742.02114398842</v>
      </c>
      <c r="X229" s="9">
        <v>114197.48993209889</v>
      </c>
      <c r="Y229" s="9">
        <v>455.46878811049248</v>
      </c>
      <c r="Z229" s="9">
        <v>164208.82589943148</v>
      </c>
      <c r="AA229" s="9">
        <v>164909.93621186033</v>
      </c>
      <c r="AB229" s="9">
        <v>701.11031242884621</v>
      </c>
      <c r="AC229" s="9">
        <v>11.786973130143377</v>
      </c>
      <c r="AD229" s="9">
        <v>63.771515398650926</v>
      </c>
      <c r="AE229" s="9">
        <v>65.510427578470527</v>
      </c>
      <c r="AF229" s="9">
        <v>80.800593588990012</v>
      </c>
      <c r="AG229" s="9">
        <v>952.05317544836089</v>
      </c>
      <c r="AH229" s="9">
        <v>40108.48380317368</v>
      </c>
      <c r="AI229" s="9">
        <v>4121.8559822331308</v>
      </c>
      <c r="AJ229" s="9">
        <v>45404.262470551424</v>
      </c>
      <c r="AK229" s="9">
        <v>64350659.491981499</v>
      </c>
      <c r="AL229" s="9">
        <v>60627163.191311263</v>
      </c>
    </row>
    <row r="230" spans="1:38" x14ac:dyDescent="0.25">
      <c r="A230" s="9">
        <v>228</v>
      </c>
      <c r="B230" s="9">
        <v>64</v>
      </c>
      <c r="C230" s="9">
        <v>1.2716666666666666E-3</v>
      </c>
      <c r="D230" s="9">
        <v>2.1389952898036273</v>
      </c>
      <c r="E230" s="9">
        <v>11.629438837447351</v>
      </c>
      <c r="F230" s="9">
        <v>11.971227902369613</v>
      </c>
      <c r="G230" s="9">
        <v>15.821938193334915</v>
      </c>
      <c r="H230" s="9">
        <v>58.556725348459096</v>
      </c>
      <c r="I230" s="9">
        <v>4990.6657345263393</v>
      </c>
      <c r="J230" s="9">
        <v>3063.1631584297656</v>
      </c>
      <c r="K230" s="9">
        <v>1254.2757222539697</v>
      </c>
      <c r="L230" s="9">
        <v>3289.0442939428508</v>
      </c>
      <c r="M230" s="9">
        <v>2.4003600251631627</v>
      </c>
      <c r="N230" s="9">
        <v>684.69815365126453</v>
      </c>
      <c r="O230" s="9">
        <v>27.188488849373506</v>
      </c>
      <c r="P230" s="9">
        <v>1.8152282286264949</v>
      </c>
      <c r="Q230" s="9">
        <v>27.188488849373506</v>
      </c>
      <c r="R230" s="9">
        <v>119.42888021185601</v>
      </c>
      <c r="S230" s="9">
        <v>51.676603186035528</v>
      </c>
      <c r="T230" s="9">
        <v>585.88737046813389</v>
      </c>
      <c r="U230" s="9">
        <v>870.38249633245152</v>
      </c>
      <c r="V230" s="9">
        <v>1224.7220312239494</v>
      </c>
      <c r="W230" s="9">
        <v>117009.64013786378</v>
      </c>
      <c r="X230" s="9">
        <v>117482.13727546835</v>
      </c>
      <c r="Y230" s="9">
        <v>472.49713760457678</v>
      </c>
      <c r="Z230" s="9">
        <v>172072.74061846628</v>
      </c>
      <c r="AA230" s="9">
        <v>172814.83168430559</v>
      </c>
      <c r="AB230" s="9">
        <v>742.09106583932328</v>
      </c>
      <c r="AC230" s="9">
        <v>11.650394345130422</v>
      </c>
      <c r="AD230" s="9">
        <v>63.341676867963237</v>
      </c>
      <c r="AE230" s="9">
        <v>65.203287974906488</v>
      </c>
      <c r="AF230" s="9">
        <v>80.52048045558027</v>
      </c>
      <c r="AG230" s="9">
        <v>949.204517898522</v>
      </c>
      <c r="AH230" s="9">
        <v>40032.895173041645</v>
      </c>
      <c r="AI230" s="9">
        <v>4113.1992305924978</v>
      </c>
      <c r="AJ230" s="9">
        <v>45316.014761176244</v>
      </c>
      <c r="AK230" s="9">
        <v>64395975.506742679</v>
      </c>
      <c r="AL230" s="9">
        <v>60644723.377354257</v>
      </c>
    </row>
    <row r="231" spans="1:38" x14ac:dyDescent="0.25">
      <c r="A231" s="9">
        <v>229</v>
      </c>
      <c r="B231" s="9">
        <v>64</v>
      </c>
      <c r="C231" s="9">
        <v>1.3975000000000001E-3</v>
      </c>
      <c r="D231" s="9">
        <v>2.1139410269489227</v>
      </c>
      <c r="E231" s="9">
        <v>11.549481469514294</v>
      </c>
      <c r="F231" s="9">
        <v>11.913418339128734</v>
      </c>
      <c r="G231" s="9">
        <v>15.764941316076726</v>
      </c>
      <c r="H231" s="9">
        <v>58.374071172038029</v>
      </c>
      <c r="I231" s="9">
        <v>4990.8274702613144</v>
      </c>
      <c r="J231" s="9">
        <v>3058.8823879158599</v>
      </c>
      <c r="K231" s="9">
        <v>1252.5228719321196</v>
      </c>
      <c r="L231" s="9">
        <v>3280.8734913539856</v>
      </c>
      <c r="M231" s="9">
        <v>2.394575800604942</v>
      </c>
      <c r="N231" s="9">
        <v>687.09272945186945</v>
      </c>
      <c r="O231" s="9">
        <v>27.123539289970608</v>
      </c>
      <c r="P231" s="9">
        <v>1.8110641900293931</v>
      </c>
      <c r="Q231" s="9">
        <v>27.123539289970608</v>
      </c>
      <c r="R231" s="9">
        <v>119.19787174520613</v>
      </c>
      <c r="S231" s="9">
        <v>51.561337269725719</v>
      </c>
      <c r="T231" s="9">
        <v>588.1876246455854</v>
      </c>
      <c r="U231" s="9">
        <v>874.3535245244741</v>
      </c>
      <c r="V231" s="9">
        <v>1235.7691226466918</v>
      </c>
      <c r="W231" s="9">
        <v>117009.64013786378</v>
      </c>
      <c r="X231" s="9">
        <v>117482.13727546835</v>
      </c>
      <c r="Y231" s="9">
        <v>472.49713760457678</v>
      </c>
      <c r="Z231" s="9">
        <v>172072.74061846628</v>
      </c>
      <c r="AA231" s="9">
        <v>172814.83168430559</v>
      </c>
      <c r="AB231" s="9">
        <v>742.09106583932328</v>
      </c>
      <c r="AC231" s="9">
        <v>11.513932126781798</v>
      </c>
      <c r="AD231" s="9">
        <v>62.906175737287853</v>
      </c>
      <c r="AE231" s="9">
        <v>64.88841855378783</v>
      </c>
      <c r="AF231" s="9">
        <v>80.2304138477338</v>
      </c>
      <c r="AG231" s="9">
        <v>946.24369369873648</v>
      </c>
      <c r="AH231" s="9">
        <v>39952.085807081443</v>
      </c>
      <c r="AI231" s="9">
        <v>4104.0246399838188</v>
      </c>
      <c r="AJ231" s="9">
        <v>45221.893081029586</v>
      </c>
      <c r="AK231" s="9">
        <v>64441197.39982371</v>
      </c>
      <c r="AL231" s="9">
        <v>60662174.378264025</v>
      </c>
    </row>
    <row r="232" spans="1:38" x14ac:dyDescent="0.25">
      <c r="A232" s="9">
        <v>230</v>
      </c>
      <c r="B232" s="9">
        <v>64</v>
      </c>
      <c r="C232" s="9">
        <v>1.3975000000000001E-3</v>
      </c>
      <c r="D232" s="9">
        <v>2.089180227146795</v>
      </c>
      <c r="E232" s="9">
        <v>11.469967099409631</v>
      </c>
      <c r="F232" s="9">
        <v>11.855712421691788</v>
      </c>
      <c r="G232" s="9">
        <v>15.70799416395484</v>
      </c>
      <c r="H232" s="9">
        <v>58.191908604314918</v>
      </c>
      <c r="I232" s="9">
        <v>4990.9886233602228</v>
      </c>
      <c r="J232" s="9">
        <v>3054.6075997787475</v>
      </c>
      <c r="K232" s="9">
        <v>1250.7724712185945</v>
      </c>
      <c r="L232" s="9">
        <v>3272.7229870672959</v>
      </c>
      <c r="M232" s="9">
        <v>2.3885040138344209</v>
      </c>
      <c r="N232" s="9">
        <v>689.48123346570389</v>
      </c>
      <c r="O232" s="9">
        <v>27.058429888003854</v>
      </c>
      <c r="P232" s="9">
        <v>1.8067013299961443</v>
      </c>
      <c r="Q232" s="9">
        <v>27.058429888003854</v>
      </c>
      <c r="R232" s="9">
        <v>118.96645035150713</v>
      </c>
      <c r="S232" s="9">
        <v>51.446100670487731</v>
      </c>
      <c r="T232" s="9">
        <v>590.48252026397506</v>
      </c>
      <c r="U232" s="9">
        <v>878.31597226303722</v>
      </c>
      <c r="V232" s="9">
        <v>1246.7952262472725</v>
      </c>
      <c r="W232" s="9">
        <v>117009.64013786378</v>
      </c>
      <c r="X232" s="9">
        <v>117482.13727546835</v>
      </c>
      <c r="Y232" s="9">
        <v>472.49713760457678</v>
      </c>
      <c r="Z232" s="9">
        <v>172072.74061846628</v>
      </c>
      <c r="AA232" s="9">
        <v>172814.83168430559</v>
      </c>
      <c r="AB232" s="9">
        <v>742.09106583932328</v>
      </c>
      <c r="AC232" s="9">
        <v>11.379068303859542</v>
      </c>
      <c r="AD232" s="9">
        <v>62.473087468117789</v>
      </c>
      <c r="AE232" s="9">
        <v>64.574113656814603</v>
      </c>
      <c r="AF232" s="9">
        <v>79.940600299393509</v>
      </c>
      <c r="AG232" s="9">
        <v>943.29083847594484</v>
      </c>
      <c r="AH232" s="9">
        <v>39871.120050196885</v>
      </c>
      <c r="AI232" s="9">
        <v>4094.8523828674711</v>
      </c>
      <c r="AJ232" s="9">
        <v>45127.630141268484</v>
      </c>
      <c r="AK232" s="9">
        <v>64486325.029964976</v>
      </c>
      <c r="AL232" s="9">
        <v>60679516.743516162</v>
      </c>
    </row>
    <row r="233" spans="1:38" x14ac:dyDescent="0.25">
      <c r="A233" s="9">
        <v>231</v>
      </c>
      <c r="B233" s="9">
        <v>64</v>
      </c>
      <c r="C233" s="9">
        <v>1.3975000000000001E-3</v>
      </c>
      <c r="D233" s="9">
        <v>2.0647094530355568</v>
      </c>
      <c r="E233" s="9">
        <v>11.390894868062652</v>
      </c>
      <c r="F233" s="9">
        <v>11.798112174186157</v>
      </c>
      <c r="G233" s="9">
        <v>15.651097257431752</v>
      </c>
      <c r="H233" s="9">
        <v>58.010235262292035</v>
      </c>
      <c r="I233" s="9">
        <v>4991.1491943313677</v>
      </c>
      <c r="J233" s="9">
        <v>3050.3387856580566</v>
      </c>
      <c r="K233" s="9">
        <v>1249.0245166900665</v>
      </c>
      <c r="L233" s="9">
        <v>3264.5927306567592</v>
      </c>
      <c r="M233" s="9">
        <v>2.3824474361586554</v>
      </c>
      <c r="N233" s="9">
        <v>691.86368090186249</v>
      </c>
      <c r="O233" s="9">
        <v>26.993169258946093</v>
      </c>
      <c r="P233" s="9">
        <v>1.8023488760539068</v>
      </c>
      <c r="Q233" s="9">
        <v>26.993169258946093</v>
      </c>
      <c r="R233" s="9">
        <v>118.73463349734524</v>
      </c>
      <c r="S233" s="9">
        <v>51.33089772080352</v>
      </c>
      <c r="T233" s="9">
        <v>592.77206302615321</v>
      </c>
      <c r="U233" s="9">
        <v>882.26983415662824</v>
      </c>
      <c r="V233" s="9">
        <v>1257.8003833473563</v>
      </c>
      <c r="W233" s="9">
        <v>117009.64013786378</v>
      </c>
      <c r="X233" s="9">
        <v>117482.13727546835</v>
      </c>
      <c r="Y233" s="9">
        <v>472.49713760457678</v>
      </c>
      <c r="Z233" s="9">
        <v>172072.74061846628</v>
      </c>
      <c r="AA233" s="9">
        <v>172814.83168430559</v>
      </c>
      <c r="AB233" s="9">
        <v>742.09106583932328</v>
      </c>
      <c r="AC233" s="9">
        <v>11.245784154200331</v>
      </c>
      <c r="AD233" s="9">
        <v>62.042407381381246</v>
      </c>
      <c r="AE233" s="9">
        <v>64.260384308733933</v>
      </c>
      <c r="AF233" s="9">
        <v>79.651042459279751</v>
      </c>
      <c r="AG233" s="9">
        <v>940.34591360175398</v>
      </c>
      <c r="AH233" s="9">
        <v>39790.005023920312</v>
      </c>
      <c r="AI233" s="9">
        <v>4085.6828040873561</v>
      </c>
      <c r="AJ233" s="9">
        <v>45033.233359913014</v>
      </c>
      <c r="AK233" s="9">
        <v>64531358.263324887</v>
      </c>
      <c r="AL233" s="9">
        <v>60696751.022970319</v>
      </c>
    </row>
    <row r="234" spans="1:38" x14ac:dyDescent="0.25">
      <c r="A234" s="9">
        <v>232</v>
      </c>
      <c r="B234" s="9">
        <v>64</v>
      </c>
      <c r="C234" s="9">
        <v>1.3975000000000001E-3</v>
      </c>
      <c r="D234" s="9">
        <v>2.040525307515678</v>
      </c>
      <c r="E234" s="9">
        <v>11.312263888480629</v>
      </c>
      <c r="F234" s="9">
        <v>11.74061959012649</v>
      </c>
      <c r="G234" s="9">
        <v>15.594251132370461</v>
      </c>
      <c r="H234" s="9">
        <v>57.829048782307083</v>
      </c>
      <c r="I234" s="9">
        <v>4991.3091836883714</v>
      </c>
      <c r="J234" s="9">
        <v>3046.0759372050993</v>
      </c>
      <c r="K234" s="9">
        <v>1247.2790049279922</v>
      </c>
      <c r="L234" s="9">
        <v>3256.4826718216245</v>
      </c>
      <c r="M234" s="9">
        <v>2.3764060259496689</v>
      </c>
      <c r="N234" s="9">
        <v>694.24008692781217</v>
      </c>
      <c r="O234" s="9">
        <v>26.927765799497514</v>
      </c>
      <c r="P234" s="9">
        <v>1.7980068005024854</v>
      </c>
      <c r="Q234" s="9">
        <v>26.927765799497514</v>
      </c>
      <c r="R234" s="9">
        <v>118.50243832295142</v>
      </c>
      <c r="S234" s="9">
        <v>51.2157326793998</v>
      </c>
      <c r="T234" s="9">
        <v>595.0562587637279</v>
      </c>
      <c r="U234" s="9">
        <v>886.21510532526713</v>
      </c>
      <c r="V234" s="9">
        <v>1268.7846352183958</v>
      </c>
      <c r="W234" s="9">
        <v>117009.64013786378</v>
      </c>
      <c r="X234" s="9">
        <v>117482.13727546835</v>
      </c>
      <c r="Y234" s="9">
        <v>472.49713760457678</v>
      </c>
      <c r="Z234" s="9">
        <v>172072.74061846628</v>
      </c>
      <c r="AA234" s="9">
        <v>172814.83168430559</v>
      </c>
      <c r="AB234" s="9">
        <v>742.09106583932328</v>
      </c>
      <c r="AC234" s="9">
        <v>11.114061174935392</v>
      </c>
      <c r="AD234" s="9">
        <v>61.61413064592449</v>
      </c>
      <c r="AE234" s="9">
        <v>63.947241367555613</v>
      </c>
      <c r="AF234" s="9">
        <v>79.36174305448867</v>
      </c>
      <c r="AG234" s="9">
        <v>937.40888076119791</v>
      </c>
      <c r="AH234" s="9">
        <v>39708.747700940534</v>
      </c>
      <c r="AI234" s="9">
        <v>4076.5162426168272</v>
      </c>
      <c r="AJ234" s="9">
        <v>44938.710000561463</v>
      </c>
      <c r="AK234" s="9">
        <v>64576296.973325446</v>
      </c>
      <c r="AL234" s="9">
        <v>60713877.766774192</v>
      </c>
    </row>
    <row r="235" spans="1:38" x14ac:dyDescent="0.25">
      <c r="A235" s="9">
        <v>233</v>
      </c>
      <c r="B235" s="9">
        <v>64</v>
      </c>
      <c r="C235" s="9">
        <v>1.3975000000000001E-3</v>
      </c>
      <c r="D235" s="9">
        <v>2.0166244332781904</v>
      </c>
      <c r="E235" s="9">
        <v>11.234073246409107</v>
      </c>
      <c r="F235" s="9">
        <v>11.683236632575925</v>
      </c>
      <c r="G235" s="9">
        <v>15.537456339531131</v>
      </c>
      <c r="H235" s="9">
        <v>57.648346820076902</v>
      </c>
      <c r="I235" s="9">
        <v>4991.4685919503345</v>
      </c>
      <c r="J235" s="9">
        <v>3041.819046082855</v>
      </c>
      <c r="K235" s="9">
        <v>1245.5359325186053</v>
      </c>
      <c r="L235" s="9">
        <v>3248.3927603861002</v>
      </c>
      <c r="M235" s="9">
        <v>2.3703797417273003</v>
      </c>
      <c r="N235" s="9">
        <v>696.61046666953951</v>
      </c>
      <c r="O235" s="9">
        <v>26.862227691265375</v>
      </c>
      <c r="P235" s="9">
        <v>1.7936750757346251</v>
      </c>
      <c r="Q235" s="9">
        <v>26.862227691265375</v>
      </c>
      <c r="R235" s="9">
        <v>118.26988164787458</v>
      </c>
      <c r="S235" s="9">
        <v>51.100609731580853</v>
      </c>
      <c r="T235" s="9">
        <v>597.33511343395071</v>
      </c>
      <c r="U235" s="9">
        <v>890.15178139031559</v>
      </c>
      <c r="V235" s="9">
        <v>1279.7480230809874</v>
      </c>
      <c r="W235" s="9">
        <v>117009.64013786378</v>
      </c>
      <c r="X235" s="9">
        <v>117482.13727546835</v>
      </c>
      <c r="Y235" s="9">
        <v>472.49713760457678</v>
      </c>
      <c r="Z235" s="9">
        <v>172072.74061846628</v>
      </c>
      <c r="AA235" s="9">
        <v>172814.83168430559</v>
      </c>
      <c r="AB235" s="9">
        <v>742.09106583932328</v>
      </c>
      <c r="AC235" s="9">
        <v>10.983881079921876</v>
      </c>
      <c r="AD235" s="9">
        <v>61.188252282108266</v>
      </c>
      <c r="AE235" s="9">
        <v>63.634695525430203</v>
      </c>
      <c r="AF235" s="9">
        <v>79.072704887930513</v>
      </c>
      <c r="AG235" s="9">
        <v>934.47970195344669</v>
      </c>
      <c r="AH235" s="9">
        <v>39627.354907656576</v>
      </c>
      <c r="AI235" s="9">
        <v>4067.3530315851781</v>
      </c>
      <c r="AJ235" s="9">
        <v>44844.067174970594</v>
      </c>
      <c r="AK235" s="9">
        <v>64621141.040500417</v>
      </c>
      <c r="AL235" s="9">
        <v>60730897.525270216</v>
      </c>
    </row>
    <row r="236" spans="1:38" x14ac:dyDescent="0.25">
      <c r="A236" s="9">
        <v>234</v>
      </c>
      <c r="B236" s="9">
        <v>64</v>
      </c>
      <c r="C236" s="9">
        <v>1.3975000000000001E-3</v>
      </c>
      <c r="D236" s="9">
        <v>1.9930035123386172</v>
      </c>
      <c r="E236" s="9">
        <v>11.156322000981518</v>
      </c>
      <c r="F236" s="9">
        <v>11.625965234310257</v>
      </c>
      <c r="G236" s="9">
        <v>15.480713444075327</v>
      </c>
      <c r="H236" s="9">
        <v>57.468127050735788</v>
      </c>
      <c r="I236" s="9">
        <v>4991.6274196419872</v>
      </c>
      <c r="J236" s="9">
        <v>3037.5681039659544</v>
      </c>
      <c r="K236" s="9">
        <v>1243.7952960529105</v>
      </c>
      <c r="L236" s="9">
        <v>3240.3229462990435</v>
      </c>
      <c r="M236" s="9">
        <v>2.3643685421591374</v>
      </c>
      <c r="N236" s="9">
        <v>698.97483521169863</v>
      </c>
      <c r="O236" s="9">
        <v>26.796562906763796</v>
      </c>
      <c r="P236" s="9">
        <v>1.7893536742362026</v>
      </c>
      <c r="Q236" s="9">
        <v>26.796562906763796</v>
      </c>
      <c r="R236" s="9">
        <v>118.03697997655792</v>
      </c>
      <c r="S236" s="9">
        <v>50.985532989600465</v>
      </c>
      <c r="T236" s="9">
        <v>599.60863311665639</v>
      </c>
      <c r="U236" s="9">
        <v>894.07985846441807</v>
      </c>
      <c r="V236" s="9">
        <v>1290.6905881042408</v>
      </c>
      <c r="W236" s="9">
        <v>117009.64013786378</v>
      </c>
      <c r="X236" s="9">
        <v>117482.13727546835</v>
      </c>
      <c r="Y236" s="9">
        <v>472.49713760457678</v>
      </c>
      <c r="Z236" s="9">
        <v>172072.74061846628</v>
      </c>
      <c r="AA236" s="9">
        <v>172814.83168430559</v>
      </c>
      <c r="AB236" s="9">
        <v>742.09106583932328</v>
      </c>
      <c r="AC236" s="9">
        <v>10.855225797204334</v>
      </c>
      <c r="AD236" s="9">
        <v>60.764767165346001</v>
      </c>
      <c r="AE236" s="9">
        <v>63.322757309543199</v>
      </c>
      <c r="AF236" s="9">
        <v>78.783930835806686</v>
      </c>
      <c r="AG236" s="9">
        <v>931.55833949242719</v>
      </c>
      <c r="AH236" s="9">
        <v>39545.833327338441</v>
      </c>
      <c r="AI236" s="9">
        <v>4058.1934983072488</v>
      </c>
      <c r="AJ236" s="9">
        <v>44749.311846246019</v>
      </c>
      <c r="AK236" s="9">
        <v>64665890.352346666</v>
      </c>
      <c r="AL236" s="9">
        <v>60747810.848905019</v>
      </c>
    </row>
    <row r="237" spans="1:38" x14ac:dyDescent="0.25">
      <c r="A237" s="9">
        <v>235</v>
      </c>
      <c r="B237" s="9">
        <v>64</v>
      </c>
      <c r="C237" s="9">
        <v>1.3975000000000001E-3</v>
      </c>
      <c r="D237" s="9">
        <v>1.9696592655763603</v>
      </c>
      <c r="E237" s="9">
        <v>11.079009185358306</v>
      </c>
      <c r="F237" s="9">
        <v>11.568807297984923</v>
      </c>
      <c r="G237" s="9">
        <v>15.424023025077739</v>
      </c>
      <c r="H237" s="9">
        <v>57.288387168868496</v>
      </c>
      <c r="I237" s="9">
        <v>4991.7856672938378</v>
      </c>
      <c r="J237" s="9">
        <v>3033.3231025406621</v>
      </c>
      <c r="K237" s="9">
        <v>1242.0570921266767</v>
      </c>
      <c r="L237" s="9">
        <v>3232.2731796336511</v>
      </c>
      <c r="M237" s="9">
        <v>2.3583723860604375</v>
      </c>
      <c r="N237" s="9">
        <v>701.33320759775904</v>
      </c>
      <c r="O237" s="9">
        <v>26.730779214413598</v>
      </c>
      <c r="P237" s="9">
        <v>1.7850425685864015</v>
      </c>
      <c r="Q237" s="9">
        <v>26.730779214413598</v>
      </c>
      <c r="R237" s="9">
        <v>117.8037495038201</v>
      </c>
      <c r="S237" s="9">
        <v>50.8705064930841</v>
      </c>
      <c r="T237" s="9">
        <v>601.87682401127051</v>
      </c>
      <c r="U237" s="9">
        <v>897.9993331416141</v>
      </c>
      <c r="V237" s="9">
        <v>1301.6123714051637</v>
      </c>
      <c r="W237" s="9">
        <v>117009.64013786378</v>
      </c>
      <c r="X237" s="9">
        <v>117482.13727546835</v>
      </c>
      <c r="Y237" s="9">
        <v>472.49713760457678</v>
      </c>
      <c r="Z237" s="9">
        <v>172072.74061846628</v>
      </c>
      <c r="AA237" s="9">
        <v>172814.83168430559</v>
      </c>
      <c r="AB237" s="9">
        <v>742.09106583932328</v>
      </c>
      <c r="AC237" s="9">
        <v>10.728077466505908</v>
      </c>
      <c r="AD237" s="9">
        <v>60.343670029584899</v>
      </c>
      <c r="AE237" s="9">
        <v>63.011437083024546</v>
      </c>
      <c r="AF237" s="9">
        <v>78.49542384512479</v>
      </c>
      <c r="AG237" s="9">
        <v>928.64475600735841</v>
      </c>
      <c r="AH237" s="9">
        <v>39464.189502988927</v>
      </c>
      <c r="AI237" s="9">
        <v>4049.037964317029</v>
      </c>
      <c r="AJ237" s="9">
        <v>44654.450831737558</v>
      </c>
      <c r="AK237" s="9">
        <v>64710544.803178407</v>
      </c>
      <c r="AL237" s="9">
        <v>60764618.288141631</v>
      </c>
    </row>
    <row r="238" spans="1:38" x14ac:dyDescent="0.25">
      <c r="A238" s="9">
        <v>236</v>
      </c>
      <c r="B238" s="9">
        <v>64</v>
      </c>
      <c r="C238" s="9">
        <v>1.3975000000000001E-3</v>
      </c>
      <c r="D238" s="9">
        <v>1.9465884522794854</v>
      </c>
      <c r="E238" s="9">
        <v>11.00213380735568</v>
      </c>
      <c r="F238" s="9">
        <v>11.511764696304704</v>
      </c>
      <c r="G238" s="9">
        <v>15.36738567504535</v>
      </c>
      <c r="H238" s="9">
        <v>57.109124888538069</v>
      </c>
      <c r="I238" s="9">
        <v>4991.9433354423136</v>
      </c>
      <c r="J238" s="9">
        <v>3029.0840335048615</v>
      </c>
      <c r="K238" s="9">
        <v>1240.3213173404297</v>
      </c>
      <c r="L238" s="9">
        <v>3224.2434105871512</v>
      </c>
      <c r="M238" s="9">
        <v>2.3523912323940306</v>
      </c>
      <c r="N238" s="9">
        <v>703.68559883015303</v>
      </c>
      <c r="O238" s="9">
        <v>26.664884184542132</v>
      </c>
      <c r="P238" s="9">
        <v>1.7807417314578711</v>
      </c>
      <c r="Q238" s="9">
        <v>26.664884184542132</v>
      </c>
      <c r="R238" s="9">
        <v>117.57020612024291</v>
      </c>
      <c r="S238" s="9">
        <v>50.755534209492602</v>
      </c>
      <c r="T238" s="9">
        <v>604.13969243387828</v>
      </c>
      <c r="U238" s="9">
        <v>901.91020248760697</v>
      </c>
      <c r="V238" s="9">
        <v>1312.5134140480623</v>
      </c>
      <c r="W238" s="9">
        <v>117009.64013786378</v>
      </c>
      <c r="X238" s="9">
        <v>117482.13727546835</v>
      </c>
      <c r="Y238" s="9">
        <v>472.49713760457678</v>
      </c>
      <c r="Z238" s="9">
        <v>172072.74061846628</v>
      </c>
      <c r="AA238" s="9">
        <v>172814.83168430559</v>
      </c>
      <c r="AB238" s="9">
        <v>742.09106583932328</v>
      </c>
      <c r="AC238" s="9">
        <v>10.60241843674893</v>
      </c>
      <c r="AD238" s="9">
        <v>59.924955470730602</v>
      </c>
      <c r="AE238" s="9">
        <v>62.700745045872949</v>
      </c>
      <c r="AF238" s="9">
        <v>78.207186931251627</v>
      </c>
      <c r="AG238" s="9">
        <v>925.73891444320213</v>
      </c>
      <c r="AH238" s="9">
        <v>39382.42984045286</v>
      </c>
      <c r="AI238" s="9">
        <v>4039.8867454045635</v>
      </c>
      <c r="AJ238" s="9">
        <v>44559.490806185233</v>
      </c>
      <c r="AK238" s="9">
        <v>64755104.293984592</v>
      </c>
      <c r="AL238" s="9">
        <v>60781320.393374383</v>
      </c>
    </row>
    <row r="239" spans="1:38" x14ac:dyDescent="0.25">
      <c r="A239" s="9">
        <v>237</v>
      </c>
      <c r="B239" s="9">
        <v>64</v>
      </c>
      <c r="C239" s="9">
        <v>1.3975000000000001E-3</v>
      </c>
      <c r="D239" s="9">
        <v>1.9237878696948365</v>
      </c>
      <c r="E239" s="9">
        <v>10.925694850064168</v>
      </c>
      <c r="F239" s="9">
        <v>11.454839272196018</v>
      </c>
      <c r="G239" s="9">
        <v>15.310801999443996</v>
      </c>
      <c r="H239" s="9">
        <v>56.930337943308594</v>
      </c>
      <c r="I239" s="9">
        <v>4992.100424629898</v>
      </c>
      <c r="J239" s="9">
        <v>3024.8508885680385</v>
      </c>
      <c r="K239" s="9">
        <v>1238.5879682994464</v>
      </c>
      <c r="L239" s="9">
        <v>3216.2335894804933</v>
      </c>
      <c r="M239" s="9">
        <v>2.3464250402702027</v>
      </c>
      <c r="N239" s="9">
        <v>706.03202387042325</v>
      </c>
      <c r="O239" s="9">
        <v>26.598885193383129</v>
      </c>
      <c r="P239" s="9">
        <v>1.7764511356168711</v>
      </c>
      <c r="Q239" s="9">
        <v>26.598885193383129</v>
      </c>
      <c r="R239" s="9">
        <v>117.33636541746691</v>
      </c>
      <c r="S239" s="9">
        <v>50.640620034630729</v>
      </c>
      <c r="T239" s="9">
        <v>606.39724481435974</v>
      </c>
      <c r="U239" s="9">
        <v>905.812464030206</v>
      </c>
      <c r="V239" s="9">
        <v>1323.3937570439564</v>
      </c>
      <c r="W239" s="9">
        <v>117009.64013786378</v>
      </c>
      <c r="X239" s="9">
        <v>117482.13727546835</v>
      </c>
      <c r="Y239" s="9">
        <v>472.49713760457678</v>
      </c>
      <c r="Z239" s="9">
        <v>172072.74061846628</v>
      </c>
      <c r="AA239" s="9">
        <v>172814.83168430559</v>
      </c>
      <c r="AB239" s="9">
        <v>742.09106583932328</v>
      </c>
      <c r="AC239" s="9">
        <v>10.478231263604542</v>
      </c>
      <c r="AD239" s="9">
        <v>59.508617950016166</v>
      </c>
      <c r="AE239" s="9">
        <v>62.390691235894309</v>
      </c>
      <c r="AF239" s="9">
        <v>77.919223175503731</v>
      </c>
      <c r="AG239" s="9">
        <v>922.84077806103232</v>
      </c>
      <c r="AH239" s="9">
        <v>39300.560610955203</v>
      </c>
      <c r="AI239" s="9">
        <v>4030.7401516564328</v>
      </c>
      <c r="AJ239" s="9">
        <v>44464.438304297684</v>
      </c>
      <c r="AK239" s="9">
        <v>64799568.73228889</v>
      </c>
      <c r="AL239" s="9">
        <v>60797917.714846268</v>
      </c>
    </row>
    <row r="240" spans="1:38" x14ac:dyDescent="0.25">
      <c r="A240" s="9">
        <v>238</v>
      </c>
      <c r="B240" s="9">
        <v>64</v>
      </c>
      <c r="C240" s="9">
        <v>1.3975000000000001E-3</v>
      </c>
      <c r="D240" s="9">
        <v>1.9012543525834213</v>
      </c>
      <c r="E240" s="9">
        <v>10.849691272457095</v>
      </c>
      <c r="F240" s="9">
        <v>11.398032838981724</v>
      </c>
      <c r="G240" s="9">
        <v>15.254272616232244</v>
      </c>
      <c r="H240" s="9">
        <v>56.752024086262978</v>
      </c>
      <c r="I240" s="9">
        <v>4992.2569354052648</v>
      </c>
      <c r="J240" s="9">
        <v>3020.6236594512648</v>
      </c>
      <c r="K240" s="9">
        <v>1236.8570416137479</v>
      </c>
      <c r="L240" s="9">
        <v>3208.2436667580423</v>
      </c>
      <c r="M240" s="9">
        <v>2.3404737689465649</v>
      </c>
      <c r="N240" s="9">
        <v>708.37249763936984</v>
      </c>
      <c r="O240" s="9">
        <v>26.532789426076601</v>
      </c>
      <c r="P240" s="9">
        <v>1.772170753923398</v>
      </c>
      <c r="Q240" s="9">
        <v>26.532789426076601</v>
      </c>
      <c r="R240" s="9">
        <v>117.1022426933966</v>
      </c>
      <c r="S240" s="9">
        <v>50.525767793186233</v>
      </c>
      <c r="T240" s="9">
        <v>608.64948769357977</v>
      </c>
      <c r="U240" s="9">
        <v>909.70611574991062</v>
      </c>
      <c r="V240" s="9">
        <v>1334.2534413500086</v>
      </c>
      <c r="W240" s="9">
        <v>117009.64013786378</v>
      </c>
      <c r="X240" s="9">
        <v>117482.13727546835</v>
      </c>
      <c r="Y240" s="9">
        <v>472.49713760457678</v>
      </c>
      <c r="Z240" s="9">
        <v>172072.74061846628</v>
      </c>
      <c r="AA240" s="9">
        <v>172814.83168430559</v>
      </c>
      <c r="AB240" s="9">
        <v>742.09106583932328</v>
      </c>
      <c r="AC240" s="9">
        <v>10.355498707071034</v>
      </c>
      <c r="AD240" s="9">
        <v>59.09465179731631</v>
      </c>
      <c r="AE240" s="9">
        <v>62.081285529653783</v>
      </c>
      <c r="AF240" s="9">
        <v>77.631535722775254</v>
      </c>
      <c r="AG240" s="9">
        <v>919.95031043832296</v>
      </c>
      <c r="AH240" s="9">
        <v>39218.587953341368</v>
      </c>
      <c r="AI240" s="9">
        <v>4021.598487498658</v>
      </c>
      <c r="AJ240" s="9">
        <v>44369.299723035168</v>
      </c>
      <c r="AK240" s="9">
        <v>64843938.032011926</v>
      </c>
      <c r="AL240" s="9">
        <v>60814410.802568659</v>
      </c>
    </row>
    <row r="241" spans="1:38" x14ac:dyDescent="0.25">
      <c r="A241" s="9">
        <v>239</v>
      </c>
      <c r="B241" s="9">
        <v>64</v>
      </c>
      <c r="C241" s="9">
        <v>1.3975000000000001E-3</v>
      </c>
      <c r="D241" s="9">
        <v>1.8789847727810043</v>
      </c>
      <c r="E241" s="9">
        <v>10.774122009989133</v>
      </c>
      <c r="F241" s="9">
        <v>11.3413471805583</v>
      </c>
      <c r="G241" s="9">
        <v>15.197798155402548</v>
      </c>
      <c r="H241" s="9">
        <v>56.574181090015863</v>
      </c>
      <c r="I241" s="9">
        <v>4992.4128683234039</v>
      </c>
      <c r="J241" s="9">
        <v>3016.4023378871816</v>
      </c>
      <c r="K241" s="9">
        <v>1235.1285338980927</v>
      </c>
      <c r="L241" s="9">
        <v>3200.2735929872715</v>
      </c>
      <c r="M241" s="9">
        <v>2.3345373778279086</v>
      </c>
      <c r="N241" s="9">
        <v>710.70703501719777</v>
      </c>
      <c r="O241" s="9">
        <v>26.466603884668697</v>
      </c>
      <c r="P241" s="9">
        <v>1.7679005593313015</v>
      </c>
      <c r="Q241" s="9">
        <v>26.466603884668697</v>
      </c>
      <c r="R241" s="9">
        <v>116.86785295731687</v>
      </c>
      <c r="S241" s="9">
        <v>50.41098123929163</v>
      </c>
      <c r="T241" s="9">
        <v>610.89642772062541</v>
      </c>
      <c r="U241" s="9">
        <v>913.5911560706196</v>
      </c>
      <c r="V241" s="9">
        <v>1345.0925078689645</v>
      </c>
      <c r="W241" s="9">
        <v>117009.64013786378</v>
      </c>
      <c r="X241" s="9">
        <v>117482.13727546835</v>
      </c>
      <c r="Y241" s="9">
        <v>472.49713760457678</v>
      </c>
      <c r="Z241" s="9">
        <v>172072.74061846628</v>
      </c>
      <c r="AA241" s="9">
        <v>172814.83168430559</v>
      </c>
      <c r="AB241" s="9">
        <v>742.09106583932328</v>
      </c>
      <c r="AC241" s="9">
        <v>10.234203729080535</v>
      </c>
      <c r="AD241" s="9">
        <v>58.683051214407477</v>
      </c>
      <c r="AE241" s="9">
        <v>61.77253764344087</v>
      </c>
      <c r="AF241" s="9">
        <v>77.344127779202793</v>
      </c>
      <c r="AG241" s="9">
        <v>917.06747546915722</v>
      </c>
      <c r="AH241" s="9">
        <v>39136.517877658545</v>
      </c>
      <c r="AI241" s="9">
        <v>4012.4620517414173</v>
      </c>
      <c r="AJ241" s="9">
        <v>44274.081325235253</v>
      </c>
      <c r="AK241" s="9">
        <v>64888212.113337159</v>
      </c>
      <c r="AL241" s="9">
        <v>60830800.206243753</v>
      </c>
    </row>
    <row r="242" spans="1:38" x14ac:dyDescent="0.25">
      <c r="A242" s="9">
        <v>240</v>
      </c>
      <c r="B242" s="9">
        <v>65</v>
      </c>
      <c r="C242" s="9">
        <v>1.3975000000000001E-3</v>
      </c>
      <c r="D242" s="9">
        <v>1.8569760387638461</v>
      </c>
      <c r="E242" s="9">
        <v>10.698985975185083</v>
      </c>
      <c r="F242" s="9">
        <v>11.284784051575325</v>
      </c>
      <c r="G242" s="9">
        <v>15.141379258529607</v>
      </c>
      <c r="H242" s="9">
        <v>56.396806746721744</v>
      </c>
      <c r="I242" s="9">
        <v>4992.5682239457456</v>
      </c>
      <c r="J242" s="9">
        <v>3012.1869156199841</v>
      </c>
      <c r="K242" s="9">
        <v>1233.40244177197</v>
      </c>
      <c r="L242" s="9">
        <v>3192.3233188584577</v>
      </c>
      <c r="M242" s="9">
        <v>2.3286158264660415</v>
      </c>
      <c r="N242" s="9">
        <v>713.0356508436638</v>
      </c>
      <c r="O242" s="9">
        <v>26.403959933749615</v>
      </c>
      <c r="P242" s="9">
        <v>1.7600159812503857</v>
      </c>
      <c r="Q242" s="9">
        <v>26.403959933749615</v>
      </c>
      <c r="R242" s="9">
        <v>116.62958639128387</v>
      </c>
      <c r="S242" s="9">
        <v>50.296264057136348</v>
      </c>
      <c r="T242" s="9">
        <v>613.13807165011997</v>
      </c>
      <c r="U242" s="9">
        <v>917.46758385054932</v>
      </c>
      <c r="V242" s="9">
        <v>1355.9109974486119</v>
      </c>
      <c r="W242" s="9">
        <v>120051.51889648585</v>
      </c>
      <c r="X242" s="9">
        <v>120539.82374386145</v>
      </c>
      <c r="Y242" s="9">
        <v>488.30484737559317</v>
      </c>
      <c r="Z242" s="9">
        <v>179759.41674187532</v>
      </c>
      <c r="AA242" s="9">
        <v>180541.45310300894</v>
      </c>
      <c r="AB242" s="9">
        <v>782.0363611336345</v>
      </c>
      <c r="AC242" s="9">
        <v>10.114329491133748</v>
      </c>
      <c r="AD242" s="9">
        <v>58.27381027817475</v>
      </c>
      <c r="AE242" s="9">
        <v>61.464457134246935</v>
      </c>
      <c r="AF242" s="9">
        <v>77.057002609866927</v>
      </c>
      <c r="AG242" s="9">
        <v>914.19223736435947</v>
      </c>
      <c r="AH242" s="9">
        <v>39054.356267074894</v>
      </c>
      <c r="AI242" s="9">
        <v>4003.3311376277675</v>
      </c>
      <c r="AJ242" s="9">
        <v>44178.789241580445</v>
      </c>
      <c r="AK242" s="9">
        <v>64932390.902578741</v>
      </c>
      <c r="AL242" s="9">
        <v>60847086.475189187</v>
      </c>
    </row>
    <row r="243" spans="1:38" x14ac:dyDescent="0.25">
      <c r="A243" s="9">
        <v>241</v>
      </c>
      <c r="B243" s="9">
        <v>65</v>
      </c>
      <c r="C243" s="9">
        <v>1.5349999999999999E-3</v>
      </c>
      <c r="D243" s="9">
        <v>1.8349697610141997</v>
      </c>
      <c r="E243" s="9">
        <v>10.622810947647407</v>
      </c>
      <c r="F243" s="9">
        <v>11.226793519810052</v>
      </c>
      <c r="G243" s="9">
        <v>15.082934638677827</v>
      </c>
      <c r="H243" s="9">
        <v>56.212144307150794</v>
      </c>
      <c r="I243" s="9">
        <v>4992.7230028402773</v>
      </c>
      <c r="J243" s="9">
        <v>3007.5632087045074</v>
      </c>
      <c r="K243" s="9">
        <v>1231.5091690238501</v>
      </c>
      <c r="L243" s="9">
        <v>3183.9538507280313</v>
      </c>
      <c r="M243" s="9">
        <v>2.3227090745596102</v>
      </c>
      <c r="N243" s="9">
        <v>715.35835991822341</v>
      </c>
      <c r="O243" s="9">
        <v>26.337513947722439</v>
      </c>
      <c r="P243" s="9">
        <v>1.7557748142775615</v>
      </c>
      <c r="Q243" s="9">
        <v>26.337513947722439</v>
      </c>
      <c r="R243" s="9">
        <v>116.37511612683645</v>
      </c>
      <c r="S243" s="9">
        <v>50.174704125283412</v>
      </c>
      <c r="T243" s="9">
        <v>615.37442633957835</v>
      </c>
      <c r="U243" s="9">
        <v>921.33542284591829</v>
      </c>
      <c r="V243" s="9">
        <v>1367.7713613263215</v>
      </c>
      <c r="W243" s="9">
        <v>120051.51889648585</v>
      </c>
      <c r="X243" s="9">
        <v>120539.82374386145</v>
      </c>
      <c r="Y243" s="9">
        <v>488.30484737559317</v>
      </c>
      <c r="Z243" s="9">
        <v>179759.41674187532</v>
      </c>
      <c r="AA243" s="9">
        <v>180541.45310300894</v>
      </c>
      <c r="AB243" s="9">
        <v>782.0363611336345</v>
      </c>
      <c r="AC243" s="9">
        <v>9.994468631657341</v>
      </c>
      <c r="AD243" s="9">
        <v>57.858910294852876</v>
      </c>
      <c r="AE243" s="9">
        <v>61.148602037898748</v>
      </c>
      <c r="AF243" s="9">
        <v>76.759568198671232</v>
      </c>
      <c r="AG243" s="9">
        <v>911.19885921891444</v>
      </c>
      <c r="AH243" s="9">
        <v>38966.732224324478</v>
      </c>
      <c r="AI243" s="9">
        <v>3993.6555748519331</v>
      </c>
      <c r="AJ243" s="9">
        <v>44077.348207558403</v>
      </c>
      <c r="AK243" s="9">
        <v>64976468.250786297</v>
      </c>
      <c r="AL243" s="9">
        <v>60863267.925741792</v>
      </c>
    </row>
    <row r="244" spans="1:38" x14ac:dyDescent="0.25">
      <c r="A244" s="9">
        <v>242</v>
      </c>
      <c r="B244" s="9">
        <v>65</v>
      </c>
      <c r="C244" s="9">
        <v>1.5349999999999999E-3</v>
      </c>
      <c r="D244" s="9">
        <v>1.8132242708300823</v>
      </c>
      <c r="E244" s="9">
        <v>10.547087652195483</v>
      </c>
      <c r="F244" s="9">
        <v>11.168944673815725</v>
      </c>
      <c r="G244" s="9">
        <v>15.024562684911823</v>
      </c>
      <c r="H244" s="9">
        <v>56.02799587938955</v>
      </c>
      <c r="I244" s="9">
        <v>4992.8771842995629</v>
      </c>
      <c r="J244" s="9">
        <v>3002.9465991791458</v>
      </c>
      <c r="K244" s="9">
        <v>1229.6188024493983</v>
      </c>
      <c r="L244" s="9">
        <v>3175.6063252361751</v>
      </c>
      <c r="M244" s="9">
        <v>2.3164977094561561</v>
      </c>
      <c r="N244" s="9">
        <v>717.67485762767956</v>
      </c>
      <c r="O244" s="9">
        <v>26.270902523936186</v>
      </c>
      <c r="P244" s="9">
        <v>1.7513227980638124</v>
      </c>
      <c r="Q244" s="9">
        <v>26.270902523936186</v>
      </c>
      <c r="R244" s="9">
        <v>116.12057993389638</v>
      </c>
      <c r="S244" s="9">
        <v>50.053253061111803</v>
      </c>
      <c r="T244" s="9">
        <v>617.60519110484847</v>
      </c>
      <c r="U244" s="9">
        <v>925.19414004524015</v>
      </c>
      <c r="V244" s="9">
        <v>1379.6075824126215</v>
      </c>
      <c r="W244" s="9">
        <v>120051.51889648585</v>
      </c>
      <c r="X244" s="9">
        <v>120539.82374386145</v>
      </c>
      <c r="Y244" s="9">
        <v>488.30484737559317</v>
      </c>
      <c r="Z244" s="9">
        <v>179759.41674187532</v>
      </c>
      <c r="AA244" s="9">
        <v>180541.45310300894</v>
      </c>
      <c r="AB244" s="9">
        <v>782.0363611336345</v>
      </c>
      <c r="AC244" s="9">
        <v>9.8760281951211812</v>
      </c>
      <c r="AD244" s="9">
        <v>57.44647074562473</v>
      </c>
      <c r="AE244" s="9">
        <v>60.833518656716308</v>
      </c>
      <c r="AF244" s="9">
        <v>76.462503597297086</v>
      </c>
      <c r="AG244" s="9">
        <v>908.21381320490468</v>
      </c>
      <c r="AH244" s="9">
        <v>38879.045008561465</v>
      </c>
      <c r="AI244" s="9">
        <v>3983.9886773991939</v>
      </c>
      <c r="AJ244" s="9">
        <v>43975.866020360321</v>
      </c>
      <c r="AK244" s="9">
        <v>65020444.116806656</v>
      </c>
      <c r="AL244" s="9">
        <v>60879345.132312357</v>
      </c>
    </row>
    <row r="245" spans="1:38" x14ac:dyDescent="0.25">
      <c r="A245" s="9">
        <v>243</v>
      </c>
      <c r="B245" s="9">
        <v>65</v>
      </c>
      <c r="C245" s="9">
        <v>1.5349999999999999E-3</v>
      </c>
      <c r="D245" s="9">
        <v>1.79173647772272</v>
      </c>
      <c r="E245" s="9">
        <v>10.471814753954602</v>
      </c>
      <c r="F245" s="9">
        <v>11.111239126413924</v>
      </c>
      <c r="G245" s="9">
        <v>14.966264044215171</v>
      </c>
      <c r="H245" s="9">
        <v>55.844359112512166</v>
      </c>
      <c r="I245" s="9">
        <v>4993.0307690664122</v>
      </c>
      <c r="J245" s="9">
        <v>2998.3370761494057</v>
      </c>
      <c r="K245" s="9">
        <v>1227.7313375876386</v>
      </c>
      <c r="L245" s="9">
        <v>3167.2806848548148</v>
      </c>
      <c r="M245" s="9">
        <v>2.3103027278568478</v>
      </c>
      <c r="N245" s="9">
        <v>719.98516035553644</v>
      </c>
      <c r="O245" s="9">
        <v>26.204134863385391</v>
      </c>
      <c r="P245" s="9">
        <v>1.7468819336146109</v>
      </c>
      <c r="Q245" s="9">
        <v>26.204134863385391</v>
      </c>
      <c r="R245" s="9">
        <v>115.86599010058161</v>
      </c>
      <c r="S245" s="9">
        <v>49.931914174391963</v>
      </c>
      <c r="T245" s="9">
        <v>619.83037435947335</v>
      </c>
      <c r="U245" s="9">
        <v>929.04373698924121</v>
      </c>
      <c r="V245" s="9">
        <v>1391.4197117686526</v>
      </c>
      <c r="W245" s="9">
        <v>120051.51889648585</v>
      </c>
      <c r="X245" s="9">
        <v>120539.82374386145</v>
      </c>
      <c r="Y245" s="9">
        <v>488.30484737559317</v>
      </c>
      <c r="Z245" s="9">
        <v>179759.41674187532</v>
      </c>
      <c r="AA245" s="9">
        <v>180541.45310300894</v>
      </c>
      <c r="AB245" s="9">
        <v>782.0363611336345</v>
      </c>
      <c r="AC245" s="9">
        <v>9.7589913486630806</v>
      </c>
      <c r="AD245" s="9">
        <v>57.03648435987273</v>
      </c>
      <c r="AE245" s="9">
        <v>60.519215775201168</v>
      </c>
      <c r="AF245" s="9">
        <v>76.165812098351708</v>
      </c>
      <c r="AG245" s="9">
        <v>905.23706121382224</v>
      </c>
      <c r="AH245" s="9">
        <v>38791.300487244764</v>
      </c>
      <c r="AI245" s="9">
        <v>3974.3307087107282</v>
      </c>
      <c r="AJ245" s="9">
        <v>43874.348760751403</v>
      </c>
      <c r="AK245" s="9">
        <v>65064318.46556741</v>
      </c>
      <c r="AL245" s="9">
        <v>60895318.668625742</v>
      </c>
    </row>
    <row r="246" spans="1:38" x14ac:dyDescent="0.25">
      <c r="A246" s="9">
        <v>244</v>
      </c>
      <c r="B246" s="9">
        <v>65</v>
      </c>
      <c r="C246" s="9">
        <v>1.5349999999999999E-3</v>
      </c>
      <c r="D246" s="9">
        <v>1.7705033278274813</v>
      </c>
      <c r="E246" s="9">
        <v>10.396990898063907</v>
      </c>
      <c r="F246" s="9">
        <v>11.05367846101564</v>
      </c>
      <c r="G246" s="9">
        <v>14.90803937305455</v>
      </c>
      <c r="H246" s="9">
        <v>55.661231676356174</v>
      </c>
      <c r="I246" s="9">
        <v>4993.1837578902496</v>
      </c>
      <c r="J246" s="9">
        <v>2993.7346287375162</v>
      </c>
      <c r="K246" s="9">
        <v>1225.8467699844416</v>
      </c>
      <c r="L246" s="9">
        <v>3158.9768722067001</v>
      </c>
      <c r="M246" s="9">
        <v>2.3041240834877033</v>
      </c>
      <c r="N246" s="9">
        <v>722.28928443902419</v>
      </c>
      <c r="O246" s="9">
        <v>26.137219929592924</v>
      </c>
      <c r="P246" s="9">
        <v>1.7424521904070758</v>
      </c>
      <c r="Q246" s="9">
        <v>26.137219929592924</v>
      </c>
      <c r="R246" s="9">
        <v>115.61135867268737</v>
      </c>
      <c r="S246" s="9">
        <v>49.810690718685315</v>
      </c>
      <c r="T246" s="9">
        <v>622.04998461595085</v>
      </c>
      <c r="U246" s="9">
        <v>932.88421564251871</v>
      </c>
      <c r="V246" s="9">
        <v>1403.2078003748136</v>
      </c>
      <c r="W246" s="9">
        <v>120051.51889648585</v>
      </c>
      <c r="X246" s="9">
        <v>120539.82374386145</v>
      </c>
      <c r="Y246" s="9">
        <v>488.30484737559317</v>
      </c>
      <c r="Z246" s="9">
        <v>179759.41674187532</v>
      </c>
      <c r="AA246" s="9">
        <v>180541.45310300894</v>
      </c>
      <c r="AB246" s="9">
        <v>782.0363611336345</v>
      </c>
      <c r="AC246" s="9">
        <v>9.6433414589003483</v>
      </c>
      <c r="AD246" s="9">
        <v>56.628943758121409</v>
      </c>
      <c r="AE246" s="9">
        <v>60.205702017665182</v>
      </c>
      <c r="AF246" s="9">
        <v>75.869497042703443</v>
      </c>
      <c r="AG246" s="9">
        <v>902.26856547373359</v>
      </c>
      <c r="AH246" s="9">
        <v>38703.504396828619</v>
      </c>
      <c r="AI246" s="9">
        <v>3964.6819277537575</v>
      </c>
      <c r="AJ246" s="9">
        <v>43772.8023743335</v>
      </c>
      <c r="AK246" s="9">
        <v>65108091.267941743</v>
      </c>
      <c r="AL246" s="9">
        <v>60911189.107649066</v>
      </c>
    </row>
    <row r="247" spans="1:38" x14ac:dyDescent="0.25">
      <c r="A247" s="9">
        <v>245</v>
      </c>
      <c r="B247" s="9">
        <v>65</v>
      </c>
      <c r="C247" s="9">
        <v>1.5349999999999999E-3</v>
      </c>
      <c r="D247" s="9">
        <v>1.749521803469859</v>
      </c>
      <c r="E247" s="9">
        <v>10.322614710232275</v>
      </c>
      <c r="F247" s="9">
        <v>10.996264231830658</v>
      </c>
      <c r="G247" s="9">
        <v>14.849889336956602</v>
      </c>
      <c r="H247" s="9">
        <v>55.478611261494471</v>
      </c>
      <c r="I247" s="9">
        <v>4993.3361515272099</v>
      </c>
      <c r="J247" s="9">
        <v>2989.139246082404</v>
      </c>
      <c r="K247" s="9">
        <v>1223.9650951925155</v>
      </c>
      <c r="L247" s="9">
        <v>3150.6948300650092</v>
      </c>
      <c r="M247" s="9">
        <v>2.2979617302443773</v>
      </c>
      <c r="N247" s="9">
        <v>724.58724616926861</v>
      </c>
      <c r="O247" s="9">
        <v>26.07016645497329</v>
      </c>
      <c r="P247" s="9">
        <v>1.7380335380267085</v>
      </c>
      <c r="Q247" s="9">
        <v>26.07016645497329</v>
      </c>
      <c r="R247" s="9">
        <v>115.35669745797125</v>
      </c>
      <c r="S247" s="9">
        <v>49.68958589125932</v>
      </c>
      <c r="T247" s="9">
        <v>624.26403048301347</v>
      </c>
      <c r="U247" s="9">
        <v>936.71557838466288</v>
      </c>
      <c r="V247" s="9">
        <v>1414.971899130232</v>
      </c>
      <c r="W247" s="9">
        <v>120051.51889648585</v>
      </c>
      <c r="X247" s="9">
        <v>120539.82374386145</v>
      </c>
      <c r="Y247" s="9">
        <v>488.30484737559317</v>
      </c>
      <c r="Z247" s="9">
        <v>179759.41674187532</v>
      </c>
      <c r="AA247" s="9">
        <v>180541.45310300894</v>
      </c>
      <c r="AB247" s="9">
        <v>782.0363611336345</v>
      </c>
      <c r="AC247" s="9">
        <v>9.5290620895658318</v>
      </c>
      <c r="AD247" s="9">
        <v>56.22384145506512</v>
      </c>
      <c r="AE247" s="9">
        <v>59.89298584937098</v>
      </c>
      <c r="AF247" s="9">
        <v>75.573561817328311</v>
      </c>
      <c r="AG247" s="9">
        <v>899.30828854882543</v>
      </c>
      <c r="AH247" s="9">
        <v>38615.662345670091</v>
      </c>
      <c r="AI247" s="9">
        <v>3955.0425890147853</v>
      </c>
      <c r="AJ247" s="9">
        <v>43671.232674445033</v>
      </c>
      <c r="AK247" s="9">
        <v>65151762.500616185</v>
      </c>
      <c r="AL247" s="9">
        <v>60926957.021522231</v>
      </c>
    </row>
    <row r="248" spans="1:38" x14ac:dyDescent="0.25">
      <c r="A248" s="9">
        <v>246</v>
      </c>
      <c r="B248" s="9">
        <v>65</v>
      </c>
      <c r="C248" s="9">
        <v>1.5349999999999999E-3</v>
      </c>
      <c r="D248" s="9">
        <v>1.7287889227365949</v>
      </c>
      <c r="E248" s="9">
        <v>10.248684797284765</v>
      </c>
      <c r="F248" s="9">
        <v>10.938997964078505</v>
      </c>
      <c r="G248" s="9">
        <v>14.791814610091995</v>
      </c>
      <c r="H248" s="9">
        <v>55.296495579203118</v>
      </c>
      <c r="I248" s="9">
        <v>4993.4879507402311</v>
      </c>
      <c r="J248" s="9">
        <v>2984.5509173396676</v>
      </c>
      <c r="K248" s="9">
        <v>1222.0863087713949</v>
      </c>
      <c r="L248" s="9">
        <v>3142.4345013529542</v>
      </c>
      <c r="M248" s="9">
        <v>2.2918156221918067</v>
      </c>
      <c r="N248" s="9">
        <v>726.87906179146046</v>
      </c>
      <c r="O248" s="9">
        <v>26.002982948832656</v>
      </c>
      <c r="P248" s="9">
        <v>1.7336259461673442</v>
      </c>
      <c r="Q248" s="9">
        <v>26.002982948832656</v>
      </c>
      <c r="R248" s="9">
        <v>115.10201803036439</v>
      </c>
      <c r="S248" s="9">
        <v>49.568602833068574</v>
      </c>
      <c r="T248" s="9">
        <v>626.4725206629704</v>
      </c>
      <c r="U248" s="9">
        <v>940.53782800152305</v>
      </c>
      <c r="V248" s="9">
        <v>1426.7120588522514</v>
      </c>
      <c r="W248" s="9">
        <v>120051.51889648585</v>
      </c>
      <c r="X248" s="9">
        <v>120539.82374386145</v>
      </c>
      <c r="Y248" s="9">
        <v>488.30484737559317</v>
      </c>
      <c r="Z248" s="9">
        <v>179759.41674187532</v>
      </c>
      <c r="AA248" s="9">
        <v>180541.45310300894</v>
      </c>
      <c r="AB248" s="9">
        <v>782.0363611336345</v>
      </c>
      <c r="AC248" s="9">
        <v>9.4161369991719859</v>
      </c>
      <c r="AD248" s="9">
        <v>55.821169862544352</v>
      </c>
      <c r="AE248" s="9">
        <v>59.58107557768092</v>
      </c>
      <c r="AF248" s="9">
        <v>75.278009853193169</v>
      </c>
      <c r="AG248" s="9">
        <v>896.35619333888258</v>
      </c>
      <c r="AH248" s="9">
        <v>38527.779817363225</v>
      </c>
      <c r="AI248" s="9">
        <v>3945.4129424980933</v>
      </c>
      <c r="AJ248" s="9">
        <v>43569.645345492791</v>
      </c>
      <c r="AK248" s="9">
        <v>65195332.14596168</v>
      </c>
      <c r="AL248" s="9">
        <v>60942622.981490977</v>
      </c>
    </row>
    <row r="249" spans="1:38" x14ac:dyDescent="0.25">
      <c r="A249" s="9">
        <v>247</v>
      </c>
      <c r="B249" s="9">
        <v>65</v>
      </c>
      <c r="C249" s="9">
        <v>1.5349999999999999E-3</v>
      </c>
      <c r="D249" s="9">
        <v>1.7083017390518884</v>
      </c>
      <c r="E249" s="9">
        <v>10.175199747699784</v>
      </c>
      <c r="F249" s="9">
        <v>10.88188115420086</v>
      </c>
      <c r="G249" s="9">
        <v>14.733815874866597</v>
      </c>
      <c r="H249" s="9">
        <v>55.114882361425089</v>
      </c>
      <c r="I249" s="9">
        <v>4993.6391562991421</v>
      </c>
      <c r="J249" s="9">
        <v>2979.9696316815512</v>
      </c>
      <c r="K249" s="9">
        <v>1220.2104062874307</v>
      </c>
      <c r="L249" s="9">
        <v>3134.1958291433889</v>
      </c>
      <c r="M249" s="9">
        <v>2.2856857135638373</v>
      </c>
      <c r="N249" s="9">
        <v>729.16474750502425</v>
      </c>
      <c r="O249" s="9">
        <v>25.935677698368906</v>
      </c>
      <c r="P249" s="9">
        <v>1.7292293846310947</v>
      </c>
      <c r="Q249" s="9">
        <v>25.935677698368906</v>
      </c>
      <c r="R249" s="9">
        <v>114.84733173411003</v>
      </c>
      <c r="S249" s="9">
        <v>49.447744628808088</v>
      </c>
      <c r="T249" s="9">
        <v>628.67546394912063</v>
      </c>
      <c r="U249" s="9">
        <v>944.35096767664663</v>
      </c>
      <c r="V249" s="9">
        <v>1438.4283302759361</v>
      </c>
      <c r="W249" s="9">
        <v>120051.51889648585</v>
      </c>
      <c r="X249" s="9">
        <v>120539.82374386145</v>
      </c>
      <c r="Y249" s="9">
        <v>488.30484737559317</v>
      </c>
      <c r="Z249" s="9">
        <v>179759.41674187532</v>
      </c>
      <c r="AA249" s="9">
        <v>180541.45310300894</v>
      </c>
      <c r="AB249" s="9">
        <v>782.0363611336345</v>
      </c>
      <c r="AC249" s="9">
        <v>9.3045501387026182</v>
      </c>
      <c r="AD249" s="9">
        <v>55.420921292471483</v>
      </c>
      <c r="AE249" s="9">
        <v>59.269979353214012</v>
      </c>
      <c r="AF249" s="9">
        <v>74.982844623175254</v>
      </c>
      <c r="AG249" s="9">
        <v>893.41224307870073</v>
      </c>
      <c r="AH249" s="9">
        <v>38439.862172142159</v>
      </c>
      <c r="AI249" s="9">
        <v>3935.7932337299799</v>
      </c>
      <c r="AJ249" s="9">
        <v>43468.045944358404</v>
      </c>
      <c r="AK249" s="9">
        <v>65238800.191906035</v>
      </c>
      <c r="AL249" s="9">
        <v>60958187.557841666</v>
      </c>
    </row>
    <row r="250" spans="1:38" x14ac:dyDescent="0.25">
      <c r="A250" s="9">
        <v>248</v>
      </c>
      <c r="B250" s="9">
        <v>65</v>
      </c>
      <c r="C250" s="9">
        <v>1.5349999999999999E-3</v>
      </c>
      <c r="D250" s="9">
        <v>1.6880573407586261</v>
      </c>
      <c r="E250" s="9">
        <v>10.102158132137081</v>
      </c>
      <c r="F250" s="9">
        <v>10.824915270075357</v>
      </c>
      <c r="G250" s="9">
        <v>14.675893821519718</v>
      </c>
      <c r="H250" s="9">
        <v>54.933769360730075</v>
      </c>
      <c r="I250" s="9">
        <v>4993.7897689807487</v>
      </c>
      <c r="J250" s="9">
        <v>2975.3953782969202</v>
      </c>
      <c r="K250" s="9">
        <v>1218.3373833137796</v>
      </c>
      <c r="L250" s="9">
        <v>3125.978756658415</v>
      </c>
      <c r="M250" s="9">
        <v>2.2795719587628431</v>
      </c>
      <c r="N250" s="9">
        <v>731.44431946378711</v>
      </c>
      <c r="O250" s="9">
        <v>25.868258777671723</v>
      </c>
      <c r="P250" s="9">
        <v>1.724843823328275</v>
      </c>
      <c r="Q250" s="9">
        <v>25.868258777671723</v>
      </c>
      <c r="R250" s="9">
        <v>114.59264968783063</v>
      </c>
      <c r="S250" s="9">
        <v>49.327014306993881</v>
      </c>
      <c r="T250" s="9">
        <v>630.87286922319652</v>
      </c>
      <c r="U250" s="9">
        <v>948.15500098277835</v>
      </c>
      <c r="V250" s="9">
        <v>1450.1207640535843</v>
      </c>
      <c r="W250" s="9">
        <v>120051.51889648585</v>
      </c>
      <c r="X250" s="9">
        <v>120539.82374386145</v>
      </c>
      <c r="Y250" s="9">
        <v>488.30484737559317</v>
      </c>
      <c r="Z250" s="9">
        <v>179759.41674187532</v>
      </c>
      <c r="AA250" s="9">
        <v>180541.45310300894</v>
      </c>
      <c r="AB250" s="9">
        <v>782.0363611336345</v>
      </c>
      <c r="AC250" s="9">
        <v>9.1942856493319827</v>
      </c>
      <c r="AD250" s="9">
        <v>55.023087959706629</v>
      </c>
      <c r="AE250" s="9">
        <v>58.959705171010441</v>
      </c>
      <c r="AF250" s="9">
        <v>74.688069640017432</v>
      </c>
      <c r="AG250" s="9">
        <v>890.4764013374346</v>
      </c>
      <c r="AH250" s="9">
        <v>38351.914650448984</v>
      </c>
      <c r="AI250" s="9">
        <v>3926.1837037651781</v>
      </c>
      <c r="AJ250" s="9">
        <v>43366.439903971666</v>
      </c>
      <c r="AK250" s="9">
        <v>65282166.631810009</v>
      </c>
      <c r="AL250" s="9">
        <v>60973651.319838606</v>
      </c>
    </row>
    <row r="251" spans="1:38" x14ac:dyDescent="0.25">
      <c r="A251" s="9">
        <v>249</v>
      </c>
      <c r="B251" s="9">
        <v>65</v>
      </c>
      <c r="C251" s="9">
        <v>1.5349999999999999E-3</v>
      </c>
      <c r="D251" s="9">
        <v>1.6680528507045744</v>
      </c>
      <c r="E251" s="9">
        <v>10.029558503956725</v>
      </c>
      <c r="F251" s="9">
        <v>10.768101751230681</v>
      </c>
      <c r="G251" s="9">
        <v>14.618049147729344</v>
      </c>
      <c r="H251" s="9">
        <v>54.753154350270407</v>
      </c>
      <c r="I251" s="9">
        <v>4993.9397895689117</v>
      </c>
      <c r="J251" s="9">
        <v>2970.8281463912344</v>
      </c>
      <c r="K251" s="9">
        <v>1216.467235430393</v>
      </c>
      <c r="L251" s="9">
        <v>3117.7832272689925</v>
      </c>
      <c r="M251" s="9">
        <v>2.2734743123593293</v>
      </c>
      <c r="N251" s="9">
        <v>733.71779377614644</v>
      </c>
      <c r="O251" s="9">
        <v>25.800734052722678</v>
      </c>
      <c r="P251" s="9">
        <v>1.7204692322773207</v>
      </c>
      <c r="Q251" s="9">
        <v>25.800734052722678</v>
      </c>
      <c r="R251" s="9">
        <v>114.33798278852485</v>
      </c>
      <c r="S251" s="9">
        <v>49.206414840116103</v>
      </c>
      <c r="T251" s="9">
        <v>633.06474545288279</v>
      </c>
      <c r="U251" s="9">
        <v>951.94993187355271</v>
      </c>
      <c r="V251" s="9">
        <v>1461.7894107542584</v>
      </c>
      <c r="W251" s="9">
        <v>120051.51889648585</v>
      </c>
      <c r="X251" s="9">
        <v>120539.82374386145</v>
      </c>
      <c r="Y251" s="9">
        <v>488.30484737559317</v>
      </c>
      <c r="Z251" s="9">
        <v>179759.41674187532</v>
      </c>
      <c r="AA251" s="9">
        <v>180541.45310300894</v>
      </c>
      <c r="AB251" s="9">
        <v>782.0363611336345</v>
      </c>
      <c r="AC251" s="9">
        <v>9.0853278601709153</v>
      </c>
      <c r="AD251" s="9">
        <v>54.627661984884291</v>
      </c>
      <c r="AE251" s="9">
        <v>58.650260871703104</v>
      </c>
      <c r="AF251" s="9">
        <v>74.393688454319246</v>
      </c>
      <c r="AG251" s="9">
        <v>887.54863201788339</v>
      </c>
      <c r="AH251" s="9">
        <v>38263.942375390368</v>
      </c>
      <c r="AI251" s="9">
        <v>3916.5845891990411</v>
      </c>
      <c r="AJ251" s="9">
        <v>43264.832535778369</v>
      </c>
      <c r="AK251" s="9">
        <v>65325431.46434579</v>
      </c>
      <c r="AL251" s="9">
        <v>60989014.835663415</v>
      </c>
    </row>
    <row r="252" spans="1:38" x14ac:dyDescent="0.25">
      <c r="A252" s="9">
        <v>250</v>
      </c>
      <c r="B252" s="9">
        <v>65</v>
      </c>
      <c r="C252" s="9">
        <v>1.5349999999999999E-3</v>
      </c>
      <c r="D252" s="9">
        <v>1.648285425833476</v>
      </c>
      <c r="E252" s="9">
        <v>9.957399399729189</v>
      </c>
      <c r="F252" s="9">
        <v>10.711442009062889</v>
      </c>
      <c r="G252" s="9">
        <v>14.56028255822428</v>
      </c>
      <c r="H252" s="9">
        <v>54.573035123733206</v>
      </c>
      <c r="I252" s="9">
        <v>4994.0892188546241</v>
      </c>
      <c r="J252" s="9">
        <v>2966.2679251865238</v>
      </c>
      <c r="K252" s="9">
        <v>1214.5999582240074</v>
      </c>
      <c r="L252" s="9">
        <v>3109.6091844945477</v>
      </c>
      <c r="M252" s="9">
        <v>2.267392729091525</v>
      </c>
      <c r="N252" s="9">
        <v>735.98518650523795</v>
      </c>
      <c r="O252" s="9">
        <v>25.733111183395309</v>
      </c>
      <c r="P252" s="9">
        <v>1.7161055816046897</v>
      </c>
      <c r="Q252" s="9">
        <v>25.733111183395309</v>
      </c>
      <c r="R252" s="9">
        <v>114.08334171549552</v>
      </c>
      <c r="S252" s="9">
        <v>49.085949144837357</v>
      </c>
      <c r="T252" s="9">
        <v>635.25110168938841</v>
      </c>
      <c r="U252" s="9">
        <v>955.73576467531529</v>
      </c>
      <c r="V252" s="9">
        <v>1473.4343208633304</v>
      </c>
      <c r="W252" s="9">
        <v>120051.51889648585</v>
      </c>
      <c r="X252" s="9">
        <v>120539.82374386145</v>
      </c>
      <c r="Y252" s="9">
        <v>488.30484737559317</v>
      </c>
      <c r="Z252" s="9">
        <v>179759.41674187532</v>
      </c>
      <c r="AA252" s="9">
        <v>180541.45310300894</v>
      </c>
      <c r="AB252" s="9">
        <v>782.0363611336345</v>
      </c>
      <c r="AC252" s="9">
        <v>8.9776612860396661</v>
      </c>
      <c r="AD252" s="9">
        <v>54.234635397191646</v>
      </c>
      <c r="AE252" s="9">
        <v>58.341654142695866</v>
      </c>
      <c r="AF252" s="9">
        <v>74.099704652563062</v>
      </c>
      <c r="AG252" s="9">
        <v>884.62889935571536</v>
      </c>
      <c r="AH252" s="9">
        <v>38175.950354356151</v>
      </c>
      <c r="AI252" s="9">
        <v>3906.9961221833296</v>
      </c>
      <c r="AJ252" s="9">
        <v>43163.229031373688</v>
      </c>
      <c r="AK252" s="9">
        <v>65368594.693377167</v>
      </c>
      <c r="AL252" s="9">
        <v>61004278.672356121</v>
      </c>
    </row>
    <row r="253" spans="1:38" x14ac:dyDescent="0.25">
      <c r="A253" s="9">
        <v>251</v>
      </c>
      <c r="B253" s="9">
        <v>65</v>
      </c>
      <c r="C253" s="9">
        <v>1.5349999999999999E-3</v>
      </c>
      <c r="D253" s="9">
        <v>1.6287522567809924</v>
      </c>
      <c r="E253" s="9">
        <v>9.8856793397366722</v>
      </c>
      <c r="F253" s="9">
        <v>10.654937427052868</v>
      </c>
      <c r="G253" s="9">
        <v>14.502594764403156</v>
      </c>
      <c r="H253" s="9">
        <v>54.393409495288878</v>
      </c>
      <c r="I253" s="9">
        <v>4994.238057636082</v>
      </c>
      <c r="J253" s="9">
        <v>2961.7147039213623</v>
      </c>
      <c r="K253" s="9">
        <v>1212.7355472881336</v>
      </c>
      <c r="L253" s="9">
        <v>3101.4565720025848</v>
      </c>
      <c r="M253" s="9">
        <v>2.2613271638649648</v>
      </c>
      <c r="N253" s="9">
        <v>738.24651366910291</v>
      </c>
      <c r="O253" s="9">
        <v>25.665397631455242</v>
      </c>
      <c r="P253" s="9">
        <v>1.7117528415447574</v>
      </c>
      <c r="Q253" s="9">
        <v>25.665397631455242</v>
      </c>
      <c r="R253" s="9">
        <v>113.82873693420973</v>
      </c>
      <c r="S253" s="9">
        <v>48.965620082216219</v>
      </c>
      <c r="T253" s="9">
        <v>637.43194706505312</v>
      </c>
      <c r="U253" s="9">
        <v>959.51250407902535</v>
      </c>
      <c r="V253" s="9">
        <v>1485.0555447820348</v>
      </c>
      <c r="W253" s="9">
        <v>120051.51889648585</v>
      </c>
      <c r="X253" s="9">
        <v>120539.82374386145</v>
      </c>
      <c r="Y253" s="9">
        <v>488.30484737559317</v>
      </c>
      <c r="Z253" s="9">
        <v>179759.41674187532</v>
      </c>
      <c r="AA253" s="9">
        <v>180541.45310300894</v>
      </c>
      <c r="AB253" s="9">
        <v>782.0363611336345</v>
      </c>
      <c r="AC253" s="9">
        <v>8.8712706252671385</v>
      </c>
      <c r="AD253" s="9">
        <v>53.844000137099073</v>
      </c>
      <c r="AE253" s="9">
        <v>58.033892519347951</v>
      </c>
      <c r="AF253" s="9">
        <v>73.806121855175064</v>
      </c>
      <c r="AG253" s="9">
        <v>881.71716791863275</v>
      </c>
      <c r="AH253" s="9">
        <v>38087.943482257717</v>
      </c>
      <c r="AI253" s="9">
        <v>3897.4185304439998</v>
      </c>
      <c r="AJ253" s="9">
        <v>43061.634465757241</v>
      </c>
      <c r="AK253" s="9">
        <v>65411656.327842921</v>
      </c>
      <c r="AL253" s="9">
        <v>61019443.395758562</v>
      </c>
    </row>
    <row r="254" spans="1:38" x14ac:dyDescent="0.25">
      <c r="A254" s="9">
        <v>252</v>
      </c>
      <c r="B254" s="9">
        <v>66</v>
      </c>
      <c r="C254" s="9">
        <v>1.5349999999999999E-3</v>
      </c>
      <c r="D254" s="9">
        <v>1.6094505674754342</v>
      </c>
      <c r="E254" s="9">
        <v>9.8143968284657799</v>
      </c>
      <c r="F254" s="9">
        <v>10.598589360984844</v>
      </c>
      <c r="G254" s="9">
        <v>14.444986483960211</v>
      </c>
      <c r="H254" s="9">
        <v>54.214275299535991</v>
      </c>
      <c r="I254" s="9">
        <v>4994.3863067187549</v>
      </c>
      <c r="J254" s="9">
        <v>2957.1684718508432</v>
      </c>
      <c r="K254" s="9">
        <v>1210.8739982230463</v>
      </c>
      <c r="L254" s="9">
        <v>3093.3253336082985</v>
      </c>
      <c r="M254" s="9">
        <v>2.2552775717520555</v>
      </c>
      <c r="N254" s="9">
        <v>740.50179124085491</v>
      </c>
      <c r="O254" s="9">
        <v>25.601442880673975</v>
      </c>
      <c r="P254" s="9">
        <v>1.7035687663260266</v>
      </c>
      <c r="Q254" s="9">
        <v>25.601442880673975</v>
      </c>
      <c r="R254" s="9">
        <v>113.57033648397875</v>
      </c>
      <c r="S254" s="9">
        <v>48.845430457989458</v>
      </c>
      <c r="T254" s="9">
        <v>639.60729079102259</v>
      </c>
      <c r="U254" s="9">
        <v>963.28015513233925</v>
      </c>
      <c r="V254" s="9">
        <v>1496.6531328270396</v>
      </c>
      <c r="W254" s="9">
        <v>122878.65233002498</v>
      </c>
      <c r="X254" s="9">
        <v>123381.59558779211</v>
      </c>
      <c r="Y254" s="9">
        <v>502.94325776712333</v>
      </c>
      <c r="Z254" s="9">
        <v>187260.64339322178</v>
      </c>
      <c r="AA254" s="9">
        <v>188081.5198150542</v>
      </c>
      <c r="AB254" s="9">
        <v>820.87642183244361</v>
      </c>
      <c r="AC254" s="9">
        <v>8.7661407575161974</v>
      </c>
      <c r="AD254" s="9">
        <v>53.455748059043614</v>
      </c>
      <c r="AE254" s="9">
        <v>57.726983386164115</v>
      </c>
      <c r="AF254" s="9">
        <v>73.512943714620832</v>
      </c>
      <c r="AG254" s="9">
        <v>878.81340260547847</v>
      </c>
      <c r="AH254" s="9">
        <v>37999.926543655994</v>
      </c>
      <c r="AI254" s="9">
        <v>3887.8520373036708</v>
      </c>
      <c r="AJ254" s="9">
        <v>42960.053799482492</v>
      </c>
      <c r="AK254" s="9">
        <v>65454616.381642401</v>
      </c>
      <c r="AL254" s="9">
        <v>61034509.570459619</v>
      </c>
    </row>
    <row r="255" spans="1:38" x14ac:dyDescent="0.25">
      <c r="A255" s="9">
        <v>253</v>
      </c>
      <c r="B255" s="9">
        <v>66</v>
      </c>
      <c r="C255" s="9">
        <v>1.6833333333333333E-3</v>
      </c>
      <c r="D255" s="9">
        <v>1.590138879575715</v>
      </c>
      <c r="E255" s="9">
        <v>9.7420945528954821</v>
      </c>
      <c r="F255" s="9">
        <v>10.54082701507734</v>
      </c>
      <c r="G255" s="9">
        <v>14.385315767522668</v>
      </c>
      <c r="H255" s="9">
        <v>54.027588607273259</v>
      </c>
      <c r="I255" s="9">
        <v>4994.5339669154482</v>
      </c>
      <c r="J255" s="9">
        <v>2952.1905715898943</v>
      </c>
      <c r="K255" s="9">
        <v>1208.8356936593709</v>
      </c>
      <c r="L255" s="9">
        <v>3084.7565700163659</v>
      </c>
      <c r="M255" s="9">
        <v>2.249243907991636</v>
      </c>
      <c r="N255" s="9">
        <v>742.75103514884654</v>
      </c>
      <c r="O255" s="9">
        <v>25.53351233123368</v>
      </c>
      <c r="P255" s="9">
        <v>1.6992475047663196</v>
      </c>
      <c r="Q255" s="9">
        <v>25.53351233123368</v>
      </c>
      <c r="R255" s="9">
        <v>113.29522233460351</v>
      </c>
      <c r="S255" s="9">
        <v>48.718137617368434</v>
      </c>
      <c r="T255" s="9">
        <v>641.77714215496951</v>
      </c>
      <c r="U255" s="9">
        <v>967.03874917417534</v>
      </c>
      <c r="V255" s="9">
        <v>1509.3455784589823</v>
      </c>
      <c r="W255" s="9">
        <v>122878.65233002498</v>
      </c>
      <c r="X255" s="9">
        <v>123381.59558779211</v>
      </c>
      <c r="Y255" s="9">
        <v>502.94325776712333</v>
      </c>
      <c r="Z255" s="9">
        <v>187260.64339322178</v>
      </c>
      <c r="AA255" s="9">
        <v>188081.5198150542</v>
      </c>
      <c r="AB255" s="9">
        <v>820.87642183244361</v>
      </c>
      <c r="AC255" s="9">
        <v>8.6609564307557267</v>
      </c>
      <c r="AD255" s="9">
        <v>53.061941664770721</v>
      </c>
      <c r="AE255" s="9">
        <v>57.412371142121245</v>
      </c>
      <c r="AF255" s="9">
        <v>73.209269493550778</v>
      </c>
      <c r="AG255" s="9">
        <v>875.78721132389956</v>
      </c>
      <c r="AH255" s="9">
        <v>37906.260475609073</v>
      </c>
      <c r="AI255" s="9">
        <v>3877.7201636544405</v>
      </c>
      <c r="AJ255" s="9">
        <v>42852.112389318609</v>
      </c>
      <c r="AK255" s="9">
        <v>65497468.49403172</v>
      </c>
      <c r="AL255" s="9">
        <v>61049475.531725548</v>
      </c>
    </row>
    <row r="256" spans="1:38" x14ac:dyDescent="0.25">
      <c r="A256" s="9">
        <v>254</v>
      </c>
      <c r="B256" s="9">
        <v>66</v>
      </c>
      <c r="C256" s="9">
        <v>1.6833333333333333E-3</v>
      </c>
      <c r="D256" s="9">
        <v>1.5710589113057083</v>
      </c>
      <c r="E256" s="9">
        <v>9.6702480232926664</v>
      </c>
      <c r="F256" s="9">
        <v>10.483240717433429</v>
      </c>
      <c r="G256" s="9">
        <v>14.32574340175797</v>
      </c>
      <c r="H256" s="9">
        <v>53.841443268799885</v>
      </c>
      <c r="I256" s="9">
        <v>4994.6810171434345</v>
      </c>
      <c r="J256" s="9">
        <v>2947.2210507943846</v>
      </c>
      <c r="K256" s="9">
        <v>1206.8008202417109</v>
      </c>
      <c r="L256" s="9">
        <v>3076.2115425988013</v>
      </c>
      <c r="M256" s="9">
        <v>2.2428924901421707</v>
      </c>
      <c r="N256" s="9">
        <v>744.99392763898868</v>
      </c>
      <c r="O256" s="9">
        <v>25.465414074716065</v>
      </c>
      <c r="P256" s="9">
        <v>1.6947033942839347</v>
      </c>
      <c r="Q256" s="9">
        <v>25.465414074716065</v>
      </c>
      <c r="R256" s="9">
        <v>113.02034679216889</v>
      </c>
      <c r="S256" s="9">
        <v>48.591026198945002</v>
      </c>
      <c r="T256" s="9">
        <v>643.94118850577354</v>
      </c>
      <c r="U256" s="9">
        <v>970.78773347387278</v>
      </c>
      <c r="V256" s="9">
        <v>1522.0103315074737</v>
      </c>
      <c r="W256" s="9">
        <v>122878.65233002498</v>
      </c>
      <c r="X256" s="9">
        <v>123381.59558779211</v>
      </c>
      <c r="Y256" s="9">
        <v>502.94325776712333</v>
      </c>
      <c r="Z256" s="9">
        <v>187260.64339322178</v>
      </c>
      <c r="AA256" s="9">
        <v>188081.5198150542</v>
      </c>
      <c r="AB256" s="9">
        <v>820.87642183244361</v>
      </c>
      <c r="AC256" s="9">
        <v>8.5570342035784233</v>
      </c>
      <c r="AD256" s="9">
        <v>52.670617566867385</v>
      </c>
      <c r="AE256" s="9">
        <v>57.098717774287401</v>
      </c>
      <c r="AF256" s="9">
        <v>72.906095795446603</v>
      </c>
      <c r="AG256" s="9">
        <v>872.76979538724618</v>
      </c>
      <c r="AH256" s="9">
        <v>37812.61376629716</v>
      </c>
      <c r="AI256" s="9">
        <v>3867.6027303050273</v>
      </c>
      <c r="AJ256" s="9">
        <v>42744.218757329611</v>
      </c>
      <c r="AK256" s="9">
        <v>65540212.712789051</v>
      </c>
      <c r="AL256" s="9">
        <v>61064341.868420884</v>
      </c>
    </row>
    <row r="257" spans="1:38" x14ac:dyDescent="0.25">
      <c r="A257" s="9">
        <v>255</v>
      </c>
      <c r="B257" s="9">
        <v>66</v>
      </c>
      <c r="C257" s="9">
        <v>1.6833333333333333E-3</v>
      </c>
      <c r="D257" s="9">
        <v>1.5522078822773366</v>
      </c>
      <c r="E257" s="9">
        <v>9.5988555015623778</v>
      </c>
      <c r="F257" s="9">
        <v>10.425831667504641</v>
      </c>
      <c r="G257" s="9">
        <v>14.266270081194271</v>
      </c>
      <c r="H257" s="9">
        <v>53.655836950877337</v>
      </c>
      <c r="I257" s="9">
        <v>4994.8274584080782</v>
      </c>
      <c r="J257" s="9">
        <v>2942.2598953588808</v>
      </c>
      <c r="K257" s="9">
        <v>1204.769372194304</v>
      </c>
      <c r="L257" s="9">
        <v>3067.6901856044642</v>
      </c>
      <c r="M257" s="9">
        <v>2.2365587463846923</v>
      </c>
      <c r="N257" s="9">
        <v>747.23048638537341</v>
      </c>
      <c r="O257" s="9">
        <v>25.397157846354485</v>
      </c>
      <c r="P257" s="9">
        <v>1.6901712696455127</v>
      </c>
      <c r="Q257" s="9">
        <v>25.397157846354485</v>
      </c>
      <c r="R257" s="9">
        <v>112.74571769446041</v>
      </c>
      <c r="S257" s="9">
        <v>48.464098633981486</v>
      </c>
      <c r="T257" s="9">
        <v>646.09944080677349</v>
      </c>
      <c r="U257" s="9">
        <v>974.52711582411723</v>
      </c>
      <c r="V257" s="9">
        <v>1534.6474547647629</v>
      </c>
      <c r="W257" s="9">
        <v>122878.65233002498</v>
      </c>
      <c r="X257" s="9">
        <v>123381.59558779211</v>
      </c>
      <c r="Y257" s="9">
        <v>502.94325776712333</v>
      </c>
      <c r="Z257" s="9">
        <v>187260.64339322178</v>
      </c>
      <c r="AA257" s="9">
        <v>188081.5198150542</v>
      </c>
      <c r="AB257" s="9">
        <v>820.87642183244361</v>
      </c>
      <c r="AC257" s="9">
        <v>8.454358932137227</v>
      </c>
      <c r="AD257" s="9">
        <v>52.281766298509744</v>
      </c>
      <c r="AE257" s="9">
        <v>56.786029815675271</v>
      </c>
      <c r="AF257" s="9">
        <v>72.603426154877837</v>
      </c>
      <c r="AG257" s="9">
        <v>869.76111697372164</v>
      </c>
      <c r="AH257" s="9">
        <v>37718.991213915906</v>
      </c>
      <c r="AI257" s="9">
        <v>3857.4999307717562</v>
      </c>
      <c r="AJ257" s="9">
        <v>42636.377842862581</v>
      </c>
      <c r="AK257" s="9">
        <v>65582849.090631917</v>
      </c>
      <c r="AL257" s="9">
        <v>61079109.167890534</v>
      </c>
    </row>
    <row r="258" spans="1:38" x14ac:dyDescent="0.25">
      <c r="A258" s="9">
        <v>256</v>
      </c>
      <c r="B258" s="9">
        <v>66</v>
      </c>
      <c r="C258" s="9">
        <v>1.6833333333333333E-3</v>
      </c>
      <c r="D258" s="9">
        <v>1.5335830454642099</v>
      </c>
      <c r="E258" s="9">
        <v>9.5279152366730049</v>
      </c>
      <c r="F258" s="9">
        <v>10.368601037194836</v>
      </c>
      <c r="G258" s="9">
        <v>14.206896504800646</v>
      </c>
      <c r="H258" s="9">
        <v>53.47076734175613</v>
      </c>
      <c r="I258" s="9">
        <v>4994.9732917218444</v>
      </c>
      <c r="J258" s="9">
        <v>2937.3070912016933</v>
      </c>
      <c r="K258" s="9">
        <v>1202.7413437511102</v>
      </c>
      <c r="L258" s="9">
        <v>3059.1924334643513</v>
      </c>
      <c r="M258" s="9">
        <v>2.2302426250015071</v>
      </c>
      <c r="N258" s="9">
        <v>749.46072901037496</v>
      </c>
      <c r="O258" s="9">
        <v>25.328753130002067</v>
      </c>
      <c r="P258" s="9">
        <v>1.6856510969979339</v>
      </c>
      <c r="Q258" s="9">
        <v>25.328753130002067</v>
      </c>
      <c r="R258" s="9">
        <v>112.4713427091546</v>
      </c>
      <c r="S258" s="9">
        <v>48.337357312027656</v>
      </c>
      <c r="T258" s="9">
        <v>648.25191009393507</v>
      </c>
      <c r="U258" s="9">
        <v>978.25690436666355</v>
      </c>
      <c r="V258" s="9">
        <v>1547.2570109042795</v>
      </c>
      <c r="W258" s="9">
        <v>122878.65233002498</v>
      </c>
      <c r="X258" s="9">
        <v>123381.59558779211</v>
      </c>
      <c r="Y258" s="9">
        <v>502.94325776712333</v>
      </c>
      <c r="Z258" s="9">
        <v>187260.64339322178</v>
      </c>
      <c r="AA258" s="9">
        <v>188081.5198150542</v>
      </c>
      <c r="AB258" s="9">
        <v>820.87642183244361</v>
      </c>
      <c r="AC258" s="9">
        <v>8.352915654295062</v>
      </c>
      <c r="AD258" s="9">
        <v>51.895378322412299</v>
      </c>
      <c r="AE258" s="9">
        <v>56.474313649254533</v>
      </c>
      <c r="AF258" s="9">
        <v>72.301264129014612</v>
      </c>
      <c r="AG258" s="9">
        <v>866.76113860986686</v>
      </c>
      <c r="AH258" s="9">
        <v>37625.397501576132</v>
      </c>
      <c r="AI258" s="9">
        <v>3847.4119552508414</v>
      </c>
      <c r="AJ258" s="9">
        <v>42528.594467191819</v>
      </c>
      <c r="AK258" s="9">
        <v>65625377.68509911</v>
      </c>
      <c r="AL258" s="9">
        <v>61093778.01590763</v>
      </c>
    </row>
    <row r="259" spans="1:38" x14ac:dyDescent="0.25">
      <c r="A259" s="9">
        <v>257</v>
      </c>
      <c r="B259" s="9">
        <v>66</v>
      </c>
      <c r="C259" s="9">
        <v>1.6833333333333333E-3</v>
      </c>
      <c r="D259" s="9">
        <v>1.5151816868013208</v>
      </c>
      <c r="E259" s="9">
        <v>9.4574254651176179</v>
      </c>
      <c r="F259" s="9">
        <v>10.31154997110306</v>
      </c>
      <c r="G259" s="9">
        <v>14.147623375642311</v>
      </c>
      <c r="H259" s="9">
        <v>53.286232151088683</v>
      </c>
      <c r="I259" s="9">
        <v>4995.118518104342</v>
      </c>
      <c r="J259" s="9">
        <v>2932.362624264837</v>
      </c>
      <c r="K259" s="9">
        <v>1200.7167291557957</v>
      </c>
      <c r="L259" s="9">
        <v>3050.7182207910896</v>
      </c>
      <c r="M259" s="9">
        <v>2.2239440744679144</v>
      </c>
      <c r="N259" s="9">
        <v>751.68467308484287</v>
      </c>
      <c r="O259" s="9">
        <v>25.260209161387817</v>
      </c>
      <c r="P259" s="9">
        <v>1.6811428426121815</v>
      </c>
      <c r="Q259" s="9">
        <v>25.260209161387817</v>
      </c>
      <c r="R259" s="9">
        <v>112.19722933690038</v>
      </c>
      <c r="S259" s="9">
        <v>48.210804580517419</v>
      </c>
      <c r="T259" s="9">
        <v>650.39860747348598</v>
      </c>
      <c r="U259" s="9">
        <v>981.97710758459539</v>
      </c>
      <c r="V259" s="9">
        <v>1559.8390624802489</v>
      </c>
      <c r="W259" s="9">
        <v>122878.65233002498</v>
      </c>
      <c r="X259" s="9">
        <v>123381.59558779211</v>
      </c>
      <c r="Y259" s="9">
        <v>502.94325776712333</v>
      </c>
      <c r="Z259" s="9">
        <v>187260.64339322178</v>
      </c>
      <c r="AA259" s="9">
        <v>188081.5198150542</v>
      </c>
      <c r="AB259" s="9">
        <v>820.87642183244361</v>
      </c>
      <c r="AC259" s="9">
        <v>8.252689587444527</v>
      </c>
      <c r="AD259" s="9">
        <v>51.511444033340624</v>
      </c>
      <c r="AE259" s="9">
        <v>56.163575509274665</v>
      </c>
      <c r="AF259" s="9">
        <v>71.99961329587299</v>
      </c>
      <c r="AG259" s="9">
        <v>863.76982316914757</v>
      </c>
      <c r="AH259" s="9">
        <v>37531.837199034271</v>
      </c>
      <c r="AI259" s="9">
        <v>3837.3389905862837</v>
      </c>
      <c r="AJ259" s="9">
        <v>42420.873335215634</v>
      </c>
      <c r="AK259" s="9">
        <v>65667798.558434322</v>
      </c>
      <c r="AL259" s="9">
        <v>61108348.99662298</v>
      </c>
    </row>
    <row r="260" spans="1:38" x14ac:dyDescent="0.25">
      <c r="A260" s="9">
        <v>258</v>
      </c>
      <c r="B260" s="9">
        <v>66</v>
      </c>
      <c r="C260" s="9">
        <v>1.6833333333333333E-3</v>
      </c>
      <c r="D260" s="9">
        <v>1.4970011247895434</v>
      </c>
      <c r="E260" s="9">
        <v>9.3873844113669875</v>
      </c>
      <c r="F260" s="9">
        <v>10.254679586766835</v>
      </c>
      <c r="G260" s="9">
        <v>14.088451400542533</v>
      </c>
      <c r="H260" s="9">
        <v>53.102229109839207</v>
      </c>
      <c r="I260" s="9">
        <v>4995.2631385823679</v>
      </c>
      <c r="J260" s="9">
        <v>2927.426480513991</v>
      </c>
      <c r="K260" s="9">
        <v>1198.6955226617167</v>
      </c>
      <c r="L260" s="9">
        <v>3042.2674823784355</v>
      </c>
      <c r="M260" s="9">
        <v>2.2176630434515774</v>
      </c>
      <c r="N260" s="9">
        <v>753.90233612829445</v>
      </c>
      <c r="O260" s="9">
        <v>25.191534937116916</v>
      </c>
      <c r="P260" s="9">
        <v>1.6766464728830819</v>
      </c>
      <c r="Q260" s="9">
        <v>25.191534937116916</v>
      </c>
      <c r="R260" s="9">
        <v>111.9233849143466</v>
      </c>
      <c r="S260" s="9">
        <v>48.084442744421281</v>
      </c>
      <c r="T260" s="9">
        <v>652.53954411958762</v>
      </c>
      <c r="U260" s="9">
        <v>985.68773429465091</v>
      </c>
      <c r="V260" s="9">
        <v>1572.3936719273152</v>
      </c>
      <c r="W260" s="9">
        <v>122878.65233002498</v>
      </c>
      <c r="X260" s="9">
        <v>123381.59558779211</v>
      </c>
      <c r="Y260" s="9">
        <v>502.94325776712333</v>
      </c>
      <c r="Z260" s="9">
        <v>187260.64339322178</v>
      </c>
      <c r="AA260" s="9">
        <v>188081.5198150542</v>
      </c>
      <c r="AB260" s="9">
        <v>820.87642183244361</v>
      </c>
      <c r="AC260" s="9">
        <v>8.1536661263537127</v>
      </c>
      <c r="AD260" s="9">
        <v>51.129953760578857</v>
      </c>
      <c r="AE260" s="9">
        <v>55.853821482590028</v>
      </c>
      <c r="AF260" s="9">
        <v>71.698477252594373</v>
      </c>
      <c r="AG260" s="9">
        <v>860.78713387049356</v>
      </c>
      <c r="AH260" s="9">
        <v>37438.314765976436</v>
      </c>
      <c r="AI260" s="9">
        <v>3827.2812202422119</v>
      </c>
      <c r="AJ260" s="9">
        <v>42313.219038711257</v>
      </c>
      <c r="AK260" s="9">
        <v>65710111.777473032</v>
      </c>
      <c r="AL260" s="9">
        <v>61122822.692516699</v>
      </c>
    </row>
    <row r="261" spans="1:38" x14ac:dyDescent="0.25">
      <c r="A261" s="9">
        <v>259</v>
      </c>
      <c r="B261" s="9">
        <v>66</v>
      </c>
      <c r="C261" s="9">
        <v>1.6833333333333333E-3</v>
      </c>
      <c r="D261" s="9">
        <v>1.4790387101048776</v>
      </c>
      <c r="E261" s="9">
        <v>9.3177902883144306</v>
      </c>
      <c r="F261" s="9">
        <v>10.197990974905791</v>
      </c>
      <c r="G261" s="9">
        <v>14.029381289751138</v>
      </c>
      <c r="H261" s="9">
        <v>52.918755970190702</v>
      </c>
      <c r="I261" s="9">
        <v>4995.407154189943</v>
      </c>
      <c r="J261" s="9">
        <v>2922.498645938459</v>
      </c>
      <c r="K261" s="9">
        <v>1196.6777185319029</v>
      </c>
      <c r="L261" s="9">
        <v>3033.8401532007715</v>
      </c>
      <c r="M261" s="9">
        <v>2.2113994808118909</v>
      </c>
      <c r="N261" s="9">
        <v>756.11373560910636</v>
      </c>
      <c r="O261" s="9">
        <v>25.122739217670969</v>
      </c>
      <c r="P261" s="9">
        <v>1.672161954329032</v>
      </c>
      <c r="Q261" s="9">
        <v>25.122739217670969</v>
      </c>
      <c r="R261" s="9">
        <v>111.64981661711664</v>
      </c>
      <c r="S261" s="9">
        <v>47.958274065985194</v>
      </c>
      <c r="T261" s="9">
        <v>654.67473127207677</v>
      </c>
      <c r="U261" s="9">
        <v>989.38879363971193</v>
      </c>
      <c r="V261" s="9">
        <v>1584.9209015601839</v>
      </c>
      <c r="W261" s="9">
        <v>122878.65233002498</v>
      </c>
      <c r="X261" s="9">
        <v>123381.59558779211</v>
      </c>
      <c r="Y261" s="9">
        <v>502.94325776712333</v>
      </c>
      <c r="Z261" s="9">
        <v>187260.64339322178</v>
      </c>
      <c r="AA261" s="9">
        <v>188081.5198150542</v>
      </c>
      <c r="AB261" s="9">
        <v>820.87642183244361</v>
      </c>
      <c r="AC261" s="9">
        <v>8.0558308410378991</v>
      </c>
      <c r="AD261" s="9">
        <v>50.750897770352594</v>
      </c>
      <c r="AE261" s="9">
        <v>55.545057509986869</v>
      </c>
      <c r="AF261" s="9">
        <v>71.397859613758499</v>
      </c>
      <c r="AG261" s="9">
        <v>857.81303427679131</v>
      </c>
      <c r="AH261" s="9">
        <v>37344.83455364986</v>
      </c>
      <c r="AI261" s="9">
        <v>3817.2388242820916</v>
      </c>
      <c r="AJ261" s="9">
        <v>42205.636057943877</v>
      </c>
      <c r="AK261" s="9">
        <v>65752317.413530976</v>
      </c>
      <c r="AL261" s="9">
        <v>61137199.684351362</v>
      </c>
    </row>
    <row r="262" spans="1:38" x14ac:dyDescent="0.25">
      <c r="A262" s="9">
        <v>260</v>
      </c>
      <c r="B262" s="9">
        <v>66</v>
      </c>
      <c r="C262" s="9">
        <v>1.6833333333333333E-3</v>
      </c>
      <c r="D262" s="9">
        <v>1.4612918252123817</v>
      </c>
      <c r="E262" s="9">
        <v>9.2486412977125898</v>
      </c>
      <c r="F262" s="9">
        <v>10.141485199665587</v>
      </c>
      <c r="G262" s="9">
        <v>13.970413756619539</v>
      </c>
      <c r="H262" s="9">
        <v>52.735810505449095</v>
      </c>
      <c r="I262" s="9">
        <v>4995.5505659683495</v>
      </c>
      <c r="J262" s="9">
        <v>2917.5791065511294</v>
      </c>
      <c r="K262" s="9">
        <v>1194.6633110390408</v>
      </c>
      <c r="L262" s="9">
        <v>3025.4361684126065</v>
      </c>
      <c r="M262" s="9">
        <v>2.205153335599336</v>
      </c>
      <c r="N262" s="9">
        <v>758.31888894470569</v>
      </c>
      <c r="O262" s="9">
        <v>25.053830535408277</v>
      </c>
      <c r="P262" s="9">
        <v>1.6676892535917207</v>
      </c>
      <c r="Q262" s="9">
        <v>25.053830535408277</v>
      </c>
      <c r="R262" s="9">
        <v>111.37653146273108</v>
      </c>
      <c r="S262" s="9">
        <v>47.832300764516319</v>
      </c>
      <c r="T262" s="9">
        <v>656.80418023424238</v>
      </c>
      <c r="U262" s="9">
        <v>993.08029508136053</v>
      </c>
      <c r="V262" s="9">
        <v>1597.4208135732727</v>
      </c>
      <c r="W262" s="9">
        <v>122878.65233002498</v>
      </c>
      <c r="X262" s="9">
        <v>123381.59558779211</v>
      </c>
      <c r="Y262" s="9">
        <v>502.94325776712333</v>
      </c>
      <c r="Z262" s="9">
        <v>187260.64339322178</v>
      </c>
      <c r="AA262" s="9">
        <v>188081.5198150542</v>
      </c>
      <c r="AB262" s="9">
        <v>820.87642183244361</v>
      </c>
      <c r="AC262" s="9">
        <v>7.9591694746567718</v>
      </c>
      <c r="AD262" s="9">
        <v>50.374266268207904</v>
      </c>
      <c r="AE262" s="9">
        <v>55.237289387511893</v>
      </c>
      <c r="AF262" s="9">
        <v>71.097764009729602</v>
      </c>
      <c r="AG262" s="9">
        <v>854.84748829332989</v>
      </c>
      <c r="AH262" s="9">
        <v>37251.400807845297</v>
      </c>
      <c r="AI262" s="9">
        <v>3807.2119793516763</v>
      </c>
      <c r="AJ262" s="9">
        <v>42098.128764630412</v>
      </c>
      <c r="AK262" s="9">
        <v>65794415.542295605</v>
      </c>
      <c r="AL262" s="9">
        <v>61151480.551127121</v>
      </c>
    </row>
    <row r="263" spans="1:38" x14ac:dyDescent="0.25">
      <c r="A263" s="9">
        <v>261</v>
      </c>
      <c r="B263" s="9">
        <v>66</v>
      </c>
      <c r="C263" s="9">
        <v>1.6833333333333333E-3</v>
      </c>
      <c r="D263" s="9">
        <v>1.4437578839847376</v>
      </c>
      <c r="E263" s="9">
        <v>9.1799356306022766</v>
      </c>
      <c r="F263" s="9">
        <v>10.085163298862073</v>
      </c>
      <c r="G263" s="9">
        <v>13.911549517282237</v>
      </c>
      <c r="H263" s="9">
        <v>52.553390509944713</v>
      </c>
      <c r="I263" s="9">
        <v>4995.6933749661612</v>
      </c>
      <c r="J263" s="9">
        <v>2912.6678483884348</v>
      </c>
      <c r="K263" s="9">
        <v>1192.6522944654585</v>
      </c>
      <c r="L263" s="9">
        <v>3017.055463348077</v>
      </c>
      <c r="M263" s="9">
        <v>2.1989245570548284</v>
      </c>
      <c r="N263" s="9">
        <v>760.51781350176054</v>
      </c>
      <c r="O263" s="9">
        <v>24.984817199564162</v>
      </c>
      <c r="P263" s="9">
        <v>1.6632283374358381</v>
      </c>
      <c r="Q263" s="9">
        <v>24.984817199564162</v>
      </c>
      <c r="R263" s="9">
        <v>111.1035363134792</v>
      </c>
      <c r="S263" s="9">
        <v>47.706525016242502</v>
      </c>
      <c r="T263" s="9">
        <v>658.92790237066549</v>
      </c>
      <c r="U263" s="9">
        <v>996.76224839258748</v>
      </c>
      <c r="V263" s="9">
        <v>1609.8934700403786</v>
      </c>
      <c r="W263" s="9">
        <v>122878.65233002498</v>
      </c>
      <c r="X263" s="9">
        <v>123381.59558779211</v>
      </c>
      <c r="Y263" s="9">
        <v>502.94325776712333</v>
      </c>
      <c r="Z263" s="9">
        <v>187260.64339322178</v>
      </c>
      <c r="AA263" s="9">
        <v>188081.5198150542</v>
      </c>
      <c r="AB263" s="9">
        <v>820.87642183244361</v>
      </c>
      <c r="AC263" s="9">
        <v>7.8636679414368702</v>
      </c>
      <c r="AD263" s="9">
        <v>50.000049401347063</v>
      </c>
      <c r="AE263" s="9">
        <v>54.930522767802088</v>
      </c>
      <c r="AF263" s="9">
        <v>70.798194085035519</v>
      </c>
      <c r="AG263" s="9">
        <v>851.89046016620387</v>
      </c>
      <c r="AH263" s="9">
        <v>37158.017671046407</v>
      </c>
      <c r="AI263" s="9">
        <v>3797.2008586678216</v>
      </c>
      <c r="AJ263" s="9">
        <v>41990.701424076055</v>
      </c>
      <c r="AK263" s="9">
        <v>65836406.243719682</v>
      </c>
      <c r="AL263" s="9">
        <v>61165665.870038517</v>
      </c>
    </row>
    <row r="264" spans="1:38" x14ac:dyDescent="0.25">
      <c r="A264" s="9">
        <v>262</v>
      </c>
      <c r="B264" s="9">
        <v>66</v>
      </c>
      <c r="C264" s="9">
        <v>1.6833333333333333E-3</v>
      </c>
      <c r="D264" s="9">
        <v>1.4264343313253931</v>
      </c>
      <c r="E264" s="9">
        <v>9.111671467733494</v>
      </c>
      <c r="F264" s="9">
        <v>10.029026284225599</v>
      </c>
      <c r="G264" s="9">
        <v>13.852789290344683</v>
      </c>
      <c r="H264" s="9">
        <v>52.371493798931034</v>
      </c>
      <c r="I264" s="9">
        <v>4995.8355822392732</v>
      </c>
      <c r="J264" s="9">
        <v>2907.7648575103144</v>
      </c>
      <c r="K264" s="9">
        <v>1190.6446631031083</v>
      </c>
      <c r="L264" s="9">
        <v>3008.6979735204482</v>
      </c>
      <c r="M264" s="9">
        <v>2.1927130946090592</v>
      </c>
      <c r="N264" s="9">
        <v>762.71052659636962</v>
      </c>
      <c r="O264" s="9">
        <v>24.915707300251221</v>
      </c>
      <c r="P264" s="9">
        <v>1.658779172748778</v>
      </c>
      <c r="Q264" s="9">
        <v>24.915707300251221</v>
      </c>
      <c r="R264" s="9">
        <v>110.83083787924033</v>
      </c>
      <c r="S264" s="9">
        <v>47.580948954224034</v>
      </c>
      <c r="T264" s="9">
        <v>661.04590910510512</v>
      </c>
      <c r="U264" s="9">
        <v>1000.4346636506056</v>
      </c>
      <c r="V264" s="9">
        <v>1622.3389329143579</v>
      </c>
      <c r="W264" s="9">
        <v>122878.65233002498</v>
      </c>
      <c r="X264" s="9">
        <v>123381.59558779211</v>
      </c>
      <c r="Y264" s="9">
        <v>502.94325776712333</v>
      </c>
      <c r="Z264" s="9">
        <v>187260.64339322178</v>
      </c>
      <c r="AA264" s="9">
        <v>188081.5198150542</v>
      </c>
      <c r="AB264" s="9">
        <v>820.87642183244361</v>
      </c>
      <c r="AC264" s="9">
        <v>7.7693123246189737</v>
      </c>
      <c r="AD264" s="9">
        <v>49.628237260921757</v>
      </c>
      <c r="AE264" s="9">
        <v>54.62476316141543</v>
      </c>
      <c r="AF264" s="9">
        <v>70.499153496779144</v>
      </c>
      <c r="AG264" s="9">
        <v>848.94191448067215</v>
      </c>
      <c r="AH264" s="9">
        <v>37064.689184292307</v>
      </c>
      <c r="AI264" s="9">
        <v>3787.2056320114621</v>
      </c>
      <c r="AJ264" s="9">
        <v>41883.358197028174</v>
      </c>
      <c r="AK264" s="9">
        <v>65878289.601916708</v>
      </c>
      <c r="AL264" s="9">
        <v>61179756.21643278</v>
      </c>
    </row>
    <row r="265" spans="1:38" x14ac:dyDescent="0.25">
      <c r="A265" s="9">
        <v>263</v>
      </c>
      <c r="B265" s="9">
        <v>66</v>
      </c>
      <c r="C265" s="9">
        <v>1.6833333333333333E-3</v>
      </c>
      <c r="D265" s="9">
        <v>1.4093186427962259</v>
      </c>
      <c r="E265" s="9">
        <v>9.0438469799787562</v>
      </c>
      <c r="F265" s="9">
        <v>9.9730751416454382</v>
      </c>
      <c r="G265" s="9">
        <v>13.794133796577452</v>
      </c>
      <c r="H265" s="9">
        <v>52.190118208480946</v>
      </c>
      <c r="I265" s="9">
        <v>4995.9771888509258</v>
      </c>
      <c r="J265" s="9">
        <v>2902.8701200001719</v>
      </c>
      <c r="K265" s="9">
        <v>1188.6404112535515</v>
      </c>
      <c r="L265" s="9">
        <v>3000.3636346216199</v>
      </c>
      <c r="M265" s="9">
        <v>2.1865188978818257</v>
      </c>
      <c r="N265" s="9">
        <v>764.89704549425142</v>
      </c>
      <c r="O265" s="9">
        <v>24.84650871545967</v>
      </c>
      <c r="P265" s="9">
        <v>1.6543417265403308</v>
      </c>
      <c r="Q265" s="9">
        <v>24.84650871545967</v>
      </c>
      <c r="R265" s="9">
        <v>110.55844272025581</v>
      </c>
      <c r="S265" s="9">
        <v>47.455574668309204</v>
      </c>
      <c r="T265" s="9">
        <v>663.15821191842372</v>
      </c>
      <c r="U265" s="9">
        <v>1004.097551229753</v>
      </c>
      <c r="V265" s="9">
        <v>1634.7572640268154</v>
      </c>
      <c r="W265" s="9">
        <v>122878.65233002498</v>
      </c>
      <c r="X265" s="9">
        <v>123381.59558779211</v>
      </c>
      <c r="Y265" s="9">
        <v>502.94325776712333</v>
      </c>
      <c r="Z265" s="9">
        <v>187260.64339322178</v>
      </c>
      <c r="AA265" s="9">
        <v>188081.5198150542</v>
      </c>
      <c r="AB265" s="9">
        <v>820.87642183244361</v>
      </c>
      <c r="AC265" s="9">
        <v>7.6760888744301097</v>
      </c>
      <c r="AD265" s="9">
        <v>49.258819884284286</v>
      </c>
      <c r="AE265" s="9">
        <v>54.32001593816215</v>
      </c>
      <c r="AF265" s="9">
        <v>70.20064591308207</v>
      </c>
      <c r="AG265" s="9">
        <v>846.00181615947622</v>
      </c>
      <c r="AH265" s="9">
        <v>36971.419289845879</v>
      </c>
      <c r="AI265" s="9">
        <v>3777.2264657240712</v>
      </c>
      <c r="AJ265" s="9">
        <v>41776.103142339387</v>
      </c>
      <c r="AK265" s="9">
        <v>65920065.705059044</v>
      </c>
      <c r="AL265" s="9">
        <v>61193752.163769953</v>
      </c>
    </row>
    <row r="266" spans="1:38" x14ac:dyDescent="0.25">
      <c r="A266" s="9">
        <v>264</v>
      </c>
      <c r="B266" s="9">
        <v>67</v>
      </c>
      <c r="C266" s="9">
        <v>1.6833333333333333E-3</v>
      </c>
      <c r="D266" s="9">
        <v>1.392408324249675</v>
      </c>
      <c r="E266" s="9">
        <v>8.9764603287388258</v>
      </c>
      <c r="F266" s="9">
        <v>9.9173108314142553</v>
      </c>
      <c r="G266" s="9">
        <v>13.735583758616649</v>
      </c>
      <c r="H266" s="9">
        <v>52.009261595380465</v>
      </c>
      <c r="I266" s="9">
        <v>4996.118195871727</v>
      </c>
      <c r="J266" s="9">
        <v>2897.9836219648382</v>
      </c>
      <c r="K266" s="9">
        <v>1186.6395332279415</v>
      </c>
      <c r="L266" s="9">
        <v>2992.0523825216301</v>
      </c>
      <c r="M266" s="9">
        <v>2.1803419166813582</v>
      </c>
      <c r="N266" s="9">
        <v>767.07738741093283</v>
      </c>
      <c r="O266" s="9">
        <v>24.781243509135351</v>
      </c>
      <c r="P266" s="9">
        <v>1.6459015718646501</v>
      </c>
      <c r="Q266" s="9">
        <v>24.781243509135351</v>
      </c>
      <c r="R266" s="9">
        <v>110.2823428557747</v>
      </c>
      <c r="S266" s="9">
        <v>47.330404205148746</v>
      </c>
      <c r="T266" s="9">
        <v>665.26482234656908</v>
      </c>
      <c r="U266" s="9">
        <v>1007.7509217945385</v>
      </c>
      <c r="V266" s="9">
        <v>1647.1485250878093</v>
      </c>
      <c r="W266" s="9">
        <v>125501.59784390761</v>
      </c>
      <c r="X266" s="9">
        <v>126018.0633488556</v>
      </c>
      <c r="Y266" s="9">
        <v>516.46550494798214</v>
      </c>
      <c r="Z266" s="9">
        <v>194568.0714715606</v>
      </c>
      <c r="AA266" s="9">
        <v>195426.62036817707</v>
      </c>
      <c r="AB266" s="9">
        <v>858.54889661648042</v>
      </c>
      <c r="AC266" s="9">
        <v>7.5839840060798958</v>
      </c>
      <c r="AD266" s="9">
        <v>48.891787257197471</v>
      </c>
      <c r="AE266" s="9">
        <v>54.016286328436308</v>
      </c>
      <c r="AF266" s="9">
        <v>69.902675011559893</v>
      </c>
      <c r="AG266" s="9">
        <v>843.0701304611174</v>
      </c>
      <c r="AH266" s="9">
        <v>36878.211833029593</v>
      </c>
      <c r="AI266" s="9">
        <v>3767.2635227088144</v>
      </c>
      <c r="AJ266" s="9">
        <v>41668.940218802796</v>
      </c>
      <c r="AK266" s="9">
        <v>65961734.64527785</v>
      </c>
      <c r="AL266" s="9">
        <v>61207654.283584461</v>
      </c>
    </row>
    <row r="267" spans="1:38" x14ac:dyDescent="0.25">
      <c r="A267" s="9">
        <v>265</v>
      </c>
      <c r="B267" s="9">
        <v>67</v>
      </c>
      <c r="C267" s="9">
        <v>1.8433333333333333E-3</v>
      </c>
      <c r="D267" s="9">
        <v>1.3754781261334061</v>
      </c>
      <c r="E267" s="9">
        <v>8.9080734326883846</v>
      </c>
      <c r="F267" s="9">
        <v>9.860147518739538</v>
      </c>
      <c r="G267" s="9">
        <v>13.67494220726909</v>
      </c>
      <c r="H267" s="9">
        <v>51.820600355164792</v>
      </c>
      <c r="I267" s="9">
        <v>4996.2586043796709</v>
      </c>
      <c r="J267" s="9">
        <v>2892.6416721550163</v>
      </c>
      <c r="K267" s="9">
        <v>1184.4521610216914</v>
      </c>
      <c r="L267" s="9">
        <v>2983.2854248869585</v>
      </c>
      <c r="M267" s="9">
        <v>2.1741821010036335</v>
      </c>
      <c r="N267" s="9">
        <v>769.25156951193651</v>
      </c>
      <c r="O267" s="9">
        <v>24.711832123947701</v>
      </c>
      <c r="P267" s="9">
        <v>1.6414982040522959</v>
      </c>
      <c r="Q267" s="9">
        <v>24.711832123947701</v>
      </c>
      <c r="R267" s="9">
        <v>109.98899430219542</v>
      </c>
      <c r="S267" s="9">
        <v>47.197866703575833</v>
      </c>
      <c r="T267" s="9">
        <v>667.36575197859611</v>
      </c>
      <c r="U267" s="9">
        <v>1011.3948133976784</v>
      </c>
      <c r="V267" s="9">
        <v>1660.6879937740657</v>
      </c>
      <c r="W267" s="9">
        <v>125501.59784390761</v>
      </c>
      <c r="X267" s="9">
        <v>126018.0633488556</v>
      </c>
      <c r="Y267" s="9">
        <v>516.46550494798214</v>
      </c>
      <c r="Z267" s="9">
        <v>194568.0714715606</v>
      </c>
      <c r="AA267" s="9">
        <v>195426.62036817707</v>
      </c>
      <c r="AB267" s="9">
        <v>858.54889661648042</v>
      </c>
      <c r="AC267" s="9">
        <v>7.491770860339952</v>
      </c>
      <c r="AD267" s="9">
        <v>48.519306630042735</v>
      </c>
      <c r="AE267" s="9">
        <v>53.70493681873468</v>
      </c>
      <c r="AF267" s="9">
        <v>69.594060049826936</v>
      </c>
      <c r="AG267" s="9">
        <v>840.0119317572213</v>
      </c>
      <c r="AH267" s="9">
        <v>36779.162650148872</v>
      </c>
      <c r="AI267" s="9">
        <v>3756.7142002711184</v>
      </c>
      <c r="AJ267" s="9">
        <v>41555.198856536153</v>
      </c>
      <c r="AK267" s="9">
        <v>66003289.844134383</v>
      </c>
      <c r="AL267" s="9">
        <v>61221460.92787993</v>
      </c>
    </row>
    <row r="268" spans="1:38" x14ac:dyDescent="0.25">
      <c r="A268" s="9">
        <v>266</v>
      </c>
      <c r="B268" s="9">
        <v>67</v>
      </c>
      <c r="C268" s="9">
        <v>1.8433333333333333E-3</v>
      </c>
      <c r="D268" s="9">
        <v>1.3587537811446031</v>
      </c>
      <c r="E268" s="9">
        <v>8.8401423231340832</v>
      </c>
      <c r="F268" s="9">
        <v>9.8031909215639708</v>
      </c>
      <c r="G268" s="9">
        <v>13.614426615094576</v>
      </c>
      <c r="H268" s="9">
        <v>51.632512907732895</v>
      </c>
      <c r="I268" s="9">
        <v>4996.3983929947954</v>
      </c>
      <c r="J268" s="9">
        <v>2887.3095693393439</v>
      </c>
      <c r="K268" s="9">
        <v>1182.2688208715415</v>
      </c>
      <c r="L268" s="9">
        <v>2974.5441551535473</v>
      </c>
      <c r="M268" s="9">
        <v>2.1676915318955281</v>
      </c>
      <c r="N268" s="9">
        <v>771.41926104383208</v>
      </c>
      <c r="O268" s="9">
        <v>24.642251881694243</v>
      </c>
      <c r="P268" s="9">
        <v>1.6368629393057561</v>
      </c>
      <c r="Q268" s="9">
        <v>24.642251881694243</v>
      </c>
      <c r="R268" s="9">
        <v>109.69615713276237</v>
      </c>
      <c r="S268" s="9">
        <v>47.065578030472714</v>
      </c>
      <c r="T268" s="9">
        <v>669.4606761474023</v>
      </c>
      <c r="U268" s="9">
        <v>1015.0286532472188</v>
      </c>
      <c r="V268" s="9">
        <v>1674.1957877995219</v>
      </c>
      <c r="W268" s="9">
        <v>125501.59784390761</v>
      </c>
      <c r="X268" s="9">
        <v>126018.0633488556</v>
      </c>
      <c r="Y268" s="9">
        <v>516.46550494798214</v>
      </c>
      <c r="Z268" s="9">
        <v>194568.0714715606</v>
      </c>
      <c r="AA268" s="9">
        <v>195426.62036817707</v>
      </c>
      <c r="AB268" s="9">
        <v>858.54889661648042</v>
      </c>
      <c r="AC268" s="9">
        <v>7.4006789279676042</v>
      </c>
      <c r="AD268" s="9">
        <v>48.149308520003636</v>
      </c>
      <c r="AE268" s="9">
        <v>53.394713219451759</v>
      </c>
      <c r="AF268" s="9">
        <v>69.28608611531881</v>
      </c>
      <c r="AG268" s="9">
        <v>836.96303423435029</v>
      </c>
      <c r="AH268" s="9">
        <v>36680.20699200395</v>
      </c>
      <c r="AI268" s="9">
        <v>3746.1846833354757</v>
      </c>
      <c r="AJ268" s="9">
        <v>41441.585496356522</v>
      </c>
      <c r="AK268" s="9">
        <v>66044731.429630741</v>
      </c>
      <c r="AL268" s="9">
        <v>61235172.691978879</v>
      </c>
    </row>
    <row r="269" spans="1:38" x14ac:dyDescent="0.25">
      <c r="A269" s="9">
        <v>267</v>
      </c>
      <c r="B269" s="9">
        <v>67</v>
      </c>
      <c r="C269" s="9">
        <v>1.8433333333333333E-3</v>
      </c>
      <c r="D269" s="9">
        <v>1.342232786329089</v>
      </c>
      <c r="E269" s="9">
        <v>8.7726649218595405</v>
      </c>
      <c r="F269" s="9">
        <v>9.7464418299829152</v>
      </c>
      <c r="G269" s="9">
        <v>13.554037652730042</v>
      </c>
      <c r="H269" s="9">
        <v>51.444996910204523</v>
      </c>
      <c r="I269" s="9">
        <v>4996.5375630046865</v>
      </c>
      <c r="J269" s="9">
        <v>2881.9872953665285</v>
      </c>
      <c r="K269" s="9">
        <v>1180.0895053450683</v>
      </c>
      <c r="L269" s="9">
        <v>2965.8284980537496</v>
      </c>
      <c r="M269" s="9">
        <v>2.1612200501856544</v>
      </c>
      <c r="N269" s="9">
        <v>773.58048109401773</v>
      </c>
      <c r="O269" s="9">
        <v>24.572513074888452</v>
      </c>
      <c r="P269" s="9">
        <v>1.6322405731115484</v>
      </c>
      <c r="Q269" s="9">
        <v>24.572513074888452</v>
      </c>
      <c r="R269" s="9">
        <v>109.40383527405707</v>
      </c>
      <c r="S269" s="9">
        <v>46.933539849816249</v>
      </c>
      <c r="T269" s="9">
        <v>671.54960825889282</v>
      </c>
      <c r="U269" s="9">
        <v>1018.6524548601261</v>
      </c>
      <c r="V269" s="9">
        <v>1687.6719840798678</v>
      </c>
      <c r="W269" s="9">
        <v>125501.59784390761</v>
      </c>
      <c r="X269" s="9">
        <v>126018.0633488556</v>
      </c>
      <c r="Y269" s="9">
        <v>516.46550494798214</v>
      </c>
      <c r="Z269" s="9">
        <v>194568.0714715606</v>
      </c>
      <c r="AA269" s="9">
        <v>195426.62036817707</v>
      </c>
      <c r="AB269" s="9">
        <v>858.54889661648042</v>
      </c>
      <c r="AC269" s="9">
        <v>7.3106945762057709</v>
      </c>
      <c r="AD269" s="9">
        <v>47.781781607728291</v>
      </c>
      <c r="AE269" s="9">
        <v>53.08561983397361</v>
      </c>
      <c r="AF269" s="9">
        <v>68.978756621018633</v>
      </c>
      <c r="AG269" s="9">
        <v>833.92339991441531</v>
      </c>
      <c r="AH269" s="9">
        <v>36581.348741023918</v>
      </c>
      <c r="AI269" s="9">
        <v>3735.6751043461245</v>
      </c>
      <c r="AJ269" s="9">
        <v>41328.10409792338</v>
      </c>
      <c r="AK269" s="9">
        <v>66086059.533728667</v>
      </c>
      <c r="AL269" s="9">
        <v>61248790.169036195</v>
      </c>
    </row>
    <row r="270" spans="1:38" x14ac:dyDescent="0.25">
      <c r="A270" s="9">
        <v>268</v>
      </c>
      <c r="B270" s="9">
        <v>67</v>
      </c>
      <c r="C270" s="9">
        <v>1.8433333333333333E-3</v>
      </c>
      <c r="D270" s="9">
        <v>1.3259126691659369</v>
      </c>
      <c r="E270" s="9">
        <v>8.7056391439871543</v>
      </c>
      <c r="F270" s="9">
        <v>9.6899010089358768</v>
      </c>
      <c r="G270" s="9">
        <v>13.493775991092837</v>
      </c>
      <c r="H270" s="9">
        <v>51.258050041378567</v>
      </c>
      <c r="I270" s="9">
        <v>4996.6761157037845</v>
      </c>
      <c r="J270" s="9">
        <v>2876.674832118736</v>
      </c>
      <c r="K270" s="9">
        <v>1177.9142070235489</v>
      </c>
      <c r="L270" s="9">
        <v>2957.1383785404591</v>
      </c>
      <c r="M270" s="9">
        <v>2.1547675977566891</v>
      </c>
      <c r="N270" s="9">
        <v>775.73524869177447</v>
      </c>
      <c r="O270" s="9">
        <v>24.502625723273901</v>
      </c>
      <c r="P270" s="9">
        <v>1.6276310677260999</v>
      </c>
      <c r="Q270" s="9">
        <v>24.502625723273901</v>
      </c>
      <c r="R270" s="9">
        <v>109.11203254602768</v>
      </c>
      <c r="S270" s="9">
        <v>46.801753796078408</v>
      </c>
      <c r="T270" s="9">
        <v>673.63256176798893</v>
      </c>
      <c r="U270" s="9">
        <v>1022.2662320383699</v>
      </c>
      <c r="V270" s="9">
        <v>1701.116659364098</v>
      </c>
      <c r="W270" s="9">
        <v>125501.59784390761</v>
      </c>
      <c r="X270" s="9">
        <v>126018.0633488556</v>
      </c>
      <c r="Y270" s="9">
        <v>516.46550494798214</v>
      </c>
      <c r="Z270" s="9">
        <v>194568.0714715606</v>
      </c>
      <c r="AA270" s="9">
        <v>195426.62036817707</v>
      </c>
      <c r="AB270" s="9">
        <v>858.54889661648042</v>
      </c>
      <c r="AC270" s="9">
        <v>7.2218043380571357</v>
      </c>
      <c r="AD270" s="9">
        <v>47.416714537583367</v>
      </c>
      <c r="AE270" s="9">
        <v>52.77766082867074</v>
      </c>
      <c r="AF270" s="9">
        <v>68.672074981336621</v>
      </c>
      <c r="AG270" s="9">
        <v>830.89299117074665</v>
      </c>
      <c r="AH270" s="9">
        <v>36482.591676044336</v>
      </c>
      <c r="AI270" s="9">
        <v>3725.1855933988609</v>
      </c>
      <c r="AJ270" s="9">
        <v>41214.758515299589</v>
      </c>
      <c r="AK270" s="9">
        <v>66127274.292243965</v>
      </c>
      <c r="AL270" s="9">
        <v>61262313.950002111</v>
      </c>
    </row>
    <row r="271" spans="1:38" x14ac:dyDescent="0.25">
      <c r="A271" s="9">
        <v>269</v>
      </c>
      <c r="B271" s="9">
        <v>67</v>
      </c>
      <c r="C271" s="9">
        <v>1.8433333333333333E-3</v>
      </c>
      <c r="D271" s="9">
        <v>1.3097909871974334</v>
      </c>
      <c r="E271" s="9">
        <v>8.6390628983534459</v>
      </c>
      <c r="F271" s="9">
        <v>9.6335691984703047</v>
      </c>
      <c r="G271" s="9">
        <v>13.433642301110796</v>
      </c>
      <c r="H271" s="9">
        <v>51.071670001598761</v>
      </c>
      <c r="I271" s="9">
        <v>4996.8140523933889</v>
      </c>
      <c r="J271" s="9">
        <v>2871.3721615115305</v>
      </c>
      <c r="K271" s="9">
        <v>1175.7429185019355</v>
      </c>
      <c r="L271" s="9">
        <v>2948.4737217864636</v>
      </c>
      <c r="M271" s="9">
        <v>2.1483341167106276</v>
      </c>
      <c r="N271" s="9">
        <v>777.88358280848513</v>
      </c>
      <c r="O271" s="9">
        <v>24.432599584453314</v>
      </c>
      <c r="P271" s="9">
        <v>1.623034385546684</v>
      </c>
      <c r="Q271" s="9">
        <v>24.432599584453314</v>
      </c>
      <c r="R271" s="9">
        <v>108.82075266400059</v>
      </c>
      <c r="S271" s="9">
        <v>46.670221473516122</v>
      </c>
      <c r="T271" s="9">
        <v>675.70955017652591</v>
      </c>
      <c r="U271" s="9">
        <v>1025.8699988620065</v>
      </c>
      <c r="V271" s="9">
        <v>1714.5298902342888</v>
      </c>
      <c r="W271" s="9">
        <v>125501.59784390761</v>
      </c>
      <c r="X271" s="9">
        <v>126018.0633488556</v>
      </c>
      <c r="Y271" s="9">
        <v>516.46550494798214</v>
      </c>
      <c r="Z271" s="9">
        <v>194568.0714715606</v>
      </c>
      <c r="AA271" s="9">
        <v>195426.62036817707</v>
      </c>
      <c r="AB271" s="9">
        <v>858.54889661648042</v>
      </c>
      <c r="AC271" s="9">
        <v>7.1339949102686866</v>
      </c>
      <c r="AD271" s="9">
        <v>47.054095919698433</v>
      </c>
      <c r="AE271" s="9">
        <v>52.470840234334922</v>
      </c>
      <c r="AF271" s="9">
        <v>68.366044610736353</v>
      </c>
      <c r="AG271" s="9">
        <v>827.87177072591601</v>
      </c>
      <c r="AH271" s="9">
        <v>36383.939475758685</v>
      </c>
      <c r="AI271" s="9">
        <v>3714.7162781845159</v>
      </c>
      <c r="AJ271" s="9">
        <v>41101.552500344158</v>
      </c>
      <c r="AK271" s="9">
        <v>66168375.84474431</v>
      </c>
      <c r="AL271" s="9">
        <v>61275744.623587146</v>
      </c>
    </row>
    <row r="272" spans="1:38" x14ac:dyDescent="0.25">
      <c r="A272" s="9">
        <v>270</v>
      </c>
      <c r="B272" s="9">
        <v>67</v>
      </c>
      <c r="C272" s="9">
        <v>1.8433333333333333E-3</v>
      </c>
      <c r="D272" s="9">
        <v>1.2938653276635426</v>
      </c>
      <c r="E272" s="9">
        <v>8.5729340878771332</v>
      </c>
      <c r="F272" s="9">
        <v>9.5774471140048814</v>
      </c>
      <c r="G272" s="9">
        <v>13.373637253458336</v>
      </c>
      <c r="H272" s="9">
        <v>50.88585451261747</v>
      </c>
      <c r="I272" s="9">
        <v>4996.9513743816569</v>
      </c>
      <c r="J272" s="9">
        <v>2866.0792654938109</v>
      </c>
      <c r="K272" s="9">
        <v>1173.5756323888302</v>
      </c>
      <c r="L272" s="9">
        <v>2939.8344531838002</v>
      </c>
      <c r="M272" s="9">
        <v>2.1419195493679046</v>
      </c>
      <c r="N272" s="9">
        <v>780.02550235785304</v>
      </c>
      <c r="O272" s="9">
        <v>24.362444158889037</v>
      </c>
      <c r="P272" s="9">
        <v>1.6184504891109612</v>
      </c>
      <c r="Q272" s="9">
        <v>24.362444158889037</v>
      </c>
      <c r="R272" s="9">
        <v>108.52999924065638</v>
      </c>
      <c r="S272" s="9">
        <v>46.538944455568149</v>
      </c>
      <c r="T272" s="9">
        <v>677.7805870312236</v>
      </c>
      <c r="U272" s="9">
        <v>1029.4637696824263</v>
      </c>
      <c r="V272" s="9">
        <v>1727.9117531053969</v>
      </c>
      <c r="W272" s="9">
        <v>125501.59784390761</v>
      </c>
      <c r="X272" s="9">
        <v>126018.0633488556</v>
      </c>
      <c r="Y272" s="9">
        <v>516.46550494798214</v>
      </c>
      <c r="Z272" s="9">
        <v>194568.0714715606</v>
      </c>
      <c r="AA272" s="9">
        <v>195426.62036817707</v>
      </c>
      <c r="AB272" s="9">
        <v>858.54889661648042</v>
      </c>
      <c r="AC272" s="9">
        <v>7.0472531513407617</v>
      </c>
      <c r="AD272" s="9">
        <v>46.693914331970781</v>
      </c>
      <c r="AE272" s="9">
        <v>52.16516194761325</v>
      </c>
      <c r="AF272" s="9">
        <v>68.060668922391713</v>
      </c>
      <c r="AG272" s="9">
        <v>824.85970164952926</v>
      </c>
      <c r="AH272" s="9">
        <v>36285.395720623215</v>
      </c>
      <c r="AI272" s="9">
        <v>3704.267283940947</v>
      </c>
      <c r="AJ272" s="9">
        <v>40988.489704567008</v>
      </c>
      <c r="AK272" s="9">
        <v>66209364.334448874</v>
      </c>
      <c r="AL272" s="9">
        <v>61289082.776228458</v>
      </c>
    </row>
    <row r="273" spans="1:38" x14ac:dyDescent="0.25">
      <c r="A273" s="9">
        <v>271</v>
      </c>
      <c r="B273" s="9">
        <v>67</v>
      </c>
      <c r="C273" s="9">
        <v>1.8433333333333333E-3</v>
      </c>
      <c r="D273" s="9">
        <v>1.2781333071408134</v>
      </c>
      <c r="E273" s="9">
        <v>8.5072506099200229</v>
      </c>
      <c r="F273" s="9">
        <v>9.5215354465922424</v>
      </c>
      <c r="G273" s="9">
        <v>13.313761518298548</v>
      </c>
      <c r="H273" s="9">
        <v>50.700601317457647</v>
      </c>
      <c r="I273" s="9">
        <v>4997.0880829836024</v>
      </c>
      <c r="J273" s="9">
        <v>2860.7961260477505</v>
      </c>
      <c r="K273" s="9">
        <v>1171.4123413064601</v>
      </c>
      <c r="L273" s="9">
        <v>2931.2204983431138</v>
      </c>
      <c r="M273" s="9">
        <v>2.1355238382665149</v>
      </c>
      <c r="N273" s="9">
        <v>782.16102619611956</v>
      </c>
      <c r="O273" s="9">
        <v>24.292168694903484</v>
      </c>
      <c r="P273" s="9">
        <v>1.613879341096518</v>
      </c>
      <c r="Q273" s="9">
        <v>24.292168694903484</v>
      </c>
      <c r="R273" s="9">
        <v>108.23977578797057</v>
      </c>
      <c r="S273" s="9">
        <v>46.407924284320835</v>
      </c>
      <c r="T273" s="9">
        <v>679.84568592169853</v>
      </c>
      <c r="U273" s="9">
        <v>1033.0475591156767</v>
      </c>
      <c r="V273" s="9">
        <v>1741.2623242250672</v>
      </c>
      <c r="W273" s="9">
        <v>125501.59784390761</v>
      </c>
      <c r="X273" s="9">
        <v>126018.0633488556</v>
      </c>
      <c r="Y273" s="9">
        <v>516.46550494798214</v>
      </c>
      <c r="Z273" s="9">
        <v>194568.0714715606</v>
      </c>
      <c r="AA273" s="9">
        <v>195426.62036817707</v>
      </c>
      <c r="AB273" s="9">
        <v>858.54889661648042</v>
      </c>
      <c r="AC273" s="9">
        <v>6.9615660795602965</v>
      </c>
      <c r="AD273" s="9">
        <v>46.336158322031054</v>
      </c>
      <c r="AE273" s="9">
        <v>51.860629732439079</v>
      </c>
      <c r="AF273" s="9">
        <v>67.755951326874353</v>
      </c>
      <c r="AG273" s="9">
        <v>821.85674735598855</v>
      </c>
      <c r="AH273" s="9">
        <v>36186.963894752211</v>
      </c>
      <c r="AI273" s="9">
        <v>3693.8387334105169</v>
      </c>
      <c r="AJ273" s="9">
        <v>40875.573680979622</v>
      </c>
      <c r="AK273" s="9">
        <v>66250239.908129856</v>
      </c>
      <c r="AL273" s="9">
        <v>61302328.992057584</v>
      </c>
    </row>
    <row r="274" spans="1:38" x14ac:dyDescent="0.25">
      <c r="A274" s="9">
        <v>272</v>
      </c>
      <c r="B274" s="9">
        <v>67</v>
      </c>
      <c r="C274" s="9">
        <v>1.8433333333333333E-3</v>
      </c>
      <c r="D274" s="9">
        <v>1.2625925711856787</v>
      </c>
      <c r="E274" s="9">
        <v>8.4420103566408731</v>
      </c>
      <c r="F274" s="9">
        <v>9.4658348631811009</v>
      </c>
      <c r="G274" s="9">
        <v>13.254015765031181</v>
      </c>
      <c r="H274" s="9">
        <v>50.515908180273009</v>
      </c>
      <c r="I274" s="9">
        <v>4997.2241795210894</v>
      </c>
      <c r="J274" s="9">
        <v>2855.5227251887359</v>
      </c>
      <c r="K274" s="9">
        <v>1169.253037890652</v>
      </c>
      <c r="L274" s="9">
        <v>2922.6317830930161</v>
      </c>
      <c r="M274" s="9">
        <v>2.1291469261611247</v>
      </c>
      <c r="N274" s="9">
        <v>784.29017312228063</v>
      </c>
      <c r="O274" s="9">
        <v>24.221782197679605</v>
      </c>
      <c r="P274" s="9">
        <v>1.6093209043203953</v>
      </c>
      <c r="Q274" s="9">
        <v>24.221782197679605</v>
      </c>
      <c r="R274" s="9">
        <v>107.95008571911997</v>
      </c>
      <c r="S274" s="9">
        <v>46.277162470039229</v>
      </c>
      <c r="T274" s="9">
        <v>681.90486047851493</v>
      </c>
      <c r="U274" s="9">
        <v>1036.6213820358614</v>
      </c>
      <c r="V274" s="9">
        <v>1754.5816796734512</v>
      </c>
      <c r="W274" s="9">
        <v>125501.59784390761</v>
      </c>
      <c r="X274" s="9">
        <v>126018.0633488556</v>
      </c>
      <c r="Y274" s="9">
        <v>516.46550494798214</v>
      </c>
      <c r="Z274" s="9">
        <v>194568.0714715606</v>
      </c>
      <c r="AA274" s="9">
        <v>195426.62036817707</v>
      </c>
      <c r="AB274" s="9">
        <v>858.54889661648042</v>
      </c>
      <c r="AC274" s="9">
        <v>6.8769208710579965</v>
      </c>
      <c r="AD274" s="9">
        <v>45.980816409170622</v>
      </c>
      <c r="AE274" s="9">
        <v>51.557247221459725</v>
      </c>
      <c r="AF274" s="9">
        <v>67.451895230871173</v>
      </c>
      <c r="AG274" s="9">
        <v>818.86287160222548</v>
      </c>
      <c r="AH274" s="9">
        <v>36088.647388896017</v>
      </c>
      <c r="AI274" s="9">
        <v>3683.4307468027723</v>
      </c>
      <c r="AJ274" s="9">
        <v>40762.807887033574</v>
      </c>
      <c r="AK274" s="9">
        <v>66291002.716016889</v>
      </c>
      <c r="AL274" s="9">
        <v>61315483.852869883</v>
      </c>
    </row>
    <row r="275" spans="1:38" x14ac:dyDescent="0.25">
      <c r="A275" s="9">
        <v>273</v>
      </c>
      <c r="B275" s="9">
        <v>67</v>
      </c>
      <c r="C275" s="9">
        <v>1.8433333333333333E-3</v>
      </c>
      <c r="D275" s="9">
        <v>1.2472407939820904</v>
      </c>
      <c r="E275" s="9">
        <v>8.377211215342296</v>
      </c>
      <c r="F275" s="9">
        <v>9.4103460068777167</v>
      </c>
      <c r="G275" s="9">
        <v>13.194400662046435</v>
      </c>
      <c r="H275" s="9">
        <v>50.331772886206551</v>
      </c>
      <c r="I275" s="9">
        <v>4997.3596653228251</v>
      </c>
      <c r="J275" s="9">
        <v>2850.2590449653048</v>
      </c>
      <c r="K275" s="9">
        <v>1167.0977147908068</v>
      </c>
      <c r="L275" s="9">
        <v>2914.0682334794474</v>
      </c>
      <c r="M275" s="9">
        <v>2.1227887560221816</v>
      </c>
      <c r="N275" s="9">
        <v>786.41296187830278</v>
      </c>
      <c r="O275" s="9">
        <v>24.151293432261387</v>
      </c>
      <c r="P275" s="9">
        <v>1.6047751417386138</v>
      </c>
      <c r="Q275" s="9">
        <v>24.151293432261387</v>
      </c>
      <c r="R275" s="9">
        <v>107.66093235035494</v>
      </c>
      <c r="S275" s="9">
        <v>46.146660490783745</v>
      </c>
      <c r="T275" s="9">
        <v>683.95812437130019</v>
      </c>
      <c r="U275" s="9">
        <v>1040.1852535686892</v>
      </c>
      <c r="V275" s="9">
        <v>1767.8698953630428</v>
      </c>
      <c r="W275" s="9">
        <v>125501.59784390761</v>
      </c>
      <c r="X275" s="9">
        <v>126018.0633488556</v>
      </c>
      <c r="Y275" s="9">
        <v>516.46550494798214</v>
      </c>
      <c r="Z275" s="9">
        <v>194568.0714715606</v>
      </c>
      <c r="AA275" s="9">
        <v>195426.62036817707</v>
      </c>
      <c r="AB275" s="9">
        <v>858.54889661648042</v>
      </c>
      <c r="AC275" s="9">
        <v>6.7933048578891189</v>
      </c>
      <c r="AD275" s="9">
        <v>45.627877086231038</v>
      </c>
      <c r="AE275" s="9">
        <v>51.255017917460627</v>
      </c>
      <c r="AF275" s="9">
        <v>67.14850403593131</v>
      </c>
      <c r="AG275" s="9">
        <v>815.87803848540818</v>
      </c>
      <c r="AH275" s="9">
        <v>35990.449501771509</v>
      </c>
      <c r="AI275" s="9">
        <v>3673.0434417639322</v>
      </c>
      <c r="AJ275" s="9">
        <v>40650.195685918363</v>
      </c>
      <c r="AK275" s="9">
        <v>66331652.911702804</v>
      </c>
      <c r="AL275" s="9">
        <v>61328547.93809513</v>
      </c>
    </row>
    <row r="276" spans="1:38" x14ac:dyDescent="0.25">
      <c r="A276" s="9">
        <v>274</v>
      </c>
      <c r="B276" s="9">
        <v>67</v>
      </c>
      <c r="C276" s="9">
        <v>1.8433333333333333E-3</v>
      </c>
      <c r="D276" s="9">
        <v>1.2320756779934396</v>
      </c>
      <c r="E276" s="9">
        <v>8.3128510688108364</v>
      </c>
      <c r="F276" s="9">
        <v>9.3550694972066673</v>
      </c>
      <c r="G276" s="9">
        <v>13.134916876484507</v>
      </c>
      <c r="H276" s="9">
        <v>50.148193241247426</v>
      </c>
      <c r="I276" s="9">
        <v>4997.494541724348</v>
      </c>
      <c r="J276" s="9">
        <v>2845.0050674590852</v>
      </c>
      <c r="K276" s="9">
        <v>1164.9463646698757</v>
      </c>
      <c r="L276" s="9">
        <v>2905.5297757650387</v>
      </c>
      <c r="M276" s="9">
        <v>2.1164492710350187</v>
      </c>
      <c r="N276" s="9">
        <v>788.52941114933776</v>
      </c>
      <c r="O276" s="9">
        <v>24.080710930554311</v>
      </c>
      <c r="P276" s="9">
        <v>1.6002420164456914</v>
      </c>
      <c r="Q276" s="9">
        <v>24.080710930554311</v>
      </c>
      <c r="R276" s="9">
        <v>107.37231890283849</v>
      </c>
      <c r="S276" s="9">
        <v>46.016419792072995</v>
      </c>
      <c r="T276" s="9">
        <v>686.00549130688785</v>
      </c>
      <c r="U276" s="9">
        <v>1043.7391890850713</v>
      </c>
      <c r="V276" s="9">
        <v>1781.1270470385214</v>
      </c>
      <c r="W276" s="9">
        <v>125501.59784390761</v>
      </c>
      <c r="X276" s="9">
        <v>126018.0633488556</v>
      </c>
      <c r="Y276" s="9">
        <v>516.46550494798214</v>
      </c>
      <c r="Z276" s="9">
        <v>194568.0714715606</v>
      </c>
      <c r="AA276" s="9">
        <v>195426.62036817707</v>
      </c>
      <c r="AB276" s="9">
        <v>858.54889661648042</v>
      </c>
      <c r="AC276" s="9">
        <v>6.710705526137601</v>
      </c>
      <c r="AD276" s="9">
        <v>45.277328821456351</v>
      </c>
      <c r="AE276" s="9">
        <v>50.953945194785646</v>
      </c>
      <c r="AF276" s="9">
        <v>66.845781137242398</v>
      </c>
      <c r="AG276" s="9">
        <v>812.90221244062081</v>
      </c>
      <c r="AH276" s="9">
        <v>35892.373442475684</v>
      </c>
      <c r="AI276" s="9">
        <v>3662.6769333500501</v>
      </c>
      <c r="AJ276" s="9">
        <v>40537.740348945976</v>
      </c>
      <c r="AK276" s="9">
        <v>66372190.652051747</v>
      </c>
      <c r="AL276" s="9">
        <v>61341521.824769594</v>
      </c>
    </row>
    <row r="277" spans="1:38" x14ac:dyDescent="0.25">
      <c r="A277" s="9">
        <v>275</v>
      </c>
      <c r="B277" s="9">
        <v>67</v>
      </c>
      <c r="C277" s="9">
        <v>1.8433333333333333E-3</v>
      </c>
      <c r="D277" s="9">
        <v>1.2170949536187088</v>
      </c>
      <c r="E277" s="9">
        <v>8.2489277956503226</v>
      </c>
      <c r="F277" s="9">
        <v>9.3000059303708902</v>
      </c>
      <c r="G277" s="9">
        <v>13.075565074000789</v>
      </c>
      <c r="H277" s="9">
        <v>49.965167072086274</v>
      </c>
      <c r="I277" s="9">
        <v>4997.6288100680176</v>
      </c>
      <c r="J277" s="9">
        <v>2839.7607747847355</v>
      </c>
      <c r="K277" s="9">
        <v>1162.7989802043342</v>
      </c>
      <c r="L277" s="9">
        <v>2897.0163364284786</v>
      </c>
      <c r="M277" s="9">
        <v>2.1101284145989538</v>
      </c>
      <c r="N277" s="9">
        <v>790.63953956393675</v>
      </c>
      <c r="O277" s="9">
        <v>24.010042999325844</v>
      </c>
      <c r="P277" s="9">
        <v>1.5957214916741564</v>
      </c>
      <c r="Q277" s="9">
        <v>24.010042999325844</v>
      </c>
      <c r="R277" s="9">
        <v>107.0842485044525</v>
      </c>
      <c r="S277" s="9">
        <v>45.886441786613773</v>
      </c>
      <c r="T277" s="9">
        <v>688.04697502751196</v>
      </c>
      <c r="U277" s="9">
        <v>1047.2832041948388</v>
      </c>
      <c r="V277" s="9">
        <v>1794.3532102766092</v>
      </c>
      <c r="W277" s="9">
        <v>125501.59784390761</v>
      </c>
      <c r="X277" s="9">
        <v>126018.0633488556</v>
      </c>
      <c r="Y277" s="9">
        <v>516.46550494798214</v>
      </c>
      <c r="Z277" s="9">
        <v>194568.0714715606</v>
      </c>
      <c r="AA277" s="9">
        <v>195426.62036817707</v>
      </c>
      <c r="AB277" s="9">
        <v>858.54889661648042</v>
      </c>
      <c r="AC277" s="9">
        <v>6.6291105140432336</v>
      </c>
      <c r="AD277" s="9">
        <v>44.929160060308753</v>
      </c>
      <c r="AE277" s="9">
        <v>50.654032300753443</v>
      </c>
      <c r="AF277" s="9">
        <v>66.543729922435674</v>
      </c>
      <c r="AG277" s="9">
        <v>809.93535823851857</v>
      </c>
      <c r="AH277" s="9">
        <v>35794.422333163318</v>
      </c>
      <c r="AI277" s="9">
        <v>3652.3313340055233</v>
      </c>
      <c r="AJ277" s="9">
        <v>40425.445058204903</v>
      </c>
      <c r="AK277" s="9">
        <v>66412616.097109951</v>
      </c>
      <c r="AL277" s="9">
        <v>61354406.087509632</v>
      </c>
    </row>
    <row r="278" spans="1:38" x14ac:dyDescent="0.25">
      <c r="A278" s="9">
        <v>276</v>
      </c>
      <c r="B278" s="9">
        <v>68</v>
      </c>
      <c r="C278" s="9">
        <v>1.8433333333333333E-3</v>
      </c>
      <c r="D278" s="9">
        <v>1.2022963788528049</v>
      </c>
      <c r="E278" s="9">
        <v>8.185439270608601</v>
      </c>
      <c r="F278" s="9">
        <v>9.245155879510941</v>
      </c>
      <c r="G278" s="9">
        <v>13.01634591853667</v>
      </c>
      <c r="H278" s="9">
        <v>49.782692225969036</v>
      </c>
      <c r="I278" s="9">
        <v>4997.7624717029967</v>
      </c>
      <c r="J278" s="9">
        <v>2834.5261490898824</v>
      </c>
      <c r="K278" s="9">
        <v>1160.6555540841575</v>
      </c>
      <c r="L278" s="9">
        <v>2888.5278421638777</v>
      </c>
      <c r="M278" s="9">
        <v>2.1038261303263872</v>
      </c>
      <c r="N278" s="9">
        <v>792.74336569426316</v>
      </c>
      <c r="O278" s="9">
        <v>23.943483977685972</v>
      </c>
      <c r="P278" s="9">
        <v>1.587027274314027</v>
      </c>
      <c r="Q278" s="9">
        <v>23.943483977685972</v>
      </c>
      <c r="R278" s="9">
        <v>106.79253793509181</v>
      </c>
      <c r="S278" s="9">
        <v>45.756727854100788</v>
      </c>
      <c r="T278" s="9">
        <v>690.08258930905845</v>
      </c>
      <c r="U278" s="9">
        <v>1050.8173147405985</v>
      </c>
      <c r="V278" s="9">
        <v>1807.548460485943</v>
      </c>
      <c r="W278" s="9">
        <v>127930.50451430038</v>
      </c>
      <c r="X278" s="9">
        <v>128459.43008794387</v>
      </c>
      <c r="Y278" s="9">
        <v>528.92557364347635</v>
      </c>
      <c r="Z278" s="9">
        <v>201673.25674681642</v>
      </c>
      <c r="AA278" s="9">
        <v>202568.25459295535</v>
      </c>
      <c r="AB278" s="9">
        <v>894.99784613893587</v>
      </c>
      <c r="AC278" s="9">
        <v>6.5485076101516109</v>
      </c>
      <c r="AD278" s="9">
        <v>44.583359227248174</v>
      </c>
      <c r="AE278" s="9">
        <v>50.355282357069591</v>
      </c>
      <c r="AF278" s="9">
        <v>66.242353770419527</v>
      </c>
      <c r="AG278" s="9">
        <v>806.97744098295811</v>
      </c>
      <c r="AH278" s="9">
        <v>35696.599209804561</v>
      </c>
      <c r="AI278" s="9">
        <v>3642.0067535471521</v>
      </c>
      <c r="AJ278" s="9">
        <v>40313.312907299558</v>
      </c>
      <c r="AK278" s="9">
        <v>66452929.410017252</v>
      </c>
      <c r="AL278" s="9">
        <v>61367201.298486233</v>
      </c>
    </row>
    <row r="279" spans="1:38" x14ac:dyDescent="0.25">
      <c r="A279" s="9">
        <v>277</v>
      </c>
      <c r="B279" s="9">
        <v>68</v>
      </c>
      <c r="C279" s="9">
        <v>2.0183333333333334E-3</v>
      </c>
      <c r="D279" s="9">
        <v>1.1874673370847231</v>
      </c>
      <c r="E279" s="9">
        <v>8.1209509130253892</v>
      </c>
      <c r="F279" s="9">
        <v>9.1889019926845315</v>
      </c>
      <c r="G279" s="9">
        <v>12.954982211560091</v>
      </c>
      <c r="H279" s="9">
        <v>49.592054599409863</v>
      </c>
      <c r="I279" s="9">
        <v>4997.8955279852362</v>
      </c>
      <c r="J279" s="9">
        <v>2828.8051304789692</v>
      </c>
      <c r="K279" s="9">
        <v>1158.3129642908309</v>
      </c>
      <c r="L279" s="9">
        <v>2879.5587275077614</v>
      </c>
      <c r="M279" s="9">
        <v>2.0975423620418923</v>
      </c>
      <c r="N279" s="9">
        <v>794.84090805630501</v>
      </c>
      <c r="O279" s="9">
        <v>23.872551830321473</v>
      </c>
      <c r="P279" s="9">
        <v>1.5825436676785247</v>
      </c>
      <c r="Q279" s="9">
        <v>23.872551830321473</v>
      </c>
      <c r="R279" s="9">
        <v>106.48277297626245</v>
      </c>
      <c r="S279" s="9">
        <v>45.619271913667149</v>
      </c>
      <c r="T279" s="9">
        <v>692.1123479593324</v>
      </c>
      <c r="U279" s="9">
        <v>1054.3415650569139</v>
      </c>
      <c r="V279" s="9">
        <v>1821.9626588962869</v>
      </c>
      <c r="W279" s="9">
        <v>127930.50451430038</v>
      </c>
      <c r="X279" s="9">
        <v>128459.43008794387</v>
      </c>
      <c r="Y279" s="9">
        <v>528.92557364347635</v>
      </c>
      <c r="Z279" s="9">
        <v>201673.25674681642</v>
      </c>
      <c r="AA279" s="9">
        <v>202568.25459295535</v>
      </c>
      <c r="AB279" s="9">
        <v>894.99784613893587</v>
      </c>
      <c r="AC279" s="9">
        <v>6.4677387626547915</v>
      </c>
      <c r="AD279" s="9">
        <v>44.232112639611614</v>
      </c>
      <c r="AE279" s="9">
        <v>50.048886186821747</v>
      </c>
      <c r="AF279" s="9">
        <v>65.930063638331234</v>
      </c>
      <c r="AG279" s="9">
        <v>803.88720505643391</v>
      </c>
      <c r="AH279" s="9">
        <v>35592.652402939035</v>
      </c>
      <c r="AI279" s="9">
        <v>3631.0659479683368</v>
      </c>
      <c r="AJ279" s="9">
        <v>40194.284357191224</v>
      </c>
      <c r="AK279" s="9">
        <v>66493123.694374442</v>
      </c>
      <c r="AL279" s="9">
        <v>61379905.795091011</v>
      </c>
    </row>
    <row r="280" spans="1:38" x14ac:dyDescent="0.25">
      <c r="A280" s="9">
        <v>278</v>
      </c>
      <c r="B280" s="9">
        <v>68</v>
      </c>
      <c r="C280" s="9">
        <v>2.0183333333333334E-3</v>
      </c>
      <c r="D280" s="9">
        <v>1.1728211957092793</v>
      </c>
      <c r="E280" s="9">
        <v>8.0569153630092281</v>
      </c>
      <c r="F280" s="9">
        <v>9.1328821056883545</v>
      </c>
      <c r="G280" s="9">
        <v>12.893773552126374</v>
      </c>
      <c r="H280" s="9">
        <v>49.402029250035156</v>
      </c>
      <c r="I280" s="9">
        <v>4998.0279569926042</v>
      </c>
      <c r="J280" s="9">
        <v>2823.0956587906189</v>
      </c>
      <c r="K280" s="9">
        <v>1155.9751026245706</v>
      </c>
      <c r="L280" s="9">
        <v>2870.6174626845395</v>
      </c>
      <c r="M280" s="9">
        <v>2.090909983867951</v>
      </c>
      <c r="N280" s="9">
        <v>796.93181804017297</v>
      </c>
      <c r="O280" s="9">
        <v>23.801447469763882</v>
      </c>
      <c r="P280" s="9">
        <v>1.577819312236117</v>
      </c>
      <c r="Q280" s="9">
        <v>23.801447469763882</v>
      </c>
      <c r="R280" s="9">
        <v>106.17377253710421</v>
      </c>
      <c r="S280" s="9">
        <v>45.482129248799701</v>
      </c>
      <c r="T280" s="9">
        <v>694.13590944324073</v>
      </c>
      <c r="U280" s="9">
        <v>1057.8553536449515</v>
      </c>
      <c r="V280" s="9">
        <v>1836.3406515376178</v>
      </c>
      <c r="W280" s="9">
        <v>127930.50451430038</v>
      </c>
      <c r="X280" s="9">
        <v>128459.43008794387</v>
      </c>
      <c r="Y280" s="9">
        <v>528.92557364347635</v>
      </c>
      <c r="Z280" s="9">
        <v>201673.25674681642</v>
      </c>
      <c r="AA280" s="9">
        <v>202568.25459295535</v>
      </c>
      <c r="AB280" s="9">
        <v>894.99784613893587</v>
      </c>
      <c r="AC280" s="9">
        <v>6.3879661126298748</v>
      </c>
      <c r="AD280" s="9">
        <v>43.883332343856928</v>
      </c>
      <c r="AE280" s="9">
        <v>49.743764535649234</v>
      </c>
      <c r="AF280" s="9">
        <v>65.618562569029805</v>
      </c>
      <c r="AG280" s="9">
        <v>800.80689414306994</v>
      </c>
      <c r="AH280" s="9">
        <v>35488.867321408623</v>
      </c>
      <c r="AI280" s="9">
        <v>3620.1500775582122</v>
      </c>
      <c r="AJ280" s="9">
        <v>40075.457918671069</v>
      </c>
      <c r="AK280" s="9">
        <v>66533199.152293116</v>
      </c>
      <c r="AL280" s="9">
        <v>61392520.173458688</v>
      </c>
    </row>
    <row r="281" spans="1:38" x14ac:dyDescent="0.25">
      <c r="A281" s="9">
        <v>279</v>
      </c>
      <c r="B281" s="9">
        <v>68</v>
      </c>
      <c r="C281" s="9">
        <v>2.0183333333333334E-3</v>
      </c>
      <c r="D281" s="9">
        <v>1.15835569884547</v>
      </c>
      <c r="E281" s="9">
        <v>7.9933302537927737</v>
      </c>
      <c r="F281" s="9">
        <v>9.0770966062919314</v>
      </c>
      <c r="G281" s="9">
        <v>12.832720521882463</v>
      </c>
      <c r="H281" s="9">
        <v>49.212613781668516</v>
      </c>
      <c r="I281" s="9">
        <v>4998.1597603100345</v>
      </c>
      <c r="J281" s="9">
        <v>2817.3977107192932</v>
      </c>
      <c r="K281" s="9">
        <v>1153.64195954244</v>
      </c>
      <c r="L281" s="9">
        <v>2861.7039612182084</v>
      </c>
      <c r="M281" s="9">
        <v>2.0842982670592343</v>
      </c>
      <c r="N281" s="9">
        <v>799.01611630723221</v>
      </c>
      <c r="O281" s="9">
        <v>23.730181878870866</v>
      </c>
      <c r="P281" s="9">
        <v>1.5731088501291342</v>
      </c>
      <c r="Q281" s="9">
        <v>23.730181878870866</v>
      </c>
      <c r="R281" s="9">
        <v>105.86553696405873</v>
      </c>
      <c r="S281" s="9">
        <v>45.345300837080281</v>
      </c>
      <c r="T281" s="9">
        <v>696.15328957630072</v>
      </c>
      <c r="U281" s="9">
        <v>1061.3586993816805</v>
      </c>
      <c r="V281" s="9">
        <v>1850.6825326005001</v>
      </c>
      <c r="W281" s="9">
        <v>127930.50451430038</v>
      </c>
      <c r="X281" s="9">
        <v>128459.43008794387</v>
      </c>
      <c r="Y281" s="9">
        <v>528.92557364347635</v>
      </c>
      <c r="Z281" s="9">
        <v>201673.25674681642</v>
      </c>
      <c r="AA281" s="9">
        <v>202568.25459295535</v>
      </c>
      <c r="AB281" s="9">
        <v>894.99784613893587</v>
      </c>
      <c r="AC281" s="9">
        <v>6.3091773730449923</v>
      </c>
      <c r="AD281" s="9">
        <v>43.537005448991302</v>
      </c>
      <c r="AE281" s="9">
        <v>49.439919515603385</v>
      </c>
      <c r="AF281" s="9">
        <v>65.307853522613499</v>
      </c>
      <c r="AG281" s="9">
        <v>797.73646940084666</v>
      </c>
      <c r="AH281" s="9">
        <v>35385.247058602974</v>
      </c>
      <c r="AI281" s="9">
        <v>3609.2592201274047</v>
      </c>
      <c r="AJ281" s="9">
        <v>39956.836703991481</v>
      </c>
      <c r="AK281" s="9">
        <v>66573155.988997109</v>
      </c>
      <c r="AL281" s="9">
        <v>61405045.027050272</v>
      </c>
    </row>
    <row r="282" spans="1:38" x14ac:dyDescent="0.25">
      <c r="A282" s="9">
        <v>280</v>
      </c>
      <c r="B282" s="9">
        <v>68</v>
      </c>
      <c r="C282" s="9">
        <v>2.0183333333333334E-3</v>
      </c>
      <c r="D282" s="9">
        <v>1.1440686184361741</v>
      </c>
      <c r="E282" s="9">
        <v>7.9301932175703929</v>
      </c>
      <c r="F282" s="9">
        <v>9.0215458599176888</v>
      </c>
      <c r="G282" s="9">
        <v>12.771823699464511</v>
      </c>
      <c r="H282" s="9">
        <v>49.023805819659557</v>
      </c>
      <c r="I282" s="9">
        <v>4998.2909395284069</v>
      </c>
      <c r="J282" s="9">
        <v>2811.7112630064912</v>
      </c>
      <c r="K282" s="9">
        <v>1151.3135255207635</v>
      </c>
      <c r="L282" s="9">
        <v>2852.8181369012791</v>
      </c>
      <c r="M282" s="9">
        <v>2.077707145822254</v>
      </c>
      <c r="N282" s="9">
        <v>801.09382345305448</v>
      </c>
      <c r="O282" s="9">
        <v>23.658765746944862</v>
      </c>
      <c r="P282" s="9">
        <v>1.5684122390551389</v>
      </c>
      <c r="Q282" s="9">
        <v>23.658765746944862</v>
      </c>
      <c r="R282" s="9">
        <v>105.55806655512644</v>
      </c>
      <c r="S282" s="9">
        <v>45.208787637152255</v>
      </c>
      <c r="T282" s="9">
        <v>698.16450420139324</v>
      </c>
      <c r="U282" s="9">
        <v>1064.8516213741457</v>
      </c>
      <c r="V282" s="9">
        <v>1864.9883960472921</v>
      </c>
      <c r="W282" s="9">
        <v>127930.50451430038</v>
      </c>
      <c r="X282" s="9">
        <v>128459.43008794387</v>
      </c>
      <c r="Y282" s="9">
        <v>528.92557364347635</v>
      </c>
      <c r="Z282" s="9">
        <v>201673.25674681642</v>
      </c>
      <c r="AA282" s="9">
        <v>202568.25459295535</v>
      </c>
      <c r="AB282" s="9">
        <v>894.99784613893587</v>
      </c>
      <c r="AC282" s="9">
        <v>6.2313604084156946</v>
      </c>
      <c r="AD282" s="9">
        <v>43.19311905836674</v>
      </c>
      <c r="AE282" s="9">
        <v>49.137353117018343</v>
      </c>
      <c r="AF282" s="9">
        <v>64.997939443858129</v>
      </c>
      <c r="AG282" s="9">
        <v>794.6758923366815</v>
      </c>
      <c r="AH282" s="9">
        <v>35281.794614531893</v>
      </c>
      <c r="AI282" s="9">
        <v>3598.3934519791337</v>
      </c>
      <c r="AJ282" s="9">
        <v>39838.423730875365</v>
      </c>
      <c r="AK282" s="9">
        <v>66612994.412727982</v>
      </c>
      <c r="AL282" s="9">
        <v>61417480.946628451</v>
      </c>
    </row>
    <row r="283" spans="1:38" x14ac:dyDescent="0.25">
      <c r="A283" s="9">
        <v>281</v>
      </c>
      <c r="B283" s="9">
        <v>68</v>
      </c>
      <c r="C283" s="9">
        <v>2.0183333333333334E-3</v>
      </c>
      <c r="D283" s="9">
        <v>1.1299577539049763</v>
      </c>
      <c r="E283" s="9">
        <v>7.8675018857949333</v>
      </c>
      <c r="F283" s="9">
        <v>8.9662302099152011</v>
      </c>
      <c r="G283" s="9">
        <v>12.71108366029793</v>
      </c>
      <c r="H283" s="9">
        <v>48.835603010713157</v>
      </c>
      <c r="I283" s="9">
        <v>4998.4214962445158</v>
      </c>
      <c r="J283" s="9">
        <v>2806.0362924406563</v>
      </c>
      <c r="K283" s="9">
        <v>1148.9897910550874</v>
      </c>
      <c r="L283" s="9">
        <v>2843.9599037939442</v>
      </c>
      <c r="M283" s="9">
        <v>2.0711365546144336</v>
      </c>
      <c r="N283" s="9">
        <v>803.16496000766892</v>
      </c>
      <c r="O283" s="9">
        <v>23.587209480128671</v>
      </c>
      <c r="P283" s="9">
        <v>1.5637294368713317</v>
      </c>
      <c r="Q283" s="9">
        <v>23.587209480128671</v>
      </c>
      <c r="R283" s="9">
        <v>105.25136156088456</v>
      </c>
      <c r="S283" s="9">
        <v>45.072590587753822</v>
      </c>
      <c r="T283" s="9">
        <v>700.16956918689925</v>
      </c>
      <c r="U283" s="9">
        <v>1068.3341389532582</v>
      </c>
      <c r="V283" s="9">
        <v>1879.2583356121384</v>
      </c>
      <c r="W283" s="9">
        <v>127930.50451430038</v>
      </c>
      <c r="X283" s="9">
        <v>128459.43008794387</v>
      </c>
      <c r="Y283" s="9">
        <v>528.92557364347635</v>
      </c>
      <c r="Z283" s="9">
        <v>201673.25674681642</v>
      </c>
      <c r="AA283" s="9">
        <v>202568.25459295535</v>
      </c>
      <c r="AB283" s="9">
        <v>894.99784613893587</v>
      </c>
      <c r="AC283" s="9">
        <v>6.1545032329357703</v>
      </c>
      <c r="AD283" s="9">
        <v>42.851660271296403</v>
      </c>
      <c r="AE283" s="9">
        <v>48.836067210004792</v>
      </c>
      <c r="AF283" s="9">
        <v>64.688823261199545</v>
      </c>
      <c r="AG283" s="9">
        <v>791.62512480366036</v>
      </c>
      <c r="AH283" s="9">
        <v>35178.512898941728</v>
      </c>
      <c r="AI283" s="9">
        <v>3587.5528478322653</v>
      </c>
      <c r="AJ283" s="9">
        <v>39720.221925553087</v>
      </c>
      <c r="AK283" s="9">
        <v>66652714.634653538</v>
      </c>
      <c r="AL283" s="9">
        <v>61429828.520234637</v>
      </c>
    </row>
    <row r="284" spans="1:38" x14ac:dyDescent="0.25">
      <c r="A284" s="9">
        <v>282</v>
      </c>
      <c r="B284" s="9">
        <v>68</v>
      </c>
      <c r="C284" s="9">
        <v>2.0183333333333334E-3</v>
      </c>
      <c r="D284" s="9">
        <v>1.1160209318172203</v>
      </c>
      <c r="E284" s="9">
        <v>7.8052538894681707</v>
      </c>
      <c r="F284" s="9">
        <v>8.9111499778341603</v>
      </c>
      <c r="G284" s="9">
        <v>12.65050097640281</v>
      </c>
      <c r="H284" s="9">
        <v>48.648003022717781</v>
      </c>
      <c r="I284" s="9">
        <v>4998.5514320610391</v>
      </c>
      <c r="J284" s="9">
        <v>2800.3727758570803</v>
      </c>
      <c r="K284" s="9">
        <v>1146.6707466601413</v>
      </c>
      <c r="L284" s="9">
        <v>2835.1291762232463</v>
      </c>
      <c r="M284" s="9">
        <v>2.0645864281429867</v>
      </c>
      <c r="N284" s="9">
        <v>805.22954643581193</v>
      </c>
      <c r="O284" s="9">
        <v>23.51552320440609</v>
      </c>
      <c r="P284" s="9">
        <v>1.5590604015939105</v>
      </c>
      <c r="Q284" s="9">
        <v>23.51552320440609</v>
      </c>
      <c r="R284" s="9">
        <v>104.94542218548641</v>
      </c>
      <c r="S284" s="9">
        <v>44.936710606863286</v>
      </c>
      <c r="T284" s="9">
        <v>702.16850042490182</v>
      </c>
      <c r="U284" s="9">
        <v>1071.8062716677246</v>
      </c>
      <c r="V284" s="9">
        <v>1893.4924448009829</v>
      </c>
      <c r="W284" s="9">
        <v>127930.50451430038</v>
      </c>
      <c r="X284" s="9">
        <v>128459.43008794387</v>
      </c>
      <c r="Y284" s="9">
        <v>528.92557364347635</v>
      </c>
      <c r="Z284" s="9">
        <v>201673.25674681642</v>
      </c>
      <c r="AA284" s="9">
        <v>202568.25459295535</v>
      </c>
      <c r="AB284" s="9">
        <v>894.99784613893587</v>
      </c>
      <c r="AC284" s="9">
        <v>6.0785940086311259</v>
      </c>
      <c r="AD284" s="9">
        <v>42.512616184636634</v>
      </c>
      <c r="AE284" s="9">
        <v>48.53606354593672</v>
      </c>
      <c r="AF284" s="9">
        <v>64.380507885743299</v>
      </c>
      <c r="AG284" s="9">
        <v>788.58412899825521</v>
      </c>
      <c r="AH284" s="9">
        <v>35075.404732407551</v>
      </c>
      <c r="AI284" s="9">
        <v>3576.7374807532833</v>
      </c>
      <c r="AJ284" s="9">
        <v>39602.234123784037</v>
      </c>
      <c r="AK284" s="9">
        <v>66692316.86877732</v>
      </c>
      <c r="AL284" s="9">
        <v>61442088.33316692</v>
      </c>
    </row>
    <row r="285" spans="1:38" x14ac:dyDescent="0.25">
      <c r="A285" s="9">
        <v>283</v>
      </c>
      <c r="B285" s="9">
        <v>68</v>
      </c>
      <c r="C285" s="9">
        <v>2.0183333333333334E-3</v>
      </c>
      <c r="D285" s="9">
        <v>1.1022560055452455</v>
      </c>
      <c r="E285" s="9">
        <v>7.7434468594250303</v>
      </c>
      <c r="F285" s="9">
        <v>8.8563054636960441</v>
      </c>
      <c r="G285" s="9">
        <v>12.590076216204599</v>
      </c>
      <c r="H285" s="9">
        <v>48.461003544572925</v>
      </c>
      <c r="I285" s="9">
        <v>4998.6807485865002</v>
      </c>
      <c r="J285" s="9">
        <v>2794.720690137809</v>
      </c>
      <c r="K285" s="9">
        <v>1144.3563828697988</v>
      </c>
      <c r="L285" s="9">
        <v>2826.3258687822499</v>
      </c>
      <c r="M285" s="9">
        <v>2.0580567013637894</v>
      </c>
      <c r="N285" s="9">
        <v>807.28760313717567</v>
      </c>
      <c r="O285" s="9">
        <v>23.443716776602567</v>
      </c>
      <c r="P285" s="9">
        <v>1.554405091397431</v>
      </c>
      <c r="Q285" s="9">
        <v>23.443716776602567</v>
      </c>
      <c r="R285" s="9">
        <v>104.64024858764236</v>
      </c>
      <c r="S285" s="9">
        <v>44.801148590907687</v>
      </c>
      <c r="T285" s="9">
        <v>704.16131382941182</v>
      </c>
      <c r="U285" s="9">
        <v>1075.2680392779973</v>
      </c>
      <c r="V285" s="9">
        <v>1907.6908168915852</v>
      </c>
      <c r="W285" s="9">
        <v>127930.50451430038</v>
      </c>
      <c r="X285" s="9">
        <v>128459.43008794387</v>
      </c>
      <c r="Y285" s="9">
        <v>528.92557364347635</v>
      </c>
      <c r="Z285" s="9">
        <v>201673.25674681642</v>
      </c>
      <c r="AA285" s="9">
        <v>202568.25459295535</v>
      </c>
      <c r="AB285" s="9">
        <v>894.99784613893587</v>
      </c>
      <c r="AC285" s="9">
        <v>6.0036210435364366</v>
      </c>
      <c r="AD285" s="9">
        <v>42.175973894334994</v>
      </c>
      <c r="AE285" s="9">
        <v>48.237343758931118</v>
      </c>
      <c r="AF285" s="9">
        <v>64.072996210301241</v>
      </c>
      <c r="AG285" s="9">
        <v>785.55286745752721</v>
      </c>
      <c r="AH285" s="9">
        <v>34972.472849604652</v>
      </c>
      <c r="AI285" s="9">
        <v>3565.9474220932971</v>
      </c>
      <c r="AJ285" s="9">
        <v>39484.46307406258</v>
      </c>
      <c r="AK285" s="9">
        <v>66731801.331851386</v>
      </c>
      <c r="AL285" s="9">
        <v>61454260.967959665</v>
      </c>
    </row>
    <row r="286" spans="1:38" x14ac:dyDescent="0.25">
      <c r="A286" s="9">
        <v>284</v>
      </c>
      <c r="B286" s="9">
        <v>68</v>
      </c>
      <c r="C286" s="9">
        <v>2.0183333333333334E-3</v>
      </c>
      <c r="D286" s="9">
        <v>1.0886608549377508</v>
      </c>
      <c r="E286" s="9">
        <v>7.6820784266116826</v>
      </c>
      <c r="F286" s="9">
        <v>8.8016969462644603</v>
      </c>
      <c r="G286" s="9">
        <v>12.529809944349992</v>
      </c>
      <c r="H286" s="9">
        <v>48.274602286015771</v>
      </c>
      <c r="I286" s="9">
        <v>4998.8094474352338</v>
      </c>
      <c r="J286" s="9">
        <v>2789.0800122115475</v>
      </c>
      <c r="K286" s="9">
        <v>1142.0466902370399</v>
      </c>
      <c r="L286" s="9">
        <v>2817.5498963292148</v>
      </c>
      <c r="M286" s="9">
        <v>2.0515473094802594</v>
      </c>
      <c r="N286" s="9">
        <v>809.33915044665594</v>
      </c>
      <c r="O286" s="9">
        <v>23.371799788385839</v>
      </c>
      <c r="P286" s="9">
        <v>1.5497634646141594</v>
      </c>
      <c r="Q286" s="9">
        <v>23.371799788385839</v>
      </c>
      <c r="R286" s="9">
        <v>104.33584088158281</v>
      </c>
      <c r="S286" s="9">
        <v>44.665905414078495</v>
      </c>
      <c r="T286" s="9">
        <v>706.14802533466275</v>
      </c>
      <c r="U286" s="9">
        <v>1078.7194617503817</v>
      </c>
      <c r="V286" s="9">
        <v>1921.8535449335579</v>
      </c>
      <c r="W286" s="9">
        <v>127930.50451430038</v>
      </c>
      <c r="X286" s="9">
        <v>128459.43008794387</v>
      </c>
      <c r="Y286" s="9">
        <v>528.92557364347635</v>
      </c>
      <c r="Z286" s="9">
        <v>201673.25674681642</v>
      </c>
      <c r="AA286" s="9">
        <v>202568.25459295535</v>
      </c>
      <c r="AB286" s="9">
        <v>894.99784613893587</v>
      </c>
      <c r="AC286" s="9">
        <v>5.9295727898942818</v>
      </c>
      <c r="AD286" s="9">
        <v>41.841720496944959</v>
      </c>
      <c r="AE286" s="9">
        <v>47.939909367320425</v>
      </c>
      <c r="AF286" s="9">
        <v>63.766291108454496</v>
      </c>
      <c r="AG286" s="9">
        <v>782.53130305631566</v>
      </c>
      <c r="AH286" s="9">
        <v>34869.719900663811</v>
      </c>
      <c r="AI286" s="9">
        <v>3555.1827414335776</v>
      </c>
      <c r="AJ286" s="9">
        <v>39366.911438916315</v>
      </c>
      <c r="AK286" s="9">
        <v>66771168.243290305</v>
      </c>
      <c r="AL286" s="9">
        <v>61466347.004364081</v>
      </c>
    </row>
    <row r="287" spans="1:38" x14ac:dyDescent="0.25">
      <c r="A287" s="9">
        <v>285</v>
      </c>
      <c r="B287" s="9">
        <v>68</v>
      </c>
      <c r="C287" s="9">
        <v>2.0183333333333334E-3</v>
      </c>
      <c r="D287" s="9">
        <v>1.0752333859932368</v>
      </c>
      <c r="E287" s="9">
        <v>7.621146222357619</v>
      </c>
      <c r="F287" s="9">
        <v>8.7473246833141172</v>
      </c>
      <c r="G287" s="9">
        <v>12.469702721527925</v>
      </c>
      <c r="H287" s="9">
        <v>48.08879697744706</v>
      </c>
      <c r="I287" s="9">
        <v>4998.9375302273475</v>
      </c>
      <c r="J287" s="9">
        <v>2783.4507190535674</v>
      </c>
      <c r="K287" s="9">
        <v>1139.7416593339115</v>
      </c>
      <c r="L287" s="9">
        <v>2808.8011739867729</v>
      </c>
      <c r="M287" s="9">
        <v>2.0450581879422249</v>
      </c>
      <c r="N287" s="9">
        <v>811.38420863459817</v>
      </c>
      <c r="O287" s="9">
        <v>23.299781574266575</v>
      </c>
      <c r="P287" s="9">
        <v>1.5451354797334256</v>
      </c>
      <c r="Q287" s="9">
        <v>23.299781574266575</v>
      </c>
      <c r="R287" s="9">
        <v>104.03219913800336</v>
      </c>
      <c r="S287" s="9">
        <v>44.530981927708176</v>
      </c>
      <c r="T287" s="9">
        <v>708.12865089343427</v>
      </c>
      <c r="U287" s="9">
        <v>1082.1605592511867</v>
      </c>
      <c r="V287" s="9">
        <v>1935.9807217484088</v>
      </c>
      <c r="W287" s="9">
        <v>127930.50451430038</v>
      </c>
      <c r="X287" s="9">
        <v>128459.43008794387</v>
      </c>
      <c r="Y287" s="9">
        <v>528.92557364347635</v>
      </c>
      <c r="Z287" s="9">
        <v>201673.25674681642</v>
      </c>
      <c r="AA287" s="9">
        <v>202568.25459295535</v>
      </c>
      <c r="AB287" s="9">
        <v>894.99784613893587</v>
      </c>
      <c r="AC287" s="9">
        <v>5.8564378423764962</v>
      </c>
      <c r="AD287" s="9">
        <v>41.509843091107825</v>
      </c>
      <c r="AE287" s="9">
        <v>47.643761775117554</v>
      </c>
      <c r="AF287" s="9">
        <v>63.460395433642532</v>
      </c>
      <c r="AG287" s="9">
        <v>779.51939900441687</v>
      </c>
      <c r="AH287" s="9">
        <v>34767.148453613896</v>
      </c>
      <c r="AI287" s="9">
        <v>3544.4435065359321</v>
      </c>
      <c r="AJ287" s="9">
        <v>39249.581797296487</v>
      </c>
      <c r="AK287" s="9">
        <v>66810417.825087599</v>
      </c>
      <c r="AL287" s="9">
        <v>61478347.019330114</v>
      </c>
    </row>
    <row r="288" spans="1:38" x14ac:dyDescent="0.25">
      <c r="A288" s="9">
        <v>286</v>
      </c>
      <c r="B288" s="9">
        <v>68</v>
      </c>
      <c r="C288" s="9">
        <v>2.0183333333333334E-3</v>
      </c>
      <c r="D288" s="9">
        <v>1.0619715305374766</v>
      </c>
      <c r="E288" s="9">
        <v>7.5606478786418005</v>
      </c>
      <c r="F288" s="9">
        <v>8.6931889118984262</v>
      </c>
      <c r="G288" s="9">
        <v>12.409755104295622</v>
      </c>
      <c r="H288" s="9">
        <v>47.903585369756286</v>
      </c>
      <c r="I288" s="9">
        <v>4999.0649985886785</v>
      </c>
      <c r="J288" s="9">
        <v>2777.832787685611</v>
      </c>
      <c r="K288" s="9">
        <v>1137.4412807514891</v>
      </c>
      <c r="L288" s="9">
        <v>2800.0796171411071</v>
      </c>
      <c r="M288" s="9">
        <v>2.0385892724448009</v>
      </c>
      <c r="N288" s="9">
        <v>813.42279790704299</v>
      </c>
      <c r="O288" s="9">
        <v>23.227671215599031</v>
      </c>
      <c r="P288" s="9">
        <v>1.5405210954009694</v>
      </c>
      <c r="Q288" s="9">
        <v>23.227671215599031</v>
      </c>
      <c r="R288" s="9">
        <v>103.72932338499268</v>
      </c>
      <c r="S288" s="9">
        <v>44.396378959728111</v>
      </c>
      <c r="T288" s="9">
        <v>710.10320647542721</v>
      </c>
      <c r="U288" s="9">
        <v>1085.5913521409909</v>
      </c>
      <c r="V288" s="9">
        <v>1950.0724399296003</v>
      </c>
      <c r="W288" s="9">
        <v>127930.50451430038</v>
      </c>
      <c r="X288" s="9">
        <v>128459.43008794387</v>
      </c>
      <c r="Y288" s="9">
        <v>528.92557364347635</v>
      </c>
      <c r="Z288" s="9">
        <v>201673.25674681642</v>
      </c>
      <c r="AA288" s="9">
        <v>202568.25459295535</v>
      </c>
      <c r="AB288" s="9">
        <v>894.99784613893587</v>
      </c>
      <c r="AC288" s="9">
        <v>5.7842049363274555</v>
      </c>
      <c r="AD288" s="9">
        <v>41.180328779002338</v>
      </c>
      <c r="AE288" s="9">
        <v>47.348902273473428</v>
      </c>
      <c r="AF288" s="9">
        <v>63.155312018277797</v>
      </c>
      <c r="AG288" s="9">
        <v>776.51711884374947</v>
      </c>
      <c r="AH288" s="9">
        <v>34664.760995727564</v>
      </c>
      <c r="AI288" s="9">
        <v>3533.7297832995591</v>
      </c>
      <c r="AJ288" s="9">
        <v>39132.476645877956</v>
      </c>
      <c r="AK288" s="9">
        <v>66849550.301733479</v>
      </c>
      <c r="AL288" s="9">
        <v>61490261.586989261</v>
      </c>
    </row>
    <row r="289" spans="1:38" x14ac:dyDescent="0.25">
      <c r="A289" s="9">
        <v>287</v>
      </c>
      <c r="B289" s="9">
        <v>68</v>
      </c>
      <c r="C289" s="9">
        <v>2.0183333333333334E-3</v>
      </c>
      <c r="D289" s="9">
        <v>1.0488732459049634</v>
      </c>
      <c r="E289" s="9">
        <v>7.5005810283529835</v>
      </c>
      <c r="F289" s="9">
        <v>8.6392898486156771</v>
      </c>
      <c r="G289" s="9">
        <v>12.349967644909597</v>
      </c>
      <c r="H289" s="9">
        <v>47.718965234146225</v>
      </c>
      <c r="I289" s="9">
        <v>4999.1918541507548</v>
      </c>
      <c r="J289" s="9">
        <v>2772.2261951757987</v>
      </c>
      <c r="K289" s="9">
        <v>1135.145545099839</v>
      </c>
      <c r="L289" s="9">
        <v>2791.3851414411329</v>
      </c>
      <c r="M289" s="9">
        <v>2.0321404989272591</v>
      </c>
      <c r="N289" s="9">
        <v>815.45493840597021</v>
      </c>
      <c r="O289" s="9">
        <v>23.155477550581711</v>
      </c>
      <c r="P289" s="9">
        <v>1.5359202704182866</v>
      </c>
      <c r="Q289" s="9">
        <v>23.155477550581711</v>
      </c>
      <c r="R289" s="9">
        <v>103.42721360894319</v>
      </c>
      <c r="S289" s="9">
        <v>44.262097314180465</v>
      </c>
      <c r="T289" s="9">
        <v>712.07170806566739</v>
      </c>
      <c r="U289" s="9">
        <v>1089.0118609689587</v>
      </c>
      <c r="V289" s="9">
        <v>1964.1287918426131</v>
      </c>
      <c r="W289" s="9">
        <v>127930.50451430038</v>
      </c>
      <c r="X289" s="9">
        <v>128459.43008794387</v>
      </c>
      <c r="Y289" s="9">
        <v>528.92557364347635</v>
      </c>
      <c r="Z289" s="9">
        <v>201673.25674681642</v>
      </c>
      <c r="AA289" s="9">
        <v>202568.25459295535</v>
      </c>
      <c r="AB289" s="9">
        <v>894.99784613893587</v>
      </c>
      <c r="AC289" s="9">
        <v>5.7128629460290341</v>
      </c>
      <c r="AD289" s="9">
        <v>40.853164667762577</v>
      </c>
      <c r="AE289" s="9">
        <v>47.055332042126722</v>
      </c>
      <c r="AF289" s="9">
        <v>62.851043672885758</v>
      </c>
      <c r="AG289" s="9">
        <v>773.52442644551036</v>
      </c>
      <c r="AH289" s="9">
        <v>34562.559936500547</v>
      </c>
      <c r="AI289" s="9">
        <v>3523.0416357221943</v>
      </c>
      <c r="AJ289" s="9">
        <v>39015.598401997056</v>
      </c>
      <c r="AK289" s="9">
        <v>66888565.900135472</v>
      </c>
      <c r="AL289" s="9">
        <v>61502091.27863884</v>
      </c>
    </row>
    <row r="290" spans="1:38" x14ac:dyDescent="0.25">
      <c r="A290" s="9">
        <v>288</v>
      </c>
      <c r="B290" s="9">
        <v>69</v>
      </c>
      <c r="C290" s="9">
        <v>2.0183333333333334E-3</v>
      </c>
      <c r="D290" s="9">
        <v>1.0359365146242876</v>
      </c>
      <c r="E290" s="9">
        <v>7.4409433055443071</v>
      </c>
      <c r="F290" s="9">
        <v>8.58562768987378</v>
      </c>
      <c r="G290" s="9">
        <v>12.290340891161556</v>
      </c>
      <c r="H290" s="9">
        <v>47.5349343619569</v>
      </c>
      <c r="I290" s="9">
        <v>4999.3180985507497</v>
      </c>
      <c r="J290" s="9">
        <v>2766.6309186385356</v>
      </c>
      <c r="K290" s="9">
        <v>1132.8544430079792</v>
      </c>
      <c r="L290" s="9">
        <v>2782.7176627976837</v>
      </c>
      <c r="M290" s="9">
        <v>2.0257118035719008</v>
      </c>
      <c r="N290" s="9">
        <v>817.48065020954209</v>
      </c>
      <c r="O290" s="9">
        <v>23.087627213131714</v>
      </c>
      <c r="P290" s="9">
        <v>1.5269149288682853</v>
      </c>
      <c r="Q290" s="9">
        <v>23.087627213131714</v>
      </c>
      <c r="R290" s="9">
        <v>103.12145172057137</v>
      </c>
      <c r="S290" s="9">
        <v>44.128137770816487</v>
      </c>
      <c r="T290" s="9">
        <v>714.03417166297197</v>
      </c>
      <c r="U290" s="9">
        <v>1092.4221064673095</v>
      </c>
      <c r="V290" s="9">
        <v>1978.1498696250299</v>
      </c>
      <c r="W290" s="9">
        <v>130175.07576038003</v>
      </c>
      <c r="X290" s="9">
        <v>130715.45301811368</v>
      </c>
      <c r="Y290" s="9">
        <v>540.37725773363695</v>
      </c>
      <c r="Z290" s="9">
        <v>208567.51065100011</v>
      </c>
      <c r="AA290" s="9">
        <v>209497.68261686721</v>
      </c>
      <c r="AB290" s="9">
        <v>930.17196586713021</v>
      </c>
      <c r="AC290" s="9">
        <v>5.6424008829869532</v>
      </c>
      <c r="AD290" s="9">
        <v>40.528337870864654</v>
      </c>
      <c r="AE290" s="9">
        <v>46.763052150845851</v>
      </c>
      <c r="AF290" s="9">
        <v>62.547593185269683</v>
      </c>
      <c r="AG290" s="9">
        <v>770.54128600732133</v>
      </c>
      <c r="AH290" s="9">
        <v>34460.547608988069</v>
      </c>
      <c r="AI290" s="9">
        <v>3512.3791258681381</v>
      </c>
      <c r="AJ290" s="9">
        <v>38898.949404953491</v>
      </c>
      <c r="AK290" s="9">
        <v>66927464.849540427</v>
      </c>
      <c r="AL290" s="9">
        <v>61513836.662727162</v>
      </c>
    </row>
    <row r="291" spans="1:38" x14ac:dyDescent="0.25">
      <c r="A291" s="9">
        <v>289</v>
      </c>
      <c r="B291" s="9">
        <v>69</v>
      </c>
      <c r="C291" s="9">
        <v>2.2108333333333333E-3</v>
      </c>
      <c r="D291" s="9">
        <v>1.02295992632833</v>
      </c>
      <c r="E291" s="9">
        <v>7.3802999640959346</v>
      </c>
      <c r="F291" s="9">
        <v>8.5305498788232459</v>
      </c>
      <c r="G291" s="9">
        <v>12.22850949559755</v>
      </c>
      <c r="H291" s="9">
        <v>47.342340089624336</v>
      </c>
      <c r="I291" s="9">
        <v>4999.4437334314352</v>
      </c>
      <c r="J291" s="9">
        <v>2760.5143587825787</v>
      </c>
      <c r="K291" s="9">
        <v>1130.3498906435623</v>
      </c>
      <c r="L291" s="9">
        <v>2773.5414242326069</v>
      </c>
      <c r="M291" s="9">
        <v>2.0193031228029286</v>
      </c>
      <c r="N291" s="9">
        <v>819.49995333234506</v>
      </c>
      <c r="O291" s="9">
        <v>23.015144853477235</v>
      </c>
      <c r="P291" s="9">
        <v>1.5223542955227645</v>
      </c>
      <c r="Q291" s="9">
        <v>23.015144853477235</v>
      </c>
      <c r="R291" s="9">
        <v>102.79669626216996</v>
      </c>
      <c r="S291" s="9">
        <v>43.986006418221017</v>
      </c>
      <c r="T291" s="9">
        <v>715.99061327844493</v>
      </c>
      <c r="U291" s="9">
        <v>1095.8221393760953</v>
      </c>
      <c r="V291" s="9">
        <v>1993.4696800812283</v>
      </c>
      <c r="W291" s="9">
        <v>130175.07576038003</v>
      </c>
      <c r="X291" s="9">
        <v>130715.45301811368</v>
      </c>
      <c r="Y291" s="9">
        <v>540.37725773363695</v>
      </c>
      <c r="Z291" s="9">
        <v>208567.51065100011</v>
      </c>
      <c r="AA291" s="9">
        <v>209497.68261686721</v>
      </c>
      <c r="AB291" s="9">
        <v>930.17196586713021</v>
      </c>
      <c r="AC291" s="9">
        <v>5.5717217320683039</v>
      </c>
      <c r="AD291" s="9">
        <v>40.198033804442524</v>
      </c>
      <c r="AE291" s="9">
        <v>46.463061673323942</v>
      </c>
      <c r="AF291" s="9">
        <v>62.232922908011858</v>
      </c>
      <c r="AG291" s="9">
        <v>767.4193328528105</v>
      </c>
      <c r="AH291" s="9">
        <v>34352.084471020033</v>
      </c>
      <c r="AI291" s="9">
        <v>3501.0661808583018</v>
      </c>
      <c r="AJ291" s="9">
        <v>38775.035724848989</v>
      </c>
      <c r="AK291" s="9">
        <v>66966239.885265276</v>
      </c>
      <c r="AL291" s="9">
        <v>61525496.050785765</v>
      </c>
    </row>
    <row r="292" spans="1:38" x14ac:dyDescent="0.25">
      <c r="A292" s="9">
        <v>290</v>
      </c>
      <c r="B292" s="9">
        <v>69</v>
      </c>
      <c r="C292" s="9">
        <v>2.2108333333333333E-3</v>
      </c>
      <c r="D292" s="9">
        <v>1.0101458883831183</v>
      </c>
      <c r="E292" s="9">
        <v>7.3201040946704152</v>
      </c>
      <c r="F292" s="9">
        <v>8.4757301924159769</v>
      </c>
      <c r="G292" s="9">
        <v>12.166863236881426</v>
      </c>
      <c r="H292" s="9">
        <v>47.150403110425955</v>
      </c>
      <c r="I292" s="9">
        <v>4999.5687362564213</v>
      </c>
      <c r="J292" s="9">
        <v>2754.4113216210367</v>
      </c>
      <c r="K292" s="9">
        <v>1127.8508754269978</v>
      </c>
      <c r="L292" s="9">
        <v>2764.3954450629867</v>
      </c>
      <c r="M292" s="9">
        <v>2.0125256774341764</v>
      </c>
      <c r="N292" s="9">
        <v>821.51247900977921</v>
      </c>
      <c r="O292" s="9">
        <v>22.942486393908318</v>
      </c>
      <c r="P292" s="9">
        <v>1.5175406480916815</v>
      </c>
      <c r="Q292" s="9">
        <v>22.942486393908318</v>
      </c>
      <c r="R292" s="9">
        <v>102.47294417078832</v>
      </c>
      <c r="S292" s="9">
        <v>43.844251563870827</v>
      </c>
      <c r="T292" s="9">
        <v>717.94067214444635</v>
      </c>
      <c r="U292" s="9">
        <v>1099.2113251580552</v>
      </c>
      <c r="V292" s="9">
        <v>2008.748104083721</v>
      </c>
      <c r="W292" s="9">
        <v>130175.07576038003</v>
      </c>
      <c r="X292" s="9">
        <v>130715.45301811368</v>
      </c>
      <c r="Y292" s="9">
        <v>540.37725773363695</v>
      </c>
      <c r="Z292" s="9">
        <v>208567.51065100011</v>
      </c>
      <c r="AA292" s="9">
        <v>209497.68261686721</v>
      </c>
      <c r="AB292" s="9">
        <v>930.17196586713021</v>
      </c>
      <c r="AC292" s="9">
        <v>5.501927938726717</v>
      </c>
      <c r="AD292" s="9">
        <v>39.870166968971525</v>
      </c>
      <c r="AE292" s="9">
        <v>46.164477114692353</v>
      </c>
      <c r="AF292" s="9">
        <v>61.919194823029052</v>
      </c>
      <c r="AG292" s="9">
        <v>764.30803442000479</v>
      </c>
      <c r="AH292" s="9">
        <v>34243.847212819986</v>
      </c>
      <c r="AI292" s="9">
        <v>3489.7832032262986</v>
      </c>
      <c r="AJ292" s="9">
        <v>38651.39421731171</v>
      </c>
      <c r="AK292" s="9">
        <v>67004891.279482588</v>
      </c>
      <c r="AL292" s="9">
        <v>61537070.035751283</v>
      </c>
    </row>
    <row r="293" spans="1:38" x14ac:dyDescent="0.25">
      <c r="A293" s="9">
        <v>291</v>
      </c>
      <c r="B293" s="9">
        <v>69</v>
      </c>
      <c r="C293" s="9">
        <v>2.2108333333333333E-3</v>
      </c>
      <c r="D293" s="9">
        <v>0.99749236461273905</v>
      </c>
      <c r="E293" s="9">
        <v>7.2603530845591591</v>
      </c>
      <c r="F293" s="9">
        <v>8.4211686250571756</v>
      </c>
      <c r="G293" s="9">
        <v>12.105402548343115</v>
      </c>
      <c r="H293" s="9">
        <v>46.959120916536804</v>
      </c>
      <c r="I293" s="9">
        <v>4999.6931089182226</v>
      </c>
      <c r="J293" s="9">
        <v>2748.3217772574862</v>
      </c>
      <c r="K293" s="9">
        <v>1125.3573851165747</v>
      </c>
      <c r="L293" s="9">
        <v>2755.279625505998</v>
      </c>
      <c r="M293" s="9">
        <v>2.0057706547100675</v>
      </c>
      <c r="N293" s="9">
        <v>823.5182496644893</v>
      </c>
      <c r="O293" s="9">
        <v>22.869663605733749</v>
      </c>
      <c r="P293" s="9">
        <v>1.5127419962662509</v>
      </c>
      <c r="Q293" s="9">
        <v>22.869663605733749</v>
      </c>
      <c r="R293" s="9">
        <v>102.15019246973851</v>
      </c>
      <c r="S293" s="9">
        <v>43.702873552391303</v>
      </c>
      <c r="T293" s="9">
        <v>719.88436651048232</v>
      </c>
      <c r="U293" s="9">
        <v>1102.5896878450949</v>
      </c>
      <c r="V293" s="9">
        <v>2023.9852571122481</v>
      </c>
      <c r="W293" s="9">
        <v>130175.07576038003</v>
      </c>
      <c r="X293" s="9">
        <v>130715.45301811368</v>
      </c>
      <c r="Y293" s="9">
        <v>540.37725773363695</v>
      </c>
      <c r="Z293" s="9">
        <v>208567.51065100011</v>
      </c>
      <c r="AA293" s="9">
        <v>209497.68261686721</v>
      </c>
      <c r="AB293" s="9">
        <v>930.17196586713021</v>
      </c>
      <c r="AC293" s="9">
        <v>5.4330084125907181</v>
      </c>
      <c r="AD293" s="9">
        <v>39.544723133898884</v>
      </c>
      <c r="AE293" s="9">
        <v>45.867298444478081</v>
      </c>
      <c r="AF293" s="9">
        <v>61.606411135609498</v>
      </c>
      <c r="AG293" s="9">
        <v>761.2073500570616</v>
      </c>
      <c r="AH293" s="9">
        <v>34135.838235700532</v>
      </c>
      <c r="AI293" s="9">
        <v>3478.5302204025857</v>
      </c>
      <c r="AJ293" s="9">
        <v>38528.027247286758</v>
      </c>
      <c r="AK293" s="9">
        <v>67043419.306729876</v>
      </c>
      <c r="AL293" s="9">
        <v>61548559.207487397</v>
      </c>
    </row>
    <row r="294" spans="1:38" x14ac:dyDescent="0.25">
      <c r="A294" s="9">
        <v>292</v>
      </c>
      <c r="B294" s="9">
        <v>69</v>
      </c>
      <c r="C294" s="9">
        <v>2.2108333333333333E-3</v>
      </c>
      <c r="D294" s="9">
        <v>0.98499734434729802</v>
      </c>
      <c r="E294" s="9">
        <v>7.2010443250948954</v>
      </c>
      <c r="F294" s="9">
        <v>8.3668651519542667</v>
      </c>
      <c r="G294" s="9">
        <v>12.044127857865638</v>
      </c>
      <c r="H294" s="9">
        <v>46.768491021350513</v>
      </c>
      <c r="I294" s="9">
        <v>4999.8168533137832</v>
      </c>
      <c r="J294" s="9">
        <v>2742.2456958615994</v>
      </c>
      <c r="K294" s="9">
        <v>1122.8694074976461</v>
      </c>
      <c r="L294" s="9">
        <v>2746.1938661078566</v>
      </c>
      <c r="M294" s="9">
        <v>1.9990379795636941</v>
      </c>
      <c r="N294" s="9">
        <v>825.517287644053</v>
      </c>
      <c r="O294" s="9">
        <v>22.796687940705123</v>
      </c>
      <c r="P294" s="9">
        <v>1.5079582922948755</v>
      </c>
      <c r="Q294" s="9">
        <v>22.796687940705123</v>
      </c>
      <c r="R294" s="9">
        <v>101.82843818789934</v>
      </c>
      <c r="S294" s="9">
        <v>43.561872718862617</v>
      </c>
      <c r="T294" s="9">
        <v>721.82171463290285</v>
      </c>
      <c r="U294" s="9">
        <v>1105.9572516508515</v>
      </c>
      <c r="V294" s="9">
        <v>2039.1812543381145</v>
      </c>
      <c r="W294" s="9">
        <v>130175.07576038003</v>
      </c>
      <c r="X294" s="9">
        <v>130715.45301811368</v>
      </c>
      <c r="Y294" s="9">
        <v>540.37725773363695</v>
      </c>
      <c r="Z294" s="9">
        <v>208567.51065100011</v>
      </c>
      <c r="AA294" s="9">
        <v>209497.68261686721</v>
      </c>
      <c r="AB294" s="9">
        <v>930.17196586713021</v>
      </c>
      <c r="AC294" s="9">
        <v>5.3649522022116161</v>
      </c>
      <c r="AD294" s="9">
        <v>39.221688090683529</v>
      </c>
      <c r="AE294" s="9">
        <v>45.571525527644233</v>
      </c>
      <c r="AF294" s="9">
        <v>61.294574023321204</v>
      </c>
      <c r="AG294" s="9">
        <v>758.11723945609185</v>
      </c>
      <c r="AH294" s="9">
        <v>34028.059855241263</v>
      </c>
      <c r="AI294" s="9">
        <v>3467.3072590578699</v>
      </c>
      <c r="AJ294" s="9">
        <v>38404.937093599088</v>
      </c>
      <c r="AK294" s="9">
        <v>67081824.243823476</v>
      </c>
      <c r="AL294" s="9">
        <v>61559964.152770087</v>
      </c>
    </row>
    <row r="295" spans="1:38" x14ac:dyDescent="0.25">
      <c r="A295" s="9">
        <v>293</v>
      </c>
      <c r="B295" s="9">
        <v>69</v>
      </c>
      <c r="C295" s="9">
        <v>2.2108333333333333E-3</v>
      </c>
      <c r="D295" s="9">
        <v>0.97265884210342035</v>
      </c>
      <c r="E295" s="9">
        <v>7.1421752118760429</v>
      </c>
      <c r="F295" s="9">
        <v>8.3128197293925759</v>
      </c>
      <c r="G295" s="9">
        <v>11.983039587749403</v>
      </c>
      <c r="H295" s="9">
        <v>46.578510959281559</v>
      </c>
      <c r="I295" s="9">
        <v>4999.9399713444209</v>
      </c>
      <c r="J295" s="9">
        <v>2736.1830476689988</v>
      </c>
      <c r="K295" s="9">
        <v>1120.38693038257</v>
      </c>
      <c r="L295" s="9">
        <v>2737.1380677427355</v>
      </c>
      <c r="M295" s="9">
        <v>1.9923275772185427</v>
      </c>
      <c r="N295" s="9">
        <v>827.50961522127159</v>
      </c>
      <c r="O295" s="9">
        <v>22.723570542391936</v>
      </c>
      <c r="P295" s="9">
        <v>1.5031894886080637</v>
      </c>
      <c r="Q295" s="9">
        <v>22.723570542391936</v>
      </c>
      <c r="R295" s="9">
        <v>101.5076783597988</v>
      </c>
      <c r="S295" s="9">
        <v>43.421249387598756</v>
      </c>
      <c r="T295" s="9">
        <v>723.75273477322685</v>
      </c>
      <c r="U295" s="9">
        <v>1109.3140409650102</v>
      </c>
      <c r="V295" s="9">
        <v>2054.3362106244663</v>
      </c>
      <c r="W295" s="9">
        <v>130175.07576038003</v>
      </c>
      <c r="X295" s="9">
        <v>130715.45301811368</v>
      </c>
      <c r="Y295" s="9">
        <v>540.37725773363695</v>
      </c>
      <c r="Z295" s="9">
        <v>208567.51065100011</v>
      </c>
      <c r="AA295" s="9">
        <v>209497.68261686721</v>
      </c>
      <c r="AB295" s="9">
        <v>930.17196586713021</v>
      </c>
      <c r="AC295" s="9">
        <v>5.2977484933232954</v>
      </c>
      <c r="AD295" s="9">
        <v>38.901047654018178</v>
      </c>
      <c r="AE295" s="9">
        <v>45.277158126091557</v>
      </c>
      <c r="AF295" s="9">
        <v>60.983685635321329</v>
      </c>
      <c r="AG295" s="9">
        <v>755.03766264995409</v>
      </c>
      <c r="AH295" s="9">
        <v>33920.514304417171</v>
      </c>
      <c r="AI295" s="9">
        <v>3456.114345005923</v>
      </c>
      <c r="AJ295" s="9">
        <v>38282.125951981805</v>
      </c>
      <c r="AK295" s="9">
        <v>67120106.369775459</v>
      </c>
      <c r="AL295" s="9">
        <v>61571285.455274351</v>
      </c>
    </row>
    <row r="296" spans="1:38" x14ac:dyDescent="0.25">
      <c r="A296" s="9">
        <v>294</v>
      </c>
      <c r="B296" s="9">
        <v>69</v>
      </c>
      <c r="C296" s="9">
        <v>2.2108333333333333E-3</v>
      </c>
      <c r="D296" s="9">
        <v>0.9604748972687539</v>
      </c>
      <c r="E296" s="9">
        <v>7.0837431449856298</v>
      </c>
      <c r="F296" s="9">
        <v>8.2590322950091188</v>
      </c>
      <c r="G296" s="9">
        <v>11.922138154581116</v>
      </c>
      <c r="H296" s="9">
        <v>46.389178285567475</v>
      </c>
      <c r="I296" s="9">
        <v>5000.0624649157699</v>
      </c>
      <c r="J296" s="9">
        <v>2730.1338029811104</v>
      </c>
      <c r="K296" s="9">
        <v>1117.9099416106492</v>
      </c>
      <c r="L296" s="9">
        <v>2728.1121316116842</v>
      </c>
      <c r="M296" s="9">
        <v>1.9856393731871138</v>
      </c>
      <c r="N296" s="9">
        <v>829.49525459445874</v>
      </c>
      <c r="O296" s="9">
        <v>22.650322252182384</v>
      </c>
      <c r="P296" s="9">
        <v>1.4984355378176168</v>
      </c>
      <c r="Q296" s="9">
        <v>22.650322252182384</v>
      </c>
      <c r="R296" s="9">
        <v>101.18791002569419</v>
      </c>
      <c r="S296" s="9">
        <v>43.28100387105092</v>
      </c>
      <c r="T296" s="9">
        <v>725.67744519653365</v>
      </c>
      <c r="U296" s="9">
        <v>1112.6600803477561</v>
      </c>
      <c r="V296" s="9">
        <v>2069.4502405265857</v>
      </c>
      <c r="W296" s="9">
        <v>130175.07576038003</v>
      </c>
      <c r="X296" s="9">
        <v>130715.45301811368</v>
      </c>
      <c r="Y296" s="9">
        <v>540.37725773363695</v>
      </c>
      <c r="Z296" s="9">
        <v>208567.51065100011</v>
      </c>
      <c r="AA296" s="9">
        <v>209497.68261686721</v>
      </c>
      <c r="AB296" s="9">
        <v>930.17196586713021</v>
      </c>
      <c r="AC296" s="9">
        <v>5.2313866071238122</v>
      </c>
      <c r="AD296" s="9">
        <v>38.582787663021726</v>
      </c>
      <c r="AE296" s="9">
        <v>44.984195900149665</v>
      </c>
      <c r="AF296" s="9">
        <v>60.673748091689063</v>
      </c>
      <c r="AG296" s="9">
        <v>751.96858000904876</v>
      </c>
      <c r="AH296" s="9">
        <v>33813.203735259012</v>
      </c>
      <c r="AI296" s="9">
        <v>3444.9515031162978</v>
      </c>
      <c r="AJ296" s="9">
        <v>38159.595936646343</v>
      </c>
      <c r="AK296" s="9">
        <v>67158265.9657121</v>
      </c>
      <c r="AL296" s="9">
        <v>61582523.695561819</v>
      </c>
    </row>
    <row r="297" spans="1:38" x14ac:dyDescent="0.25">
      <c r="A297" s="9">
        <v>295</v>
      </c>
      <c r="B297" s="9">
        <v>69</v>
      </c>
      <c r="C297" s="9">
        <v>2.2108333333333333E-3</v>
      </c>
      <c r="D297" s="9">
        <v>0.94844357379042354</v>
      </c>
      <c r="E297" s="9">
        <v>7.0257455292048672</v>
      </c>
      <c r="F297" s="9">
        <v>8.2055027680645107</v>
      </c>
      <c r="G297" s="9">
        <v>11.861423969107214</v>
      </c>
      <c r="H297" s="9">
        <v>46.200490576071061</v>
      </c>
      <c r="I297" s="9">
        <v>5000.1843359377235</v>
      </c>
      <c r="J297" s="9">
        <v>2724.0979321650198</v>
      </c>
      <c r="K297" s="9">
        <v>1115.4384290480716</v>
      </c>
      <c r="L297" s="9">
        <v>2719.1159592415484</v>
      </c>
      <c r="M297" s="9">
        <v>1.9789732932695436</v>
      </c>
      <c r="N297" s="9">
        <v>831.47422788772826</v>
      </c>
      <c r="O297" s="9">
        <v>22.57695361628419</v>
      </c>
      <c r="P297" s="9">
        <v>1.4936963927158111</v>
      </c>
      <c r="Q297" s="9">
        <v>22.57695361628419</v>
      </c>
      <c r="R297" s="9">
        <v>100.86913023164995</v>
      </c>
      <c r="S297" s="9">
        <v>43.141136468797995</v>
      </c>
      <c r="T297" s="9">
        <v>727.5958641698893</v>
      </c>
      <c r="U297" s="9">
        <v>1115.9953945242748</v>
      </c>
      <c r="V297" s="9">
        <v>2084.5234582921953</v>
      </c>
      <c r="W297" s="9">
        <v>130175.07576038003</v>
      </c>
      <c r="X297" s="9">
        <v>130715.45301811368</v>
      </c>
      <c r="Y297" s="9">
        <v>540.37725773363695</v>
      </c>
      <c r="Z297" s="9">
        <v>208567.51065100011</v>
      </c>
      <c r="AA297" s="9">
        <v>209497.68261686721</v>
      </c>
      <c r="AB297" s="9">
        <v>930.17196586713021</v>
      </c>
      <c r="AC297" s="9">
        <v>5.1658559985785066</v>
      </c>
      <c r="AD297" s="9">
        <v>38.266893982402507</v>
      </c>
      <c r="AE297" s="9">
        <v>44.692638410058031</v>
      </c>
      <c r="AF297" s="9">
        <v>60.364763482781463</v>
      </c>
      <c r="AG297" s="9">
        <v>748.90995223811194</v>
      </c>
      <c r="AH297" s="9">
        <v>33706.130220786101</v>
      </c>
      <c r="AI297" s="9">
        <v>3433.8187572339766</v>
      </c>
      <c r="AJ297" s="9">
        <v>38037.349082132008</v>
      </c>
      <c r="AK297" s="9">
        <v>67196303.314794227</v>
      </c>
      <c r="AL297" s="9">
        <v>61593679.451069452</v>
      </c>
    </row>
    <row r="298" spans="1:38" x14ac:dyDescent="0.25">
      <c r="A298" s="9">
        <v>296</v>
      </c>
      <c r="B298" s="9">
        <v>69</v>
      </c>
      <c r="C298" s="9">
        <v>2.2108333333333333E-3</v>
      </c>
      <c r="D298" s="9">
        <v>0.93656295986738913</v>
      </c>
      <c r="E298" s="9">
        <v>6.9681797742214551</v>
      </c>
      <c r="F298" s="9">
        <v>8.1522310497129666</v>
      </c>
      <c r="G298" s="9">
        <v>11.800897436111756</v>
      </c>
      <c r="H298" s="9">
        <v>46.012445427082575</v>
      </c>
      <c r="I298" s="9">
        <v>5000.3055863243735</v>
      </c>
      <c r="J298" s="9">
        <v>2718.0754056533251</v>
      </c>
      <c r="K298" s="9">
        <v>1112.9723805878511</v>
      </c>
      <c r="L298" s="9">
        <v>2710.1494524838981</v>
      </c>
      <c r="M298" s="9">
        <v>1.9723292635522283</v>
      </c>
      <c r="N298" s="9">
        <v>833.44655715128044</v>
      </c>
      <c r="O298" s="9">
        <v>22.503474894725418</v>
      </c>
      <c r="P298" s="9">
        <v>1.4889720062745826</v>
      </c>
      <c r="Q298" s="9">
        <v>22.503474894725418</v>
      </c>
      <c r="R298" s="9">
        <v>100.55133602961327</v>
      </c>
      <c r="S298" s="9">
        <v>43.001647466625769</v>
      </c>
      <c r="T298" s="9">
        <v>729.50800996081364</v>
      </c>
      <c r="U298" s="9">
        <v>1119.3200083793267</v>
      </c>
      <c r="V298" s="9">
        <v>2099.5559778617694</v>
      </c>
      <c r="W298" s="9">
        <v>130175.07576038003</v>
      </c>
      <c r="X298" s="9">
        <v>130715.45301811368</v>
      </c>
      <c r="Y298" s="9">
        <v>540.37725773363695</v>
      </c>
      <c r="Z298" s="9">
        <v>208567.51065100011</v>
      </c>
      <c r="AA298" s="9">
        <v>209497.68261686721</v>
      </c>
      <c r="AB298" s="9">
        <v>930.17196586713021</v>
      </c>
      <c r="AC298" s="9">
        <v>5.1011462547443793</v>
      </c>
      <c r="AD298" s="9">
        <v>37.953352503592853</v>
      </c>
      <c r="AE298" s="9">
        <v>44.402485117436619</v>
      </c>
      <c r="AF298" s="9">
        <v>60.056733868612071</v>
      </c>
      <c r="AG298" s="9">
        <v>745.86174037300862</v>
      </c>
      <c r="AH298" s="9">
        <v>33599.29575748452</v>
      </c>
      <c r="AI298" s="9">
        <v>3422.7161301060783</v>
      </c>
      <c r="AJ298" s="9">
        <v>37915.38734570799</v>
      </c>
      <c r="AK298" s="9">
        <v>67234218.702139929</v>
      </c>
      <c r="AL298" s="9">
        <v>61604753.29609938</v>
      </c>
    </row>
    <row r="299" spans="1:38" x14ac:dyDescent="0.25">
      <c r="A299" s="9">
        <v>297</v>
      </c>
      <c r="B299" s="9">
        <v>69</v>
      </c>
      <c r="C299" s="9">
        <v>2.2108333333333333E-3</v>
      </c>
      <c r="D299" s="9">
        <v>0.92483116764665596</v>
      </c>
      <c r="E299" s="9">
        <v>6.9110432948327212</v>
      </c>
      <c r="F299" s="9">
        <v>8.0992170232703753</v>
      </c>
      <c r="G299" s="9">
        <v>11.740558954298693</v>
      </c>
      <c r="H299" s="9">
        <v>45.825040455122043</v>
      </c>
      <c r="I299" s="9">
        <v>5000.4262179939496</v>
      </c>
      <c r="J299" s="9">
        <v>2712.0661939439933</v>
      </c>
      <c r="K299" s="9">
        <v>1110.5117841497681</v>
      </c>
      <c r="L299" s="9">
        <v>2701.2125135139554</v>
      </c>
      <c r="M299" s="9">
        <v>1.9657072104064506</v>
      </c>
      <c r="N299" s="9">
        <v>835.41226436168688</v>
      </c>
      <c r="O299" s="9">
        <v>22.429896067355294</v>
      </c>
      <c r="P299" s="9">
        <v>1.4842623316447081</v>
      </c>
      <c r="Q299" s="9">
        <v>22.429896067355294</v>
      </c>
      <c r="R299" s="9">
        <v>100.23452447748762</v>
      </c>
      <c r="S299" s="9">
        <v>42.862537135702368</v>
      </c>
      <c r="T299" s="9">
        <v>731.41390083579984</v>
      </c>
      <c r="U299" s="9">
        <v>1122.6339469519271</v>
      </c>
      <c r="V299" s="9">
        <v>2114.5479128688635</v>
      </c>
      <c r="W299" s="9">
        <v>130175.07576038003</v>
      </c>
      <c r="X299" s="9">
        <v>130715.45301811368</v>
      </c>
      <c r="Y299" s="9">
        <v>540.37725773363695</v>
      </c>
      <c r="Z299" s="9">
        <v>208567.51065100011</v>
      </c>
      <c r="AA299" s="9">
        <v>209497.68261686721</v>
      </c>
      <c r="AB299" s="9">
        <v>930.17196586713021</v>
      </c>
      <c r="AC299" s="9">
        <v>5.037247093115452</v>
      </c>
      <c r="AD299" s="9">
        <v>37.642149145855555</v>
      </c>
      <c r="AE299" s="9">
        <v>44.113735386745972</v>
      </c>
      <c r="AF299" s="9">
        <v>59.749661278251764</v>
      </c>
      <c r="AG299" s="9">
        <v>742.82390577752835</v>
      </c>
      <c r="AH299" s="9">
        <v>33492.702266965731</v>
      </c>
      <c r="AI299" s="9">
        <v>3411.6436433162298</v>
      </c>
      <c r="AJ299" s="9">
        <v>37793.712608963455</v>
      </c>
      <c r="AK299" s="9">
        <v>67272012.414748892</v>
      </c>
      <c r="AL299" s="9">
        <v>61615745.801809639</v>
      </c>
    </row>
    <row r="300" spans="1:38" x14ac:dyDescent="0.25">
      <c r="A300" s="9">
        <v>298</v>
      </c>
      <c r="B300" s="9">
        <v>69</v>
      </c>
      <c r="C300" s="9">
        <v>2.2108333333333333E-3</v>
      </c>
      <c r="D300" s="9">
        <v>0.9132463329232916</v>
      </c>
      <c r="E300" s="9">
        <v>6.8543335111436772</v>
      </c>
      <c r="F300" s="9">
        <v>8.04646055448044</v>
      </c>
      <c r="G300" s="9">
        <v>11.68040891617845</v>
      </c>
      <c r="H300" s="9">
        <v>45.63827329674168</v>
      </c>
      <c r="I300" s="9">
        <v>5000.5462328687581</v>
      </c>
      <c r="J300" s="9">
        <v>2706.0702676002156</v>
      </c>
      <c r="K300" s="9">
        <v>1108.0566276803104</v>
      </c>
      <c r="L300" s="9">
        <v>2692.3050448295276</v>
      </c>
      <c r="M300" s="9">
        <v>1.9591070604870089</v>
      </c>
      <c r="N300" s="9">
        <v>837.37137142217387</v>
      </c>
      <c r="O300" s="9">
        <v>22.356226840845011</v>
      </c>
      <c r="P300" s="9">
        <v>1.4795673221549877</v>
      </c>
      <c r="Q300" s="9">
        <v>22.356226840845011</v>
      </c>
      <c r="R300" s="9">
        <v>99.918692639204053</v>
      </c>
      <c r="S300" s="9">
        <v>42.723805731827753</v>
      </c>
      <c r="T300" s="9">
        <v>733.3135550588687</v>
      </c>
      <c r="U300" s="9">
        <v>1125.9372354300917</v>
      </c>
      <c r="V300" s="9">
        <v>2129.4993766404523</v>
      </c>
      <c r="W300" s="9">
        <v>130175.07576038003</v>
      </c>
      <c r="X300" s="9">
        <v>130715.45301811368</v>
      </c>
      <c r="Y300" s="9">
        <v>540.37725773363695</v>
      </c>
      <c r="Z300" s="9">
        <v>208567.51065100011</v>
      </c>
      <c r="AA300" s="9">
        <v>209497.68261686721</v>
      </c>
      <c r="AB300" s="9">
        <v>930.17196586713021</v>
      </c>
      <c r="AC300" s="9">
        <v>4.9741483599888614</v>
      </c>
      <c r="AD300" s="9">
        <v>37.333269857362559</v>
      </c>
      <c r="AE300" s="9">
        <v>43.826388486736796</v>
      </c>
      <c r="AF300" s="9">
        <v>59.443547709251497</v>
      </c>
      <c r="AG300" s="9">
        <v>739.79641014018262</v>
      </c>
      <c r="AH300" s="9">
        <v>33386.351597897534</v>
      </c>
      <c r="AI300" s="9">
        <v>3400.6013172248299</v>
      </c>
      <c r="AJ300" s="9">
        <v>37672.326679675883</v>
      </c>
      <c r="AK300" s="9">
        <v>67309684.741428569</v>
      </c>
      <c r="AL300" s="9">
        <v>61626657.536205895</v>
      </c>
    </row>
    <row r="301" spans="1:38" x14ac:dyDescent="0.25">
      <c r="A301" s="9">
        <v>299</v>
      </c>
      <c r="B301" s="9">
        <v>69</v>
      </c>
      <c r="C301" s="9">
        <v>2.2108333333333333E-3</v>
      </c>
      <c r="D301" s="9">
        <v>0.90180661484419999</v>
      </c>
      <c r="E301" s="9">
        <v>6.7980478487600831</v>
      </c>
      <c r="F301" s="9">
        <v>7.9939614917788759</v>
      </c>
      <c r="G301" s="9">
        <v>11.620447707958725</v>
      </c>
      <c r="H301" s="9">
        <v>45.452141608328461</v>
      </c>
      <c r="I301" s="9">
        <v>5000.6656328751151</v>
      </c>
      <c r="J301" s="9">
        <v>2700.0875972502627</v>
      </c>
      <c r="K301" s="9">
        <v>1105.6068991526138</v>
      </c>
      <c r="L301" s="9">
        <v>2683.4269492499434</v>
      </c>
      <c r="M301" s="9">
        <v>1.9525287407308489</v>
      </c>
      <c r="N301" s="9">
        <v>839.32390016290469</v>
      </c>
      <c r="O301" s="9">
        <v>22.282476656688573</v>
      </c>
      <c r="P301" s="9">
        <v>1.4748869313114261</v>
      </c>
      <c r="Q301" s="9">
        <v>22.282476656688573</v>
      </c>
      <c r="R301" s="9">
        <v>99.603837584790426</v>
      </c>
      <c r="S301" s="9">
        <v>42.585453494759633</v>
      </c>
      <c r="T301" s="9">
        <v>735.20699089016341</v>
      </c>
      <c r="U301" s="9">
        <v>1129.2298991456632</v>
      </c>
      <c r="V301" s="9">
        <v>2144.4104821972751</v>
      </c>
      <c r="W301" s="9">
        <v>130175.07576038003</v>
      </c>
      <c r="X301" s="9">
        <v>130715.45301811368</v>
      </c>
      <c r="Y301" s="9">
        <v>540.37725773363695</v>
      </c>
      <c r="Z301" s="9">
        <v>208567.51065100011</v>
      </c>
      <c r="AA301" s="9">
        <v>209497.68261686721</v>
      </c>
      <c r="AB301" s="9">
        <v>930.17196586713021</v>
      </c>
      <c r="AC301" s="9">
        <v>4.911840028851409</v>
      </c>
      <c r="AD301" s="9">
        <v>37.026700616246586</v>
      </c>
      <c r="AE301" s="9">
        <v>43.540443591888945</v>
      </c>
      <c r="AF301" s="9">
        <v>59.138395127086611</v>
      </c>
      <c r="AG301" s="9">
        <v>736.77921547100436</v>
      </c>
      <c r="AH301" s="9">
        <v>33280.245528207568</v>
      </c>
      <c r="AI301" s="9">
        <v>3389.589170915393</v>
      </c>
      <c r="AJ301" s="9">
        <v>37551.231293958037</v>
      </c>
      <c r="AK301" s="9">
        <v>67347235.97272253</v>
      </c>
      <c r="AL301" s="9">
        <v>61637489.064134188</v>
      </c>
    </row>
    <row r="302" spans="1:38" x14ac:dyDescent="0.25">
      <c r="A302" s="9">
        <v>300</v>
      </c>
      <c r="B302" s="9">
        <v>70</v>
      </c>
      <c r="C302" s="9">
        <v>2.2108333333333333E-3</v>
      </c>
      <c r="D302" s="9">
        <v>0.89051019561560596</v>
      </c>
      <c r="E302" s="9">
        <v>6.7421837389766059</v>
      </c>
      <c r="F302" s="9">
        <v>7.9417196665556409</v>
      </c>
      <c r="G302" s="9">
        <v>11.560675709439453</v>
      </c>
      <c r="H302" s="9">
        <v>45.266643065906912</v>
      </c>
      <c r="I302" s="9">
        <v>5000.7844199432875</v>
      </c>
      <c r="J302" s="9">
        <v>2694.118153587342</v>
      </c>
      <c r="K302" s="9">
        <v>1103.1625865664039</v>
      </c>
      <c r="L302" s="9">
        <v>2674.5781299149926</v>
      </c>
      <c r="M302" s="9">
        <v>1.9459721783556991</v>
      </c>
      <c r="N302" s="9">
        <v>841.26987234126034</v>
      </c>
      <c r="O302" s="9">
        <v>22.213334091469839</v>
      </c>
      <c r="P302" s="9">
        <v>1.4655417185301631</v>
      </c>
      <c r="Q302" s="9">
        <v>22.213334091469839</v>
      </c>
      <c r="R302" s="9">
        <v>99.285276996172357</v>
      </c>
      <c r="S302" s="9">
        <v>42.447480647617979</v>
      </c>
      <c r="T302" s="9">
        <v>737.09422658459175</v>
      </c>
      <c r="U302" s="9">
        <v>1132.5119635692415</v>
      </c>
      <c r="V302" s="9">
        <v>2159.2813422541972</v>
      </c>
      <c r="W302" s="9">
        <v>132244.57908848306</v>
      </c>
      <c r="X302" s="9">
        <v>132795.45264952231</v>
      </c>
      <c r="Y302" s="9">
        <v>550.87356103924367</v>
      </c>
      <c r="Z302" s="9">
        <v>215241.86571798049</v>
      </c>
      <c r="AA302" s="9">
        <v>216205.88931104771</v>
      </c>
      <c r="AB302" s="9">
        <v>964.02359306724452</v>
      </c>
      <c r="AC302" s="9">
        <v>4.8503121987863338</v>
      </c>
      <c r="AD302" s="9">
        <v>36.72242743162591</v>
      </c>
      <c r="AE302" s="9">
        <v>43.255899783839723</v>
      </c>
      <c r="AF302" s="9">
        <v>58.834205464622279</v>
      </c>
      <c r="AG302" s="9">
        <v>733.77228409835107</v>
      </c>
      <c r="AH302" s="9">
        <v>33174.385766740117</v>
      </c>
      <c r="AI302" s="9">
        <v>3378.6072221471532</v>
      </c>
      <c r="AJ302" s="9">
        <v>37430.428117864496</v>
      </c>
      <c r="AK302" s="9">
        <v>67384666.400840402</v>
      </c>
      <c r="AL302" s="9">
        <v>61648240.947274536</v>
      </c>
    </row>
    <row r="303" spans="1:38" x14ac:dyDescent="0.25">
      <c r="A303" s="9">
        <v>301</v>
      </c>
      <c r="B303" s="9">
        <v>70</v>
      </c>
      <c r="C303" s="9">
        <v>2.4208333333333334E-3</v>
      </c>
      <c r="D303" s="9">
        <v>0.87916827307312539</v>
      </c>
      <c r="E303" s="9">
        <v>6.6853227603749676</v>
      </c>
      <c r="F303" s="9">
        <v>7.888067132285224</v>
      </c>
      <c r="G303" s="9">
        <v>11.49866555201287</v>
      </c>
      <c r="H303" s="9">
        <v>45.072269369898301</v>
      </c>
      <c r="I303" s="9">
        <v>5000.9025960074223</v>
      </c>
      <c r="J303" s="9">
        <v>2687.5961425571995</v>
      </c>
      <c r="K303" s="9">
        <v>1100.4920138047578</v>
      </c>
      <c r="L303" s="9">
        <v>2665.1968288765875</v>
      </c>
      <c r="M303" s="9">
        <v>1.939437300858708</v>
      </c>
      <c r="N303" s="9">
        <v>843.20930964211902</v>
      </c>
      <c r="O303" s="9">
        <v>22.139333662745766</v>
      </c>
      <c r="P303" s="9">
        <v>1.4609052302542347</v>
      </c>
      <c r="Q303" s="9">
        <v>22.139333662745766</v>
      </c>
      <c r="R303" s="9">
        <v>98.946936063153956</v>
      </c>
      <c r="S303" s="9">
        <v>42.300973425416657</v>
      </c>
      <c r="T303" s="9">
        <v>738.97528039050201</v>
      </c>
      <c r="U303" s="9">
        <v>1135.7834859001189</v>
      </c>
      <c r="V303" s="9">
        <v>2175.5207926263588</v>
      </c>
      <c r="W303" s="9">
        <v>132244.57908848306</v>
      </c>
      <c r="X303" s="9">
        <v>132795.45264952231</v>
      </c>
      <c r="Y303" s="9">
        <v>550.87356103924367</v>
      </c>
      <c r="Z303" s="9">
        <v>215241.86571798049</v>
      </c>
      <c r="AA303" s="9">
        <v>216205.88931104771</v>
      </c>
      <c r="AB303" s="9">
        <v>964.02359306724452</v>
      </c>
      <c r="AC303" s="9">
        <v>4.7885365273382892</v>
      </c>
      <c r="AD303" s="9">
        <v>36.41272463484232</v>
      </c>
      <c r="AE303" s="9">
        <v>42.96367231384685</v>
      </c>
      <c r="AF303" s="9">
        <v>58.518625438452162</v>
      </c>
      <c r="AG303" s="9">
        <v>730.62148648605148</v>
      </c>
      <c r="AH303" s="9">
        <v>33061.798706858746</v>
      </c>
      <c r="AI303" s="9">
        <v>3366.945979796039</v>
      </c>
      <c r="AJ303" s="9">
        <v>37302.049732055319</v>
      </c>
      <c r="AK303" s="9">
        <v>67421968.450572461</v>
      </c>
      <c r="AL303" s="9">
        <v>61658911.493140951</v>
      </c>
    </row>
    <row r="304" spans="1:38" x14ac:dyDescent="0.25">
      <c r="A304" s="9">
        <v>302</v>
      </c>
      <c r="B304" s="9">
        <v>70</v>
      </c>
      <c r="C304" s="9">
        <v>2.4208333333333334E-3</v>
      </c>
      <c r="D304" s="9">
        <v>0.86797080615573807</v>
      </c>
      <c r="E304" s="9">
        <v>6.6289017990388137</v>
      </c>
      <c r="F304" s="9">
        <v>7.8346936320094143</v>
      </c>
      <c r="G304" s="9">
        <v>11.436870878703845</v>
      </c>
      <c r="H304" s="9">
        <v>44.878603870748833</v>
      </c>
      <c r="I304" s="9">
        <v>5001.0201381885108</v>
      </c>
      <c r="J304" s="9">
        <v>2681.0899202287592</v>
      </c>
      <c r="K304" s="9">
        <v>1097.8279060546722</v>
      </c>
      <c r="L304" s="9">
        <v>2655.8484335170961</v>
      </c>
      <c r="M304" s="9">
        <v>1.932516754181905</v>
      </c>
      <c r="N304" s="9">
        <v>845.14182639630098</v>
      </c>
      <c r="O304" s="9">
        <v>22.065156646146697</v>
      </c>
      <c r="P304" s="9">
        <v>1.4560019518533036</v>
      </c>
      <c r="Q304" s="9">
        <v>22.065156646146697</v>
      </c>
      <c r="R304" s="9">
        <v>98.609823260580214</v>
      </c>
      <c r="S304" s="9">
        <v>42.154905463620089</v>
      </c>
      <c r="T304" s="9">
        <v>740.8497753422165</v>
      </c>
      <c r="U304" s="9">
        <v>1139.0438036613773</v>
      </c>
      <c r="V304" s="9">
        <v>2191.7130101854355</v>
      </c>
      <c r="W304" s="9">
        <v>132244.57908848306</v>
      </c>
      <c r="X304" s="9">
        <v>132795.45264952231</v>
      </c>
      <c r="Y304" s="9">
        <v>550.87356103924367</v>
      </c>
      <c r="Z304" s="9">
        <v>215241.86571798049</v>
      </c>
      <c r="AA304" s="9">
        <v>216205.88931104771</v>
      </c>
      <c r="AB304" s="9">
        <v>964.02359306724452</v>
      </c>
      <c r="AC304" s="9">
        <v>4.7275476575282527</v>
      </c>
      <c r="AD304" s="9">
        <v>36.105418465431406</v>
      </c>
      <c r="AE304" s="9">
        <v>42.672964649011277</v>
      </c>
      <c r="AF304" s="9">
        <v>58.204142046870317</v>
      </c>
      <c r="AG304" s="9">
        <v>727.48216874483865</v>
      </c>
      <c r="AH304" s="9">
        <v>32949.498763665739</v>
      </c>
      <c r="AI304" s="9">
        <v>3355.319700376841</v>
      </c>
      <c r="AJ304" s="9">
        <v>37174.010705606262</v>
      </c>
      <c r="AK304" s="9">
        <v>67459142.461278066</v>
      </c>
      <c r="AL304" s="9">
        <v>61669501.288286403</v>
      </c>
    </row>
    <row r="305" spans="1:38" x14ac:dyDescent="0.25">
      <c r="A305" s="9">
        <v>303</v>
      </c>
      <c r="B305" s="9">
        <v>70</v>
      </c>
      <c r="C305" s="9">
        <v>2.4208333333333334E-3</v>
      </c>
      <c r="D305" s="9">
        <v>0.85691595501419959</v>
      </c>
      <c r="E305" s="9">
        <v>6.5729180346600709</v>
      </c>
      <c r="F305" s="9">
        <v>7.7815987787678145</v>
      </c>
      <c r="G305" s="9">
        <v>11.375291921841178</v>
      </c>
      <c r="H305" s="9">
        <v>44.685643881347474</v>
      </c>
      <c r="I305" s="9">
        <v>5001.1370486892838</v>
      </c>
      <c r="J305" s="9">
        <v>2674.5994483802056</v>
      </c>
      <c r="K305" s="9">
        <v>1095.1702476654316</v>
      </c>
      <c r="L305" s="9">
        <v>2646.5328284171646</v>
      </c>
      <c r="M305" s="9">
        <v>1.9256205693108051</v>
      </c>
      <c r="N305" s="9">
        <v>847.06744696561179</v>
      </c>
      <c r="O305" s="9">
        <v>21.990815573436905</v>
      </c>
      <c r="P305" s="9">
        <v>1.4511148955630926</v>
      </c>
      <c r="Q305" s="9">
        <v>21.990815573436905</v>
      </c>
      <c r="R305" s="9">
        <v>98.273932554402052</v>
      </c>
      <c r="S305" s="9">
        <v>42.009276507110044</v>
      </c>
      <c r="T305" s="9">
        <v>742.71773216648137</v>
      </c>
      <c r="U305" s="9">
        <v>1142.2929459366783</v>
      </c>
      <c r="V305" s="9">
        <v>2207.8581363985918</v>
      </c>
      <c r="W305" s="9">
        <v>132244.57908848306</v>
      </c>
      <c r="X305" s="9">
        <v>132795.45264952231</v>
      </c>
      <c r="Y305" s="9">
        <v>550.87356103924367</v>
      </c>
      <c r="Z305" s="9">
        <v>215241.86571798049</v>
      </c>
      <c r="AA305" s="9">
        <v>216205.88931104771</v>
      </c>
      <c r="AB305" s="9">
        <v>964.02359306724452</v>
      </c>
      <c r="AC305" s="9">
        <v>4.6673355683106736</v>
      </c>
      <c r="AD305" s="9">
        <v>35.800493562115186</v>
      </c>
      <c r="AE305" s="9">
        <v>42.383774681688692</v>
      </c>
      <c r="AF305" s="9">
        <v>57.890756472236724</v>
      </c>
      <c r="AG305" s="9">
        <v>724.35428731664263</v>
      </c>
      <c r="AH305" s="9">
        <v>32837.487711318914</v>
      </c>
      <c r="AI305" s="9">
        <v>3343.7283635834237</v>
      </c>
      <c r="AJ305" s="9">
        <v>37046.312722503331</v>
      </c>
      <c r="AK305" s="9">
        <v>67496188.77400057</v>
      </c>
      <c r="AL305" s="9">
        <v>61680010.915873207</v>
      </c>
    </row>
    <row r="306" spans="1:38" x14ac:dyDescent="0.25">
      <c r="A306" s="9">
        <v>304</v>
      </c>
      <c r="B306" s="9">
        <v>70</v>
      </c>
      <c r="C306" s="9">
        <v>2.4208333333333334E-3</v>
      </c>
      <c r="D306" s="9">
        <v>0.84600190323238023</v>
      </c>
      <c r="E306" s="9">
        <v>6.5173686555795456</v>
      </c>
      <c r="F306" s="9">
        <v>7.7287821698365882</v>
      </c>
      <c r="G306" s="9">
        <v>11.31392890671599</v>
      </c>
      <c r="H306" s="9">
        <v>44.493386735511621</v>
      </c>
      <c r="I306" s="9">
        <v>5001.2533297148484</v>
      </c>
      <c r="J306" s="9">
        <v>2668.124688882252</v>
      </c>
      <c r="K306" s="9">
        <v>1092.5190230242081</v>
      </c>
      <c r="L306" s="9">
        <v>2637.2498985622819</v>
      </c>
      <c r="M306" s="9">
        <v>1.9187486601223667</v>
      </c>
      <c r="N306" s="9">
        <v>848.98619562573413</v>
      </c>
      <c r="O306" s="9">
        <v>21.916322632925056</v>
      </c>
      <c r="P306" s="9">
        <v>1.4462440070749458</v>
      </c>
      <c r="Q306" s="9">
        <v>21.916322632925056</v>
      </c>
      <c r="R306" s="9">
        <v>97.939257965610679</v>
      </c>
      <c r="S306" s="9">
        <v>41.864086299617568</v>
      </c>
      <c r="T306" s="9">
        <v>744.5791715767059</v>
      </c>
      <c r="U306" s="9">
        <v>1145.5309419467292</v>
      </c>
      <c r="V306" s="9">
        <v>2223.9563123201165</v>
      </c>
      <c r="W306" s="9">
        <v>132244.57908848306</v>
      </c>
      <c r="X306" s="9">
        <v>132795.45264952231</v>
      </c>
      <c r="Y306" s="9">
        <v>550.87356103924367</v>
      </c>
      <c r="Z306" s="9">
        <v>215241.86571798049</v>
      </c>
      <c r="AA306" s="9">
        <v>216205.88931104771</v>
      </c>
      <c r="AB306" s="9">
        <v>964.02359306724452</v>
      </c>
      <c r="AC306" s="9">
        <v>4.6078903662723638</v>
      </c>
      <c r="AD306" s="9">
        <v>35.497934610723256</v>
      </c>
      <c r="AE306" s="9">
        <v>42.096100218376613</v>
      </c>
      <c r="AF306" s="9">
        <v>57.578469861095456</v>
      </c>
      <c r="AG306" s="9">
        <v>721.23779898264343</v>
      </c>
      <c r="AH306" s="9">
        <v>32725.767245226194</v>
      </c>
      <c r="AI306" s="9">
        <v>3332.1719490180603</v>
      </c>
      <c r="AJ306" s="9">
        <v>36918.957388283365</v>
      </c>
      <c r="AK306" s="9">
        <v>67533107.731388852</v>
      </c>
      <c r="AL306" s="9">
        <v>61690440.955666609</v>
      </c>
    </row>
    <row r="307" spans="1:38" x14ac:dyDescent="0.25">
      <c r="A307" s="9">
        <v>305</v>
      </c>
      <c r="B307" s="9">
        <v>70</v>
      </c>
      <c r="C307" s="9">
        <v>2.4208333333333334E-3</v>
      </c>
      <c r="D307" s="9">
        <v>0.83522685752881065</v>
      </c>
      <c r="E307" s="9">
        <v>6.4622508589439285</v>
      </c>
      <c r="F307" s="9">
        <v>7.6762433869974407</v>
      </c>
      <c r="G307" s="9">
        <v>11.252782051503671</v>
      </c>
      <c r="H307" s="9">
        <v>44.301829787770686</v>
      </c>
      <c r="I307" s="9">
        <v>5001.3689834726138</v>
      </c>
      <c r="J307" s="9">
        <v>2661.6656036979161</v>
      </c>
      <c r="K307" s="9">
        <v>1089.8742165559704</v>
      </c>
      <c r="L307" s="9">
        <v>2627.9995293413599</v>
      </c>
      <c r="M307" s="9">
        <v>1.9119009408337027</v>
      </c>
      <c r="N307" s="9">
        <v>850.8980965665678</v>
      </c>
      <c r="O307" s="9">
        <v>21.841689678709702</v>
      </c>
      <c r="P307" s="9">
        <v>1.441389232290299</v>
      </c>
      <c r="Q307" s="9">
        <v>21.841689678709702</v>
      </c>
      <c r="R307" s="9">
        <v>97.605793569450228</v>
      </c>
      <c r="S307" s="9">
        <v>41.719334582283963</v>
      </c>
      <c r="T307" s="9">
        <v>746.4341142714685</v>
      </c>
      <c r="U307" s="9">
        <v>1148.7578210440718</v>
      </c>
      <c r="V307" s="9">
        <v>2240.0076785920896</v>
      </c>
      <c r="W307" s="9">
        <v>132244.57908848306</v>
      </c>
      <c r="X307" s="9">
        <v>132795.45264952231</v>
      </c>
      <c r="Y307" s="9">
        <v>550.87356103924367</v>
      </c>
      <c r="Z307" s="9">
        <v>215241.86571798049</v>
      </c>
      <c r="AA307" s="9">
        <v>216205.88931104771</v>
      </c>
      <c r="AB307" s="9">
        <v>964.02359306724452</v>
      </c>
      <c r="AC307" s="9">
        <v>4.5492022840069222</v>
      </c>
      <c r="AD307" s="9">
        <v>35.197726345047926</v>
      </c>
      <c r="AE307" s="9">
        <v>41.809938981179393</v>
      </c>
      <c r="AF307" s="9">
        <v>57.267283323777427</v>
      </c>
      <c r="AG307" s="9">
        <v>718.13266085976284</v>
      </c>
      <c r="AH307" s="9">
        <v>32614.338984355083</v>
      </c>
      <c r="AI307" s="9">
        <v>3320.6504360768922</v>
      </c>
      <c r="AJ307" s="9">
        <v>36791.946232225753</v>
      </c>
      <c r="AK307" s="9">
        <v>67569899.677621081</v>
      </c>
      <c r="AL307" s="9">
        <v>61700791.98402936</v>
      </c>
    </row>
    <row r="308" spans="1:38" x14ac:dyDescent="0.25">
      <c r="A308" s="9">
        <v>306</v>
      </c>
      <c r="B308" s="9">
        <v>70</v>
      </c>
      <c r="C308" s="9">
        <v>2.4208333333333334E-3</v>
      </c>
      <c r="D308" s="9">
        <v>0.82458904746202921</v>
      </c>
      <c r="E308" s="9">
        <v>6.4075618508581771</v>
      </c>
      <c r="F308" s="9">
        <v>7.6239819968042584</v>
      </c>
      <c r="G308" s="9">
        <v>11.19185156718966</v>
      </c>
      <c r="H308" s="9">
        <v>44.110970413150341</v>
      </c>
      <c r="I308" s="9">
        <v>5001.4840121722191</v>
      </c>
      <c r="J308" s="9">
        <v>2655.2221548822972</v>
      </c>
      <c r="K308" s="9">
        <v>1087.2358127233911</v>
      </c>
      <c r="L308" s="9">
        <v>2618.781606545318</v>
      </c>
      <c r="M308" s="9">
        <v>1.9050773260004137</v>
      </c>
      <c r="N308" s="9">
        <v>852.80317389256822</v>
      </c>
      <c r="O308" s="9">
        <v>21.766928237680318</v>
      </c>
      <c r="P308" s="9">
        <v>1.4365505173196813</v>
      </c>
      <c r="Q308" s="9">
        <v>21.766928237680318</v>
      </c>
      <c r="R308" s="9">
        <v>97.273533494643701</v>
      </c>
      <c r="S308" s="9">
        <v>41.575021092339163</v>
      </c>
      <c r="T308" s="9">
        <v>748.28258093307159</v>
      </c>
      <c r="U308" s="9">
        <v>1151.9736127079507</v>
      </c>
      <c r="V308" s="9">
        <v>2256.0123754450651</v>
      </c>
      <c r="W308" s="9">
        <v>132244.57908848306</v>
      </c>
      <c r="X308" s="9">
        <v>132795.45264952231</v>
      </c>
      <c r="Y308" s="9">
        <v>550.87356103924367</v>
      </c>
      <c r="Z308" s="9">
        <v>215241.86571798049</v>
      </c>
      <c r="AA308" s="9">
        <v>216205.88931104771</v>
      </c>
      <c r="AB308" s="9">
        <v>964.02359306724452</v>
      </c>
      <c r="AC308" s="9">
        <v>4.4912616785098525</v>
      </c>
      <c r="AD308" s="9">
        <v>34.899853547674205</v>
      </c>
      <c r="AE308" s="9">
        <v>41.525288609260528</v>
      </c>
      <c r="AF308" s="9">
        <v>56.957197934022709</v>
      </c>
      <c r="AG308" s="9">
        <v>715.03883039716709</v>
      </c>
      <c r="AH308" s="9">
        <v>32503.204472932859</v>
      </c>
      <c r="AI308" s="9">
        <v>3309.1638038447359</v>
      </c>
      <c r="AJ308" s="9">
        <v>36665.280708944229</v>
      </c>
      <c r="AK308" s="9">
        <v>67606564.95833002</v>
      </c>
      <c r="AL308" s="9">
        <v>61711064.573917173</v>
      </c>
    </row>
    <row r="309" spans="1:38" x14ac:dyDescent="0.25">
      <c r="A309" s="9">
        <v>307</v>
      </c>
      <c r="B309" s="9">
        <v>70</v>
      </c>
      <c r="C309" s="9">
        <v>2.4208333333333334E-3</v>
      </c>
      <c r="D309" s="9">
        <v>0.81408672513968128</v>
      </c>
      <c r="E309" s="9">
        <v>6.3532988465333666</v>
      </c>
      <c r="F309" s="9">
        <v>7.5719975508473993</v>
      </c>
      <c r="G309" s="9">
        <v>11.131137657498993</v>
      </c>
      <c r="H309" s="9">
        <v>43.920806006957498</v>
      </c>
      <c r="I309" s="9">
        <v>5001.5984180254609</v>
      </c>
      <c r="J309" s="9">
        <v>2648.7943045823531</v>
      </c>
      <c r="K309" s="9">
        <v>1084.6037960267565</v>
      </c>
      <c r="L309" s="9">
        <v>2609.5960163656732</v>
      </c>
      <c r="M309" s="9">
        <v>1.8982777305149274</v>
      </c>
      <c r="N309" s="9">
        <v>854.70145162308313</v>
      </c>
      <c r="O309" s="9">
        <v>21.692049519518282</v>
      </c>
      <c r="P309" s="9">
        <v>1.4317278084817167</v>
      </c>
      <c r="Q309" s="9">
        <v>21.692049519518282</v>
      </c>
      <c r="R309" s="9">
        <v>96.942471922631896</v>
      </c>
      <c r="S309" s="9">
        <v>41.431145561878836</v>
      </c>
      <c r="T309" s="9">
        <v>750.12459222613165</v>
      </c>
      <c r="U309" s="9">
        <v>1155.1783465392305</v>
      </c>
      <c r="V309" s="9">
        <v>2271.9705426987548</v>
      </c>
      <c r="W309" s="9">
        <v>132244.57908848306</v>
      </c>
      <c r="X309" s="9">
        <v>132795.45264952231</v>
      </c>
      <c r="Y309" s="9">
        <v>550.87356103924367</v>
      </c>
      <c r="Z309" s="9">
        <v>215241.86571798049</v>
      </c>
      <c r="AA309" s="9">
        <v>216205.88931104771</v>
      </c>
      <c r="AB309" s="9">
        <v>964.02359306724452</v>
      </c>
      <c r="AC309" s="9">
        <v>4.4340590295941302</v>
      </c>
      <c r="AD309" s="9">
        <v>34.604301050785068</v>
      </c>
      <c r="AE309" s="9">
        <v>41.242146660282167</v>
      </c>
      <c r="AF309" s="9">
        <v>56.648214728621952</v>
      </c>
      <c r="AG309" s="9">
        <v>711.9562653727811</v>
      </c>
      <c r="AH309" s="9">
        <v>32392.365182969494</v>
      </c>
      <c r="AI309" s="9">
        <v>3297.7120309977458</v>
      </c>
      <c r="AJ309" s="9">
        <v>36538.962200809307</v>
      </c>
      <c r="AK309" s="9">
        <v>67643103.920530826</v>
      </c>
      <c r="AL309" s="9">
        <v>61721259.29487519</v>
      </c>
    </row>
    <row r="310" spans="1:38" x14ac:dyDescent="0.25">
      <c r="A310" s="9">
        <v>308</v>
      </c>
      <c r="B310" s="9">
        <v>70</v>
      </c>
      <c r="C310" s="9">
        <v>2.4208333333333334E-3</v>
      </c>
      <c r="D310" s="9">
        <v>0.80371816493132453</v>
      </c>
      <c r="E310" s="9">
        <v>6.2994590704300961</v>
      </c>
      <c r="F310" s="9">
        <v>7.5202895860156342</v>
      </c>
      <c r="G310" s="9">
        <v>11.070640518829535</v>
      </c>
      <c r="H310" s="9">
        <v>43.731333984566049</v>
      </c>
      <c r="I310" s="9">
        <v>5001.7122032462185</v>
      </c>
      <c r="J310" s="9">
        <v>2642.3820150366769</v>
      </c>
      <c r="K310" s="9">
        <v>1081.9781510038752</v>
      </c>
      <c r="L310" s="9">
        <v>2600.4426453931351</v>
      </c>
      <c r="M310" s="9">
        <v>1.8915020696048435</v>
      </c>
      <c r="N310" s="9">
        <v>856.59295369268796</v>
      </c>
      <c r="O310" s="9">
        <v>21.617064423697869</v>
      </c>
      <c r="P310" s="9">
        <v>1.4269210523021305</v>
      </c>
      <c r="Q310" s="9">
        <v>21.617064423697869</v>
      </c>
      <c r="R310" s="9">
        <v>96.612603086825189</v>
      </c>
      <c r="S310" s="9">
        <v>41.287707716753097</v>
      </c>
      <c r="T310" s="9">
        <v>751.960168796223</v>
      </c>
      <c r="U310" s="9">
        <v>1158.3720522554156</v>
      </c>
      <c r="V310" s="9">
        <v>2287.8823197627335</v>
      </c>
      <c r="W310" s="9">
        <v>132244.57908848306</v>
      </c>
      <c r="X310" s="9">
        <v>132795.45264952231</v>
      </c>
      <c r="Y310" s="9">
        <v>550.87356103924367</v>
      </c>
      <c r="Z310" s="9">
        <v>215241.86571798049</v>
      </c>
      <c r="AA310" s="9">
        <v>216205.88931104771</v>
      </c>
      <c r="AB310" s="9">
        <v>964.02359306724452</v>
      </c>
      <c r="AC310" s="9">
        <v>4.3775849383259473</v>
      </c>
      <c r="AD310" s="9">
        <v>34.31105373694259</v>
      </c>
      <c r="AE310" s="9">
        <v>40.960510611831822</v>
      </c>
      <c r="AF310" s="9">
        <v>56.340334707076636</v>
      </c>
      <c r="AG310" s="9">
        <v>708.8849238898157</v>
      </c>
      <c r="AH310" s="9">
        <v>32281.822515964919</v>
      </c>
      <c r="AI310" s="9">
        <v>3286.2950957149628</v>
      </c>
      <c r="AJ310" s="9">
        <v>36412.992019563877</v>
      </c>
      <c r="AK310" s="9">
        <v>67679516.91255039</v>
      </c>
      <c r="AL310" s="9">
        <v>61731376.713035256</v>
      </c>
    </row>
    <row r="311" spans="1:38" x14ac:dyDescent="0.25">
      <c r="A311" s="9">
        <v>309</v>
      </c>
      <c r="B311" s="9">
        <v>70</v>
      </c>
      <c r="C311" s="9">
        <v>2.4208333333333334E-3</v>
      </c>
      <c r="D311" s="9">
        <v>0.79348166318489133</v>
      </c>
      <c r="E311" s="9">
        <v>6.2460397563975221</v>
      </c>
      <c r="F311" s="9">
        <v>7.4688576247557368</v>
      </c>
      <c r="G311" s="9">
        <v>11.010360340188839</v>
      </c>
      <c r="H311" s="9">
        <v>43.542551781203429</v>
      </c>
      <c r="I311" s="9">
        <v>5001.8253700503783</v>
      </c>
      <c r="J311" s="9">
        <v>2635.9852485752754</v>
      </c>
      <c r="K311" s="9">
        <v>1079.3588622299867</v>
      </c>
      <c r="L311" s="9">
        <v>2591.3213806162053</v>
      </c>
      <c r="M311" s="9">
        <v>1.8847502588312834</v>
      </c>
      <c r="N311" s="9">
        <v>858.47770395151929</v>
      </c>
      <c r="O311" s="9">
        <v>21.541983546487245</v>
      </c>
      <c r="P311" s="9">
        <v>1.4221301955127548</v>
      </c>
      <c r="Q311" s="9">
        <v>21.541983546487245</v>
      </c>
      <c r="R311" s="9">
        <v>96.283921271867811</v>
      </c>
      <c r="S311" s="9">
        <v>41.144707275544107</v>
      </c>
      <c r="T311" s="9">
        <v>753.78933126855657</v>
      </c>
      <c r="U311" s="9">
        <v>1161.5547596857296</v>
      </c>
      <c r="V311" s="9">
        <v>2303.7478456371491</v>
      </c>
      <c r="W311" s="9">
        <v>132244.57908848306</v>
      </c>
      <c r="X311" s="9">
        <v>132795.45264952231</v>
      </c>
      <c r="Y311" s="9">
        <v>550.87356103924367</v>
      </c>
      <c r="Z311" s="9">
        <v>215241.86571798049</v>
      </c>
      <c r="AA311" s="9">
        <v>216205.88931104771</v>
      </c>
      <c r="AB311" s="9">
        <v>964.02359306724452</v>
      </c>
      <c r="AC311" s="9">
        <v>4.3218301254803748</v>
      </c>
      <c r="AD311" s="9">
        <v>34.02009653984517</v>
      </c>
      <c r="AE311" s="9">
        <v>40.680377862836245</v>
      </c>
      <c r="AF311" s="9">
        <v>56.033558831277695</v>
      </c>
      <c r="AG311" s="9">
        <v>705.82476437330763</v>
      </c>
      <c r="AH311" s="9">
        <v>32171.577804619727</v>
      </c>
      <c r="AI311" s="9">
        <v>3274.9129755969329</v>
      </c>
      <c r="AJ311" s="9">
        <v>36287.371407949409</v>
      </c>
      <c r="AK311" s="9">
        <v>67715804.283958346</v>
      </c>
      <c r="AL311" s="9">
        <v>61741417.391113997</v>
      </c>
    </row>
    <row r="312" spans="1:38" x14ac:dyDescent="0.25">
      <c r="A312" s="9">
        <v>310</v>
      </c>
      <c r="B312" s="9">
        <v>70</v>
      </c>
      <c r="C312" s="9">
        <v>2.4208333333333334E-3</v>
      </c>
      <c r="D312" s="9">
        <v>0.78337553794676273</v>
      </c>
      <c r="E312" s="9">
        <v>6.1930381478081076</v>
      </c>
      <c r="F312" s="9">
        <v>7.4177011753297197</v>
      </c>
      <c r="G312" s="9">
        <v>10.950297303134555</v>
      </c>
      <c r="H312" s="9">
        <v>43.354456851737979</v>
      </c>
      <c r="I312" s="9">
        <v>5001.9379206557596</v>
      </c>
      <c r="J312" s="9">
        <v>2629.6039676193495</v>
      </c>
      <c r="K312" s="9">
        <v>1076.7459143176716</v>
      </c>
      <c r="L312" s="9">
        <v>2582.2321094197832</v>
      </c>
      <c r="M312" s="9">
        <v>1.8780222140872487</v>
      </c>
      <c r="N312" s="9">
        <v>860.35572616560648</v>
      </c>
      <c r="O312" s="9">
        <v>21.466817189949463</v>
      </c>
      <c r="P312" s="9">
        <v>1.4173551850505364</v>
      </c>
      <c r="Q312" s="9">
        <v>21.466817189949463</v>
      </c>
      <c r="R312" s="9">
        <v>95.956420812914544</v>
      </c>
      <c r="S312" s="9">
        <v>41.002143948628266</v>
      </c>
      <c r="T312" s="9">
        <v>755.61210024669549</v>
      </c>
      <c r="U312" s="9">
        <v>1164.7264987662561</v>
      </c>
      <c r="V312" s="9">
        <v>2319.5672589134392</v>
      </c>
      <c r="W312" s="9">
        <v>132244.57908848306</v>
      </c>
      <c r="X312" s="9">
        <v>132795.45264952231</v>
      </c>
      <c r="Y312" s="9">
        <v>550.87356103924367</v>
      </c>
      <c r="Z312" s="9">
        <v>215241.86571798049</v>
      </c>
      <c r="AA312" s="9">
        <v>216205.88931104771</v>
      </c>
      <c r="AB312" s="9">
        <v>964.02359306724452</v>
      </c>
      <c r="AC312" s="9">
        <v>4.266785430016701</v>
      </c>
      <c r="AD312" s="9">
        <v>33.731414445061489</v>
      </c>
      <c r="AE312" s="9">
        <v>40.401745734962539</v>
      </c>
      <c r="AF312" s="9">
        <v>55.727888025202269</v>
      </c>
      <c r="AG312" s="9">
        <v>702.77574556667264</v>
      </c>
      <c r="AH312" s="9">
        <v>32061.632315095332</v>
      </c>
      <c r="AI312" s="9">
        <v>3263.5656475910669</v>
      </c>
      <c r="AJ312" s="9">
        <v>36162.101541888318</v>
      </c>
      <c r="AK312" s="9">
        <v>67751966.385500237</v>
      </c>
      <c r="AL312" s="9">
        <v>61751381.888411827</v>
      </c>
    </row>
    <row r="313" spans="1:38" x14ac:dyDescent="0.25">
      <c r="A313" s="9">
        <v>311</v>
      </c>
      <c r="B313" s="9">
        <v>70</v>
      </c>
      <c r="C313" s="9">
        <v>2.4208333333333334E-3</v>
      </c>
      <c r="D313" s="9">
        <v>0.77339812868540769</v>
      </c>
      <c r="E313" s="9">
        <v>6.1404514976881641</v>
      </c>
      <c r="F313" s="9">
        <v>7.3668197320697137</v>
      </c>
      <c r="G313" s="9">
        <v>10.890451581718306</v>
      </c>
      <c r="H313" s="9">
        <v>43.167046670467172</v>
      </c>
      <c r="I313" s="9">
        <v>5002.0498572820361</v>
      </c>
      <c r="J313" s="9">
        <v>2623.2381346810712</v>
      </c>
      <c r="K313" s="9">
        <v>1074.1392919167608</v>
      </c>
      <c r="L313" s="9">
        <v>2573.1747195837743</v>
      </c>
      <c r="M313" s="9">
        <v>1.8713178515959823</v>
      </c>
      <c r="N313" s="9">
        <v>862.2270440172025</v>
      </c>
      <c r="O313" s="9">
        <v>21.391575368943453</v>
      </c>
      <c r="P313" s="9">
        <v>1.4125959680565472</v>
      </c>
      <c r="Q313" s="9">
        <v>21.391575368943453</v>
      </c>
      <c r="R313" s="9">
        <v>95.630096094919452</v>
      </c>
      <c r="S313" s="9">
        <v>40.86001743733086</v>
      </c>
      <c r="T313" s="9">
        <v>757.42849631131742</v>
      </c>
      <c r="U313" s="9">
        <v>1167.8872995351803</v>
      </c>
      <c r="V313" s="9">
        <v>2335.340697775066</v>
      </c>
      <c r="W313" s="9">
        <v>132244.57908848306</v>
      </c>
      <c r="X313" s="9">
        <v>132795.45264952231</v>
      </c>
      <c r="Y313" s="9">
        <v>550.87356103924367</v>
      </c>
      <c r="Z313" s="9">
        <v>215241.86571798049</v>
      </c>
      <c r="AA313" s="9">
        <v>216205.88931104771</v>
      </c>
      <c r="AB313" s="9">
        <v>964.02359306724452</v>
      </c>
      <c r="AC313" s="9">
        <v>4.2124418075731871</v>
      </c>
      <c r="AD313" s="9">
        <v>33.444992490741534</v>
      </c>
      <c r="AE313" s="9">
        <v>40.124611474006372</v>
      </c>
      <c r="AF313" s="9">
        <v>55.423323174628074</v>
      </c>
      <c r="AG313" s="9">
        <v>699.73782652827288</v>
      </c>
      <c r="AH313" s="9">
        <v>31951.987248731344</v>
      </c>
      <c r="AI313" s="9">
        <v>3252.25308792435</v>
      </c>
      <c r="AJ313" s="9">
        <v>36037.183532130919</v>
      </c>
      <c r="AK313" s="9">
        <v>67788003.569032371</v>
      </c>
      <c r="AL313" s="9">
        <v>61761270.760812677</v>
      </c>
    </row>
    <row r="314" spans="1:38" x14ac:dyDescent="0.25">
      <c r="A314" s="9">
        <v>312</v>
      </c>
      <c r="B314" s="9">
        <v>71</v>
      </c>
      <c r="C314" s="9">
        <v>2.4208333333333334E-3</v>
      </c>
      <c r="D314" s="9">
        <v>0.76354779601854206</v>
      </c>
      <c r="E314" s="9">
        <v>6.0882770688442625</v>
      </c>
      <c r="F314" s="9">
        <v>7.3162127756304951</v>
      </c>
      <c r="G314" s="9">
        <v>10.830823342432993</v>
      </c>
      <c r="H314" s="9">
        <v>42.980318730906745</v>
      </c>
      <c r="I314" s="9">
        <v>5002.1611821506622</v>
      </c>
      <c r="J314" s="9">
        <v>2616.8877123633642</v>
      </c>
      <c r="K314" s="9">
        <v>1071.5389797142457</v>
      </c>
      <c r="L314" s="9">
        <v>2564.1490992817057</v>
      </c>
      <c r="M314" s="9">
        <v>1.8646370879093381</v>
      </c>
      <c r="N314" s="9">
        <v>864.09168110511189</v>
      </c>
      <c r="O314" s="9">
        <v>21.321171669014458</v>
      </c>
      <c r="P314" s="9">
        <v>1.4029486419855413</v>
      </c>
      <c r="Q314" s="9">
        <v>21.321171669014458</v>
      </c>
      <c r="R314" s="9">
        <v>95.300037702047135</v>
      </c>
      <c r="S314" s="9">
        <v>40.718327433157015</v>
      </c>
      <c r="T314" s="9">
        <v>759.23854001901327</v>
      </c>
      <c r="U314" s="9">
        <v>1171.0371921281003</v>
      </c>
      <c r="V314" s="9">
        <v>2351.0682999982532</v>
      </c>
      <c r="W314" s="9">
        <v>134147.92624694624</v>
      </c>
      <c r="X314" s="9">
        <v>134708.3928524642</v>
      </c>
      <c r="Y314" s="9">
        <v>560.46660551796867</v>
      </c>
      <c r="Z314" s="9">
        <v>221687.27477228906</v>
      </c>
      <c r="AA314" s="9">
        <v>222683.78381892506</v>
      </c>
      <c r="AB314" s="9">
        <v>996.50904663604274</v>
      </c>
      <c r="AC314" s="9">
        <v>4.1587903289809924</v>
      </c>
      <c r="AD314" s="9">
        <v>33.160815768305078</v>
      </c>
      <c r="AE314" s="9">
        <v>39.848972251267426</v>
      </c>
      <c r="AF314" s="9">
        <v>55.119865126865236</v>
      </c>
      <c r="AG314" s="9">
        <v>696.71096662799835</v>
      </c>
      <c r="AH314" s="9">
        <v>31842.643744039229</v>
      </c>
      <c r="AI314" s="9">
        <v>3240.9752720421325</v>
      </c>
      <c r="AJ314" s="9">
        <v>35912.618426184781</v>
      </c>
      <c r="AK314" s="9">
        <v>67823916.18745856</v>
      </c>
      <c r="AL314" s="9">
        <v>61771084.560784593</v>
      </c>
    </row>
    <row r="315" spans="1:38" x14ac:dyDescent="0.25">
      <c r="A315" s="9">
        <v>313</v>
      </c>
      <c r="B315" s="9">
        <v>71</v>
      </c>
      <c r="C315" s="9">
        <v>2.6475000000000001E-3</v>
      </c>
      <c r="D315" s="9">
        <v>0.75364985060999845</v>
      </c>
      <c r="E315" s="9">
        <v>6.0351321245166529</v>
      </c>
      <c r="F315" s="9">
        <v>7.2642214316771812</v>
      </c>
      <c r="G315" s="9">
        <v>10.768957757539139</v>
      </c>
      <c r="H315" s="9">
        <v>42.784528340001728</v>
      </c>
      <c r="I315" s="9">
        <v>5002.271897484793</v>
      </c>
      <c r="J315" s="9">
        <v>2609.9595021448822</v>
      </c>
      <c r="K315" s="9">
        <v>1068.7020802654522</v>
      </c>
      <c r="L315" s="9">
        <v>2554.5739299501738</v>
      </c>
      <c r="M315" s="9">
        <v>1.8579798399061556</v>
      </c>
      <c r="N315" s="9">
        <v>865.94966094501808</v>
      </c>
      <c r="O315" s="9">
        <v>21.245740456945914</v>
      </c>
      <c r="P315" s="9">
        <v>1.3982373220540856</v>
      </c>
      <c r="Q315" s="9">
        <v>21.245740456945914</v>
      </c>
      <c r="R315" s="9">
        <v>94.949647960152987</v>
      </c>
      <c r="S315" s="9">
        <v>40.567844129549819</v>
      </c>
      <c r="T315" s="9">
        <v>761.04225190112766</v>
      </c>
      <c r="U315" s="9">
        <v>1174.1762398838703</v>
      </c>
      <c r="V315" s="9">
        <v>2368.2185257078586</v>
      </c>
      <c r="W315" s="9">
        <v>134147.92624694624</v>
      </c>
      <c r="X315" s="9">
        <v>134708.3928524642</v>
      </c>
      <c r="Y315" s="9">
        <v>560.46660551796867</v>
      </c>
      <c r="Z315" s="9">
        <v>221687.27477228906</v>
      </c>
      <c r="AA315" s="9">
        <v>222683.78381892506</v>
      </c>
      <c r="AB315" s="9">
        <v>996.50904663604274</v>
      </c>
      <c r="AC315" s="9">
        <v>4.1048795196557917</v>
      </c>
      <c r="AD315" s="9">
        <v>32.871352971534037</v>
      </c>
      <c r="AE315" s="9">
        <v>39.565792731201711</v>
      </c>
      <c r="AF315" s="9">
        <v>54.805020854409598</v>
      </c>
      <c r="AG315" s="9">
        <v>693.53720439142808</v>
      </c>
      <c r="AH315" s="9">
        <v>31726.376171366075</v>
      </c>
      <c r="AI315" s="9">
        <v>3228.9975534915179</v>
      </c>
      <c r="AJ315" s="9">
        <v>35780.257975325825</v>
      </c>
      <c r="AK315" s="9">
        <v>67859696.445433885</v>
      </c>
      <c r="AL315" s="9">
        <v>61780821.61968942</v>
      </c>
    </row>
    <row r="316" spans="1:38" x14ac:dyDescent="0.25">
      <c r="A316" s="9">
        <v>314</v>
      </c>
      <c r="B316" s="9">
        <v>71</v>
      </c>
      <c r="C316" s="9">
        <v>2.6475000000000001E-3</v>
      </c>
      <c r="D316" s="9">
        <v>0.74388021324427989</v>
      </c>
      <c r="E316" s="9">
        <v>5.9824177364770792</v>
      </c>
      <c r="F316" s="9">
        <v>7.2125266893389792</v>
      </c>
      <c r="G316" s="9">
        <v>10.707337454159845</v>
      </c>
      <c r="H316" s="9">
        <v>42.589501784731709</v>
      </c>
      <c r="I316" s="9">
        <v>5002.3819804137329</v>
      </c>
      <c r="J316" s="9">
        <v>2603.0496343629538</v>
      </c>
      <c r="K316" s="9">
        <v>1065.8726915079494</v>
      </c>
      <c r="L316" s="9">
        <v>2545.034516678129</v>
      </c>
      <c r="M316" s="9">
        <v>1.8509248826935956</v>
      </c>
      <c r="N316" s="9">
        <v>867.80058582771164</v>
      </c>
      <c r="O316" s="9">
        <v>21.170137023072552</v>
      </c>
      <c r="P316" s="9">
        <v>1.3932479539274445</v>
      </c>
      <c r="Q316" s="9">
        <v>21.170137023072552</v>
      </c>
      <c r="R316" s="9">
        <v>94.600698028969688</v>
      </c>
      <c r="S316" s="9">
        <v>40.41786261725116</v>
      </c>
      <c r="T316" s="9">
        <v>762.839243427523</v>
      </c>
      <c r="U316" s="9">
        <v>1177.3037603407697</v>
      </c>
      <c r="V316" s="9">
        <v>2385.3150355659632</v>
      </c>
      <c r="W316" s="9">
        <v>134147.92624694624</v>
      </c>
      <c r="X316" s="9">
        <v>134708.3928524642</v>
      </c>
      <c r="Y316" s="9">
        <v>560.46660551796867</v>
      </c>
      <c r="Z316" s="9">
        <v>221687.27477228906</v>
      </c>
      <c r="AA316" s="9">
        <v>222683.78381892506</v>
      </c>
      <c r="AB316" s="9">
        <v>996.50904663604274</v>
      </c>
      <c r="AC316" s="9">
        <v>4.0516675614705111</v>
      </c>
      <c r="AD316" s="9">
        <v>32.584235271345158</v>
      </c>
      <c r="AE316" s="9">
        <v>39.284228701266308</v>
      </c>
      <c r="AF316" s="9">
        <v>54.491424860461805</v>
      </c>
      <c r="AG316" s="9">
        <v>690.37582393050104</v>
      </c>
      <c r="AH316" s="9">
        <v>31610.454705393124</v>
      </c>
      <c r="AI316" s="9">
        <v>3217.0597750201059</v>
      </c>
      <c r="AJ316" s="9">
        <v>35648.301860738276</v>
      </c>
      <c r="AK316" s="9">
        <v>67895344.74729462</v>
      </c>
      <c r="AL316" s="9">
        <v>61790482.514992476</v>
      </c>
    </row>
    <row r="317" spans="1:38" x14ac:dyDescent="0.25">
      <c r="A317" s="9">
        <v>315</v>
      </c>
      <c r="B317" s="9">
        <v>71</v>
      </c>
      <c r="C317" s="9">
        <v>2.6475000000000001E-3</v>
      </c>
      <c r="D317" s="9">
        <v>0.73423722065156882</v>
      </c>
      <c r="E317" s="9">
        <v>5.9301309129334374</v>
      </c>
      <c r="F317" s="9">
        <v>7.161127795969513</v>
      </c>
      <c r="G317" s="9">
        <v>10.645962418446668</v>
      </c>
      <c r="H317" s="9">
        <v>42.395236125280299</v>
      </c>
      <c r="I317" s="9">
        <v>5002.4914334448104</v>
      </c>
      <c r="J317" s="9">
        <v>2596.1580604559781</v>
      </c>
      <c r="K317" s="9">
        <v>1063.050793557182</v>
      </c>
      <c r="L317" s="9">
        <v>2535.5307259435681</v>
      </c>
      <c r="M317" s="9">
        <v>1.8438963786850588</v>
      </c>
      <c r="N317" s="9">
        <v>869.64448220639667</v>
      </c>
      <c r="O317" s="9">
        <v>21.094374579555375</v>
      </c>
      <c r="P317" s="9">
        <v>1.388276149444625</v>
      </c>
      <c r="Q317" s="9">
        <v>21.094374579555375</v>
      </c>
      <c r="R317" s="9">
        <v>94.253179053557844</v>
      </c>
      <c r="S317" s="9">
        <v>40.268382060415156</v>
      </c>
      <c r="T317" s="9">
        <v>764.62953784482977</v>
      </c>
      <c r="U317" s="9">
        <v>1180.419787575448</v>
      </c>
      <c r="V317" s="9">
        <v>2402.358002303808</v>
      </c>
      <c r="W317" s="9">
        <v>134147.92624694624</v>
      </c>
      <c r="X317" s="9">
        <v>134708.3928524642</v>
      </c>
      <c r="Y317" s="9">
        <v>560.46660551796867</v>
      </c>
      <c r="Z317" s="9">
        <v>221687.27477228906</v>
      </c>
      <c r="AA317" s="9">
        <v>222683.78381892506</v>
      </c>
      <c r="AB317" s="9">
        <v>996.50904663604274</v>
      </c>
      <c r="AC317" s="9">
        <v>3.999145395148878</v>
      </c>
      <c r="AD317" s="9">
        <v>32.299446372444123</v>
      </c>
      <c r="AE317" s="9">
        <v>39.004276062047275</v>
      </c>
      <c r="AF317" s="9">
        <v>54.179077074544836</v>
      </c>
      <c r="AG317" s="9">
        <v>687.22677759079363</v>
      </c>
      <c r="AH317" s="9">
        <v>31494.880535830678</v>
      </c>
      <c r="AI317" s="9">
        <v>3205.1618700987442</v>
      </c>
      <c r="AJ317" s="9">
        <v>35516.751128424403</v>
      </c>
      <c r="AK317" s="9">
        <v>67930861.49842304</v>
      </c>
      <c r="AL317" s="9">
        <v>61800067.820515722</v>
      </c>
    </row>
    <row r="318" spans="1:38" x14ac:dyDescent="0.25">
      <c r="A318" s="9">
        <v>316</v>
      </c>
      <c r="B318" s="9">
        <v>71</v>
      </c>
      <c r="C318" s="9">
        <v>2.6475000000000001E-3</v>
      </c>
      <c r="D318" s="9">
        <v>0.72471923112317849</v>
      </c>
      <c r="E318" s="9">
        <v>5.8782686749220421</v>
      </c>
      <c r="F318" s="9">
        <v>7.1100239868249879</v>
      </c>
      <c r="G318" s="9">
        <v>10.584832628754176</v>
      </c>
      <c r="H318" s="9">
        <v>42.201728442654264</v>
      </c>
      <c r="I318" s="9">
        <v>5002.6002590852104</v>
      </c>
      <c r="J318" s="9">
        <v>2589.284731990921</v>
      </c>
      <c r="K318" s="9">
        <v>1060.2363665812393</v>
      </c>
      <c r="L318" s="9">
        <v>2526.0624247230921</v>
      </c>
      <c r="M318" s="9">
        <v>1.8368942288082433</v>
      </c>
      <c r="N318" s="9">
        <v>871.48137643520488</v>
      </c>
      <c r="O318" s="9">
        <v>21.01846597048478</v>
      </c>
      <c r="P318" s="9">
        <v>1.3833218465152202</v>
      </c>
      <c r="Q318" s="9">
        <v>21.01846597048478</v>
      </c>
      <c r="R318" s="9">
        <v>93.907082279363848</v>
      </c>
      <c r="S318" s="9">
        <v>40.119401629592261</v>
      </c>
      <c r="T318" s="9">
        <v>766.41315836596004</v>
      </c>
      <c r="U318" s="9">
        <v>1183.5243557587776</v>
      </c>
      <c r="V318" s="9">
        <v>2419.3475981051101</v>
      </c>
      <c r="W318" s="9">
        <v>134147.92624694624</v>
      </c>
      <c r="X318" s="9">
        <v>134708.3928524642</v>
      </c>
      <c r="Y318" s="9">
        <v>560.46660551796867</v>
      </c>
      <c r="Z318" s="9">
        <v>221687.27477228906</v>
      </c>
      <c r="AA318" s="9">
        <v>222683.78381892506</v>
      </c>
      <c r="AB318" s="9">
        <v>996.50904663604274</v>
      </c>
      <c r="AC318" s="9">
        <v>3.9473040788509119</v>
      </c>
      <c r="AD318" s="9">
        <v>32.016970049408719</v>
      </c>
      <c r="AE318" s="9">
        <v>38.725930648240102</v>
      </c>
      <c r="AF318" s="9">
        <v>53.867977386501458</v>
      </c>
      <c r="AG318" s="9">
        <v>684.09001805542562</v>
      </c>
      <c r="AH318" s="9">
        <v>31379.654779299504</v>
      </c>
      <c r="AI318" s="9">
        <v>3193.3037727073961</v>
      </c>
      <c r="AJ318" s="9">
        <v>35385.606752225329</v>
      </c>
      <c r="AK318" s="9">
        <v>67966247.105175272</v>
      </c>
      <c r="AL318" s="9">
        <v>61809578.10643822</v>
      </c>
    </row>
    <row r="319" spans="1:38" x14ac:dyDescent="0.25">
      <c r="A319" s="9">
        <v>317</v>
      </c>
      <c r="B319" s="9">
        <v>71</v>
      </c>
      <c r="C319" s="9">
        <v>2.6475000000000001E-3</v>
      </c>
      <c r="D319" s="9">
        <v>0.71532462423205367</v>
      </c>
      <c r="E319" s="9">
        <v>5.8268280564014665</v>
      </c>
      <c r="F319" s="9">
        <v>7.0592144853190169</v>
      </c>
      <c r="G319" s="9">
        <v>10.523948055612093</v>
      </c>
      <c r="H319" s="9">
        <v>42.008975838455342</v>
      </c>
      <c r="I319" s="9">
        <v>5002.7084598418987</v>
      </c>
      <c r="J319" s="9">
        <v>2582.4296006629752</v>
      </c>
      <c r="K319" s="9">
        <v>1057.4293908007155</v>
      </c>
      <c r="L319" s="9">
        <v>2516.6294804900444</v>
      </c>
      <c r="M319" s="9">
        <v>1.82991833439339</v>
      </c>
      <c r="N319" s="9">
        <v>873.31129476959825</v>
      </c>
      <c r="O319" s="9">
        <v>20.942423679705943</v>
      </c>
      <c r="P319" s="9">
        <v>1.378384983294058</v>
      </c>
      <c r="Q319" s="9">
        <v>20.942423679705943</v>
      </c>
      <c r="R319" s="9">
        <v>93.562399050623171</v>
      </c>
      <c r="S319" s="9">
        <v>39.970920500088653</v>
      </c>
      <c r="T319" s="9">
        <v>768.19012816877387</v>
      </c>
      <c r="U319" s="9">
        <v>1186.6174991510229</v>
      </c>
      <c r="V319" s="9">
        <v>2436.2839946072631</v>
      </c>
      <c r="W319" s="9">
        <v>134147.92624694624</v>
      </c>
      <c r="X319" s="9">
        <v>134708.3928524642</v>
      </c>
      <c r="Y319" s="9">
        <v>560.46660551796867</v>
      </c>
      <c r="Z319" s="9">
        <v>221687.27477228906</v>
      </c>
      <c r="AA319" s="9">
        <v>222683.78381892506</v>
      </c>
      <c r="AB319" s="9">
        <v>996.50904663604274</v>
      </c>
      <c r="AC319" s="9">
        <v>3.8961347866505855</v>
      </c>
      <c r="AD319" s="9">
        <v>31.736790147199986</v>
      </c>
      <c r="AE319" s="9">
        <v>38.449188230037578</v>
      </c>
      <c r="AF319" s="9">
        <v>53.558125646352543</v>
      </c>
      <c r="AG319" s="9">
        <v>680.96549834136113</v>
      </c>
      <c r="AH319" s="9">
        <v>31264.778481031499</v>
      </c>
      <c r="AI319" s="9">
        <v>3181.4854172045561</v>
      </c>
      <c r="AJ319" s="9">
        <v>35254.869635387658</v>
      </c>
      <c r="AK319" s="9">
        <v>68001501.97481066</v>
      </c>
      <c r="AL319" s="9">
        <v>61819013.939297281</v>
      </c>
    </row>
    <row r="320" spans="1:38" x14ac:dyDescent="0.25">
      <c r="A320" s="9">
        <v>318</v>
      </c>
      <c r="B320" s="9">
        <v>71</v>
      </c>
      <c r="C320" s="9">
        <v>2.6475000000000001E-3</v>
      </c>
      <c r="D320" s="9">
        <v>0.70605180055689509</v>
      </c>
      <c r="E320" s="9">
        <v>5.7758061043425579</v>
      </c>
      <c r="F320" s="9">
        <v>7.0086985032747693</v>
      </c>
      <c r="G320" s="9">
        <v>10.463308661700523</v>
      </c>
      <c r="H320" s="9">
        <v>41.816975434653372</v>
      </c>
      <c r="I320" s="9">
        <v>5002.8160382215392</v>
      </c>
      <c r="J320" s="9">
        <v>2575.5926182952198</v>
      </c>
      <c r="K320" s="9">
        <v>1054.6298464885706</v>
      </c>
      <c r="L320" s="9">
        <v>2507.2317612126562</v>
      </c>
      <c r="M320" s="9">
        <v>1.8229685971712837</v>
      </c>
      <c r="N320" s="9">
        <v>875.13426336676957</v>
      </c>
      <c r="O320" s="9">
        <v>20.86625984282</v>
      </c>
      <c r="P320" s="9">
        <v>1.3734654981799983</v>
      </c>
      <c r="Q320" s="9">
        <v>20.86625984282</v>
      </c>
      <c r="R320" s="9">
        <v>93.219120808791715</v>
      </c>
      <c r="S320" s="9">
        <v>39.822937850439743</v>
      </c>
      <c r="T320" s="9">
        <v>769.96047039478105</v>
      </c>
      <c r="U320" s="9">
        <v>1189.699252097048</v>
      </c>
      <c r="V320" s="9">
        <v>2453.1673629025445</v>
      </c>
      <c r="W320" s="9">
        <v>134147.92624694624</v>
      </c>
      <c r="X320" s="9">
        <v>134708.3928524642</v>
      </c>
      <c r="Y320" s="9">
        <v>560.46660551796867</v>
      </c>
      <c r="Z320" s="9">
        <v>221687.27477228906</v>
      </c>
      <c r="AA320" s="9">
        <v>222683.78381892506</v>
      </c>
      <c r="AB320" s="9">
        <v>996.50904663604274</v>
      </c>
      <c r="AC320" s="9">
        <v>3.8456288070332216</v>
      </c>
      <c r="AD320" s="9">
        <v>31.458890581652465</v>
      </c>
      <c r="AE320" s="9">
        <v>38.174044514503244</v>
      </c>
      <c r="AF320" s="9">
        <v>53.249521664170913</v>
      </c>
      <c r="AG320" s="9">
        <v>677.85317179573121</v>
      </c>
      <c r="AH320" s="9">
        <v>31150.252617718237</v>
      </c>
      <c r="AI320" s="9">
        <v>3169.7067382057512</v>
      </c>
      <c r="AJ320" s="9">
        <v>35124.540613287078</v>
      </c>
      <c r="AK320" s="9">
        <v>68036626.515423954</v>
      </c>
      <c r="AL320" s="9">
        <v>61828375.881990694</v>
      </c>
    </row>
    <row r="321" spans="1:38" x14ac:dyDescent="0.25">
      <c r="A321" s="9">
        <v>319</v>
      </c>
      <c r="B321" s="9">
        <v>71</v>
      </c>
      <c r="C321" s="9">
        <v>2.6475000000000001E-3</v>
      </c>
      <c r="D321" s="9">
        <v>0.69689918140985951</v>
      </c>
      <c r="E321" s="9">
        <v>5.7251998788147054</v>
      </c>
      <c r="F321" s="9">
        <v>6.9584752411744377</v>
      </c>
      <c r="G321" s="9">
        <v>10.402914401828156</v>
      </c>
      <c r="H321" s="9">
        <v>41.625724373360804</v>
      </c>
      <c r="I321" s="9">
        <v>5002.9229967304145</v>
      </c>
      <c r="J321" s="9">
        <v>2568.7737368382832</v>
      </c>
      <c r="K321" s="9">
        <v>1051.8377139699921</v>
      </c>
      <c r="L321" s="9">
        <v>2497.8691353521981</v>
      </c>
      <c r="M321" s="9">
        <v>1.8160449192712596</v>
      </c>
      <c r="N321" s="9">
        <v>876.95030828604081</v>
      </c>
      <c r="O321" s="9">
        <v>20.789986252185262</v>
      </c>
      <c r="P321" s="9">
        <v>1.3685633298147368</v>
      </c>
      <c r="Q321" s="9">
        <v>20.789986252185262</v>
      </c>
      <c r="R321" s="9">
        <v>92.877239091004839</v>
      </c>
      <c r="S321" s="9">
        <v>39.675452861016979</v>
      </c>
      <c r="T321" s="9">
        <v>771.72420814790269</v>
      </c>
      <c r="U321" s="9">
        <v>1192.769649021639</v>
      </c>
      <c r="V321" s="9">
        <v>2469.9978735393402</v>
      </c>
      <c r="W321" s="9">
        <v>134147.92624694624</v>
      </c>
      <c r="X321" s="9">
        <v>134708.3928524642</v>
      </c>
      <c r="Y321" s="9">
        <v>560.46660551796867</v>
      </c>
      <c r="Z321" s="9">
        <v>221687.27477228906</v>
      </c>
      <c r="AA321" s="9">
        <v>222683.78381892506</v>
      </c>
      <c r="AB321" s="9">
        <v>996.50904663604274</v>
      </c>
      <c r="AC321" s="9">
        <v>3.795777541412368</v>
      </c>
      <c r="AD321" s="9">
        <v>31.183255339944093</v>
      </c>
      <c r="AE321" s="9">
        <v>37.900495146930105</v>
      </c>
      <c r="AF321" s="9">
        <v>52.942165209970454</v>
      </c>
      <c r="AG321" s="9">
        <v>674.75299209217872</v>
      </c>
      <c r="AH321" s="9">
        <v>31036.078098455771</v>
      </c>
      <c r="AI321" s="9">
        <v>3157.9676704726462</v>
      </c>
      <c r="AJ321" s="9">
        <v>34994.620454258853</v>
      </c>
      <c r="AK321" s="9">
        <v>68071621.135878205</v>
      </c>
      <c r="AL321" s="9">
        <v>61837664.493779361</v>
      </c>
    </row>
    <row r="322" spans="1:38" x14ac:dyDescent="0.25">
      <c r="A322" s="9">
        <v>320</v>
      </c>
      <c r="B322" s="9">
        <v>71</v>
      </c>
      <c r="C322" s="9">
        <v>2.6475000000000001E-3</v>
      </c>
      <c r="D322" s="9">
        <v>0.68786520856778999</v>
      </c>
      <c r="E322" s="9">
        <v>5.6750064530684341</v>
      </c>
      <c r="F322" s="9">
        <v>6.9085438884060411</v>
      </c>
      <c r="G322" s="9">
        <v>10.342765222913398</v>
      </c>
      <c r="H322" s="9">
        <v>41.435219816608601</v>
      </c>
      <c r="I322" s="9">
        <v>5003.0293378743445</v>
      </c>
      <c r="J322" s="9">
        <v>2561.972908370004</v>
      </c>
      <c r="K322" s="9">
        <v>1049.0529736222566</v>
      </c>
      <c r="L322" s="9">
        <v>2488.5414718611382</v>
      </c>
      <c r="M322" s="9">
        <v>1.8091472032192211</v>
      </c>
      <c r="N322" s="9">
        <v>878.75945548926006</v>
      </c>
      <c r="O322" s="9">
        <v>20.713614369918389</v>
      </c>
      <c r="P322" s="9">
        <v>1.3636784170816119</v>
      </c>
      <c r="Q322" s="9">
        <v>20.713614369918389</v>
      </c>
      <c r="R322" s="9">
        <v>92.536745528563372</v>
      </c>
      <c r="S322" s="9">
        <v>39.528464712720684</v>
      </c>
      <c r="T322" s="9">
        <v>773.4813644932525</v>
      </c>
      <c r="U322" s="9">
        <v>1195.828724424832</v>
      </c>
      <c r="V322" s="9">
        <v>2486.7756965233662</v>
      </c>
      <c r="W322" s="9">
        <v>134147.92624694624</v>
      </c>
      <c r="X322" s="9">
        <v>134708.3928524642</v>
      </c>
      <c r="Y322" s="9">
        <v>560.46660551796867</v>
      </c>
      <c r="Z322" s="9">
        <v>221687.27477228906</v>
      </c>
      <c r="AA322" s="9">
        <v>222683.78381892506</v>
      </c>
      <c r="AB322" s="9">
        <v>996.50904663604274</v>
      </c>
      <c r="AC322" s="9">
        <v>3.746572502665896</v>
      </c>
      <c r="AD322" s="9">
        <v>30.909868481046068</v>
      </c>
      <c r="AE322" s="9">
        <v>37.628535712184899</v>
      </c>
      <c r="AF322" s="9">
        <v>52.636056013610101</v>
      </c>
      <c r="AG322" s="9">
        <v>671.6649132272255</v>
      </c>
      <c r="AH322" s="9">
        <v>30922.255767881124</v>
      </c>
      <c r="AI322" s="9">
        <v>3146.2681488090029</v>
      </c>
      <c r="AJ322" s="9">
        <v>34865.109862626858</v>
      </c>
      <c r="AK322" s="9">
        <v>68106486.245740831</v>
      </c>
      <c r="AL322" s="9">
        <v>61846880.330291077</v>
      </c>
    </row>
    <row r="323" spans="1:38" x14ac:dyDescent="0.25">
      <c r="A323" s="9">
        <v>321</v>
      </c>
      <c r="B323" s="9">
        <v>71</v>
      </c>
      <c r="C323" s="9">
        <v>2.6475000000000001E-3</v>
      </c>
      <c r="D323" s="9">
        <v>0.67894834400693005</v>
      </c>
      <c r="E323" s="9">
        <v>5.6252229136144001</v>
      </c>
      <c r="F323" s="9">
        <v>6.858903623507568</v>
      </c>
      <c r="G323" s="9">
        <v>10.282861063968365</v>
      </c>
      <c r="H323" s="9">
        <v>41.245458946123541</v>
      </c>
      <c r="I323" s="9">
        <v>5003.1350641586068</v>
      </c>
      <c r="J323" s="9">
        <v>2555.1900850950942</v>
      </c>
      <c r="K323" s="9">
        <v>1046.2756058745917</v>
      </c>
      <c r="L323" s="9">
        <v>2479.2486401813094</v>
      </c>
      <c r="M323" s="9">
        <v>1.8022753519356658</v>
      </c>
      <c r="N323" s="9">
        <v>880.56173084119575</v>
      </c>
      <c r="O323" s="9">
        <v>20.637155332895585</v>
      </c>
      <c r="P323" s="9">
        <v>1.3588106991044138</v>
      </c>
      <c r="Q323" s="9">
        <v>20.637155332895585</v>
      </c>
      <c r="R323" s="9">
        <v>92.197631845446253</v>
      </c>
      <c r="S323" s="9">
        <v>39.381972585801854</v>
      </c>
      <c r="T323" s="9">
        <v>775.23196245598365</v>
      </c>
      <c r="U323" s="9">
        <v>1198.8765128773809</v>
      </c>
      <c r="V323" s="9">
        <v>2503.5010013189121</v>
      </c>
      <c r="W323" s="9">
        <v>134147.92624694624</v>
      </c>
      <c r="X323" s="9">
        <v>134708.3928524642</v>
      </c>
      <c r="Y323" s="9">
        <v>560.46660551796867</v>
      </c>
      <c r="Z323" s="9">
        <v>221687.27477228906</v>
      </c>
      <c r="AA323" s="9">
        <v>222683.78381892506</v>
      </c>
      <c r="AB323" s="9">
        <v>996.50904663604274</v>
      </c>
      <c r="AC323" s="9">
        <v>3.6980053136910787</v>
      </c>
      <c r="AD323" s="9">
        <v>30.638714136153098</v>
      </c>
      <c r="AE323" s="9">
        <v>37.358161736037886</v>
      </c>
      <c r="AF323" s="9">
        <v>52.331193764712339</v>
      </c>
      <c r="AG323" s="9">
        <v>668.58888951666268</v>
      </c>
      <c r="AH323" s="9">
        <v>30808.78640713172</v>
      </c>
      <c r="AI323" s="9">
        <v>3134.6081079668984</v>
      </c>
      <c r="AJ323" s="9">
        <v>34736.009479565873</v>
      </c>
      <c r="AK323" s="9">
        <v>68141222.255220398</v>
      </c>
      <c r="AL323" s="9">
        <v>61856023.943524748</v>
      </c>
    </row>
    <row r="324" spans="1:38" x14ac:dyDescent="0.25">
      <c r="A324" s="9">
        <v>322</v>
      </c>
      <c r="B324" s="9">
        <v>71</v>
      </c>
      <c r="C324" s="9">
        <v>2.6475000000000001E-3</v>
      </c>
      <c r="D324" s="9">
        <v>0.67014706964107684</v>
      </c>
      <c r="E324" s="9">
        <v>5.5758463602988542</v>
      </c>
      <c r="F324" s="9">
        <v>6.8095536144084692</v>
      </c>
      <c r="G324" s="9">
        <v>10.223201856085659</v>
      </c>
      <c r="H324" s="9">
        <v>41.05643896310692</v>
      </c>
      <c r="I324" s="9">
        <v>5003.2401780878554</v>
      </c>
      <c r="J324" s="9">
        <v>2548.4252193448051</v>
      </c>
      <c r="K324" s="9">
        <v>1043.5055912080388</v>
      </c>
      <c r="L324" s="9">
        <v>2469.9905102420807</v>
      </c>
      <c r="M324" s="9">
        <v>1.7954292687337214</v>
      </c>
      <c r="N324" s="9">
        <v>882.35716010992951</v>
      </c>
      <c r="O324" s="9">
        <v>20.560619961753797</v>
      </c>
      <c r="P324" s="9">
        <v>1.353960115246202</v>
      </c>
      <c r="Q324" s="9">
        <v>20.560619961753797</v>
      </c>
      <c r="R324" s="9">
        <v>91.859889856849321</v>
      </c>
      <c r="S324" s="9">
        <v>39.235975658759997</v>
      </c>
      <c r="T324" s="9">
        <v>776.9760250201557</v>
      </c>
      <c r="U324" s="9">
        <v>1201.9130490162422</v>
      </c>
      <c r="V324" s="9">
        <v>2520.1739568500848</v>
      </c>
      <c r="W324" s="9">
        <v>134147.92624694624</v>
      </c>
      <c r="X324" s="9">
        <v>134708.3928524642</v>
      </c>
      <c r="Y324" s="9">
        <v>560.46660551796867</v>
      </c>
      <c r="Z324" s="9">
        <v>221687.27477228906</v>
      </c>
      <c r="AA324" s="9">
        <v>222683.78381892506</v>
      </c>
      <c r="AB324" s="9">
        <v>996.50904663604274</v>
      </c>
      <c r="AC324" s="9">
        <v>3.6500677059783984</v>
      </c>
      <c r="AD324" s="9">
        <v>30.369776509094425</v>
      </c>
      <c r="AE324" s="9">
        <v>37.089368686478124</v>
      </c>
      <c r="AF324" s="9">
        <v>52.027578112595926</v>
      </c>
      <c r="AG324" s="9">
        <v>665.52487559196322</v>
      </c>
      <c r="AH324" s="9">
        <v>30695.670735904125</v>
      </c>
      <c r="AI324" s="9">
        <v>3122.9874825590018</v>
      </c>
      <c r="AJ324" s="9">
        <v>34607.319885069235</v>
      </c>
      <c r="AK324" s="9">
        <v>68175829.575105473</v>
      </c>
      <c r="AL324" s="9">
        <v>61865095.881855369</v>
      </c>
    </row>
    <row r="325" spans="1:38" x14ac:dyDescent="0.25">
      <c r="A325" s="9">
        <v>323</v>
      </c>
      <c r="B325" s="9">
        <v>71</v>
      </c>
      <c r="C325" s="9">
        <v>2.6475000000000001E-3</v>
      </c>
      <c r="D325" s="9">
        <v>0.66145988706312886</v>
      </c>
      <c r="E325" s="9">
        <v>5.5268739063756529</v>
      </c>
      <c r="F325" s="9">
        <v>6.7604930186685062</v>
      </c>
      <c r="G325" s="9">
        <v>10.163787522427883</v>
      </c>
      <c r="H325" s="9">
        <v>40.86815708801474</v>
      </c>
      <c r="I325" s="9">
        <v>5003.34468216604</v>
      </c>
      <c r="J325" s="9">
        <v>2541.6782635765899</v>
      </c>
      <c r="K325" s="9">
        <v>1040.7429101553155</v>
      </c>
      <c r="L325" s="9">
        <v>2460.7669524585376</v>
      </c>
      <c r="M325" s="9">
        <v>1.7886088573171903</v>
      </c>
      <c r="N325" s="9">
        <v>884.14576896724668</v>
      </c>
      <c r="O325" s="9">
        <v>20.484018771891879</v>
      </c>
      <c r="P325" s="9">
        <v>1.3491266051081234</v>
      </c>
      <c r="Q325" s="9">
        <v>20.484018771891879</v>
      </c>
      <c r="R325" s="9">
        <v>91.523511467749657</v>
      </c>
      <c r="S325" s="9">
        <v>39.090473107337004</v>
      </c>
      <c r="T325" s="9">
        <v>778.71357512764428</v>
      </c>
      <c r="U325" s="9">
        <v>1204.9383675401436</v>
      </c>
      <c r="V325" s="9">
        <v>2536.7947315020592</v>
      </c>
      <c r="W325" s="9">
        <v>134147.92624694624</v>
      </c>
      <c r="X325" s="9">
        <v>134708.3928524642</v>
      </c>
      <c r="Y325" s="9">
        <v>560.46660551796867</v>
      </c>
      <c r="Z325" s="9">
        <v>221687.27477228906</v>
      </c>
      <c r="AA325" s="9">
        <v>222683.78381892506</v>
      </c>
      <c r="AB325" s="9">
        <v>996.50904663604274</v>
      </c>
      <c r="AC325" s="9">
        <v>3.6027515182038417</v>
      </c>
      <c r="AD325" s="9">
        <v>30.103039876726054</v>
      </c>
      <c r="AE325" s="9">
        <v>36.822151975014464</v>
      </c>
      <c r="AF325" s="9">
        <v>51.725208666222564</v>
      </c>
      <c r="AG325" s="9">
        <v>662.47282639671903</v>
      </c>
      <c r="AH325" s="9">
        <v>30582.90941506586</v>
      </c>
      <c r="AI325" s="9">
        <v>3111.4062069784886</v>
      </c>
      <c r="AJ325" s="9">
        <v>34479.041600477234</v>
      </c>
      <c r="AK325" s="9">
        <v>68210308.616705954</v>
      </c>
      <c r="AL325" s="9">
        <v>61874096.690039858</v>
      </c>
    </row>
    <row r="326" spans="1:38" x14ac:dyDescent="0.25">
      <c r="A326" s="9">
        <v>324</v>
      </c>
      <c r="B326" s="9">
        <v>72</v>
      </c>
      <c r="C326" s="9">
        <v>2.6475000000000001E-3</v>
      </c>
      <c r="D326" s="9">
        <v>0.65288531728998356</v>
      </c>
      <c r="E326" s="9">
        <v>5.4783026785748765</v>
      </c>
      <c r="F326" s="9">
        <v>6.7117209837139713</v>
      </c>
      <c r="G326" s="9">
        <v>10.104617978219819</v>
      </c>
      <c r="H326" s="9">
        <v>40.680610560339318</v>
      </c>
      <c r="I326" s="9">
        <v>5003.4485788963257</v>
      </c>
      <c r="J326" s="9">
        <v>2534.9491703737708</v>
      </c>
      <c r="K326" s="9">
        <v>1037.9875433006794</v>
      </c>
      <c r="L326" s="9">
        <v>2451.5778377296679</v>
      </c>
      <c r="M326" s="9">
        <v>1.7818140217786043</v>
      </c>
      <c r="N326" s="9">
        <v>885.92758298902527</v>
      </c>
      <c r="O326" s="9">
        <v>20.412433790350875</v>
      </c>
      <c r="P326" s="9">
        <v>1.339238295649124</v>
      </c>
      <c r="Q326" s="9">
        <v>20.412433790350875</v>
      </c>
      <c r="R326" s="9">
        <v>91.183416858616042</v>
      </c>
      <c r="S326" s="9">
        <v>38.945464103614206</v>
      </c>
      <c r="T326" s="9">
        <v>780.44463567710579</v>
      </c>
      <c r="U326" s="9">
        <v>1207.9525032052759</v>
      </c>
      <c r="V326" s="9">
        <v>2553.363493122351</v>
      </c>
      <c r="W326" s="9">
        <v>135893.75725935763</v>
      </c>
      <c r="X326" s="9">
        <v>136462.96492678009</v>
      </c>
      <c r="Y326" s="9">
        <v>569.20766742243927</v>
      </c>
      <c r="Z326" s="9">
        <v>227894.87842088655</v>
      </c>
      <c r="AA326" s="9">
        <v>228922.46782259989</v>
      </c>
      <c r="AB326" s="9">
        <v>1027.5894017133996</v>
      </c>
      <c r="AC326" s="9">
        <v>3.5560486948394434</v>
      </c>
      <c r="AD326" s="9">
        <v>29.838488589304493</v>
      </c>
      <c r="AE326" s="9">
        <v>36.556506957962092</v>
      </c>
      <c r="AF326" s="9">
        <v>51.424084994157027</v>
      </c>
      <c r="AG326" s="9">
        <v>659.43269718310034</v>
      </c>
      <c r="AH326" s="9">
        <v>30470.503047362759</v>
      </c>
      <c r="AI326" s="9">
        <v>3099.8642153271726</v>
      </c>
      <c r="AJ326" s="9">
        <v>34351.175089109296</v>
      </c>
      <c r="AK326" s="9">
        <v>68244659.79179506</v>
      </c>
      <c r="AL326" s="9">
        <v>61883026.909223303</v>
      </c>
    </row>
    <row r="327" spans="1:38" x14ac:dyDescent="0.25">
      <c r="A327" s="9">
        <v>325</v>
      </c>
      <c r="B327" s="9">
        <v>72</v>
      </c>
      <c r="C327" s="9">
        <v>2.8908333333333334E-3</v>
      </c>
      <c r="D327" s="9">
        <v>0.64426303175020183</v>
      </c>
      <c r="E327" s="9">
        <v>5.4287967635163445</v>
      </c>
      <c r="F327" s="9">
        <v>6.6616034616319117</v>
      </c>
      <c r="G327" s="9">
        <v>10.043234340368508</v>
      </c>
      <c r="H327" s="9">
        <v>40.483897689822719</v>
      </c>
      <c r="I327" s="9">
        <v>5003.5518707810106</v>
      </c>
      <c r="J327" s="9">
        <v>2527.6210548137487</v>
      </c>
      <c r="K327" s="9">
        <v>1034.9868943109209</v>
      </c>
      <c r="L327" s="9">
        <v>2441.8264868293732</v>
      </c>
      <c r="M327" s="9">
        <v>1.7750446665972879</v>
      </c>
      <c r="N327" s="9">
        <v>887.70262765562256</v>
      </c>
      <c r="O327" s="9">
        <v>20.335690687584201</v>
      </c>
      <c r="P327" s="9">
        <v>1.334456860415798</v>
      </c>
      <c r="Q327" s="9">
        <v>20.335690687584201</v>
      </c>
      <c r="R327" s="9">
        <v>90.822593126526996</v>
      </c>
      <c r="S327" s="9">
        <v>38.791471085568432</v>
      </c>
      <c r="T327" s="9">
        <v>782.16922952295647</v>
      </c>
      <c r="U327" s="9">
        <v>1210.9555250655094</v>
      </c>
      <c r="V327" s="9">
        <v>2571.3984887963079</v>
      </c>
      <c r="W327" s="9">
        <v>135893.75725935763</v>
      </c>
      <c r="X327" s="9">
        <v>136462.96492678009</v>
      </c>
      <c r="Y327" s="9">
        <v>569.20766742243927</v>
      </c>
      <c r="Z327" s="9">
        <v>227894.87842088655</v>
      </c>
      <c r="AA327" s="9">
        <v>228922.46782259989</v>
      </c>
      <c r="AB327" s="9">
        <v>1027.5894017133996</v>
      </c>
      <c r="AC327" s="9">
        <v>3.5090859795994325</v>
      </c>
      <c r="AD327" s="9">
        <v>29.568846371952354</v>
      </c>
      <c r="AE327" s="9">
        <v>36.283533521021809</v>
      </c>
      <c r="AF327" s="9">
        <v>51.111693430525399</v>
      </c>
      <c r="AG327" s="9">
        <v>656.2439815520263</v>
      </c>
      <c r="AH327" s="9">
        <v>30351.028340217636</v>
      </c>
      <c r="AI327" s="9">
        <v>3087.6071410558193</v>
      </c>
      <c r="AJ327" s="9">
        <v>34215.352622128579</v>
      </c>
      <c r="AK327" s="9">
        <v>68278875.144417182</v>
      </c>
      <c r="AL327" s="9">
        <v>61891884.91052191</v>
      </c>
    </row>
    <row r="328" spans="1:38" x14ac:dyDescent="0.25">
      <c r="A328" s="9">
        <v>326</v>
      </c>
      <c r="B328" s="9">
        <v>72</v>
      </c>
      <c r="C328" s="9">
        <v>2.8908333333333334E-3</v>
      </c>
      <c r="D328" s="9">
        <v>0.63575461583799586</v>
      </c>
      <c r="E328" s="9">
        <v>5.3797101372292966</v>
      </c>
      <c r="F328" s="9">
        <v>6.6117967588381807</v>
      </c>
      <c r="G328" s="9">
        <v>9.9821245736494362</v>
      </c>
      <c r="H328" s="9">
        <v>40.288008026803233</v>
      </c>
      <c r="I328" s="9">
        <v>5003.6545351870855</v>
      </c>
      <c r="J328" s="9">
        <v>2520.3141236144579</v>
      </c>
      <c r="K328" s="9">
        <v>1031.9949196972836</v>
      </c>
      <c r="L328" s="9">
        <v>2432.1139227230024</v>
      </c>
      <c r="M328" s="9">
        <v>1.7678687691018924</v>
      </c>
      <c r="N328" s="9">
        <v>889.4704964247245</v>
      </c>
      <c r="O328" s="9">
        <v>20.258783739502981</v>
      </c>
      <c r="P328" s="9">
        <v>1.3293897784970212</v>
      </c>
      <c r="Q328" s="9">
        <v>20.258783739502981</v>
      </c>
      <c r="R328" s="9">
        <v>90.463410741435297</v>
      </c>
      <c r="S328" s="9">
        <v>38.638042381994822</v>
      </c>
      <c r="T328" s="9">
        <v>783.88695962284942</v>
      </c>
      <c r="U328" s="9">
        <v>1213.9467359247303</v>
      </c>
      <c r="V328" s="9">
        <v>2589.3726670679098</v>
      </c>
      <c r="W328" s="9">
        <v>135893.75725935763</v>
      </c>
      <c r="X328" s="9">
        <v>136462.96492678009</v>
      </c>
      <c r="Y328" s="9">
        <v>569.20766742243927</v>
      </c>
      <c r="Z328" s="9">
        <v>227894.87842088655</v>
      </c>
      <c r="AA328" s="9">
        <v>228922.46782259989</v>
      </c>
      <c r="AB328" s="9">
        <v>1027.5894017133996</v>
      </c>
      <c r="AC328" s="9">
        <v>3.462743474264284</v>
      </c>
      <c r="AD328" s="9">
        <v>29.301487880775568</v>
      </c>
      <c r="AE328" s="9">
        <v>36.012253013138626</v>
      </c>
      <c r="AF328" s="9">
        <v>50.800695642730922</v>
      </c>
      <c r="AG328" s="9">
        <v>653.06861011448041</v>
      </c>
      <c r="AH328" s="9">
        <v>30231.957055056992</v>
      </c>
      <c r="AI328" s="9">
        <v>3075.3949833948777</v>
      </c>
      <c r="AJ328" s="9">
        <v>34079.997828577259</v>
      </c>
      <c r="AK328" s="9">
        <v>68312955.142245755</v>
      </c>
      <c r="AL328" s="9">
        <v>61900671.260073088</v>
      </c>
    </row>
    <row r="329" spans="1:38" x14ac:dyDescent="0.25">
      <c r="A329" s="9">
        <v>327</v>
      </c>
      <c r="B329" s="9">
        <v>72</v>
      </c>
      <c r="C329" s="9">
        <v>2.8908333333333334E-3</v>
      </c>
      <c r="D329" s="9">
        <v>0.62735856574187354</v>
      </c>
      <c r="E329" s="9">
        <v>5.3310396698855191</v>
      </c>
      <c r="F329" s="9">
        <v>6.5622997756575572</v>
      </c>
      <c r="G329" s="9">
        <v>9.9212883802849792</v>
      </c>
      <c r="H329" s="9">
        <v>40.092938300001919</v>
      </c>
      <c r="I329" s="9">
        <v>5003.7565749141277</v>
      </c>
      <c r="J329" s="9">
        <v>2513.0283155354423</v>
      </c>
      <c r="K329" s="9">
        <v>1029.0115943835922</v>
      </c>
      <c r="L329" s="9">
        <v>2422.4399911329178</v>
      </c>
      <c r="M329" s="9">
        <v>1.7607215492428425</v>
      </c>
      <c r="N329" s="9">
        <v>891.23121797396732</v>
      </c>
      <c r="O329" s="9">
        <v>20.18172677693703</v>
      </c>
      <c r="P329" s="9">
        <v>1.3243416960629699</v>
      </c>
      <c r="Q329" s="9">
        <v>20.18172677693703</v>
      </c>
      <c r="R329" s="9">
        <v>90.105858186929197</v>
      </c>
      <c r="S329" s="9">
        <v>38.485176582754541</v>
      </c>
      <c r="T329" s="9">
        <v>785.59785178711365</v>
      </c>
      <c r="U329" s="9">
        <v>1216.9261748188887</v>
      </c>
      <c r="V329" s="9">
        <v>2607.2862378937662</v>
      </c>
      <c r="W329" s="9">
        <v>135893.75725935763</v>
      </c>
      <c r="X329" s="9">
        <v>136462.96492678009</v>
      </c>
      <c r="Y329" s="9">
        <v>569.20766742243927</v>
      </c>
      <c r="Z329" s="9">
        <v>227894.87842088655</v>
      </c>
      <c r="AA329" s="9">
        <v>228922.46782259989</v>
      </c>
      <c r="AB329" s="9">
        <v>1027.5894017133996</v>
      </c>
      <c r="AC329" s="9">
        <v>3.4170129880740712</v>
      </c>
      <c r="AD329" s="9">
        <v>29.036396068643125</v>
      </c>
      <c r="AE329" s="9">
        <v>35.742659444748156</v>
      </c>
      <c r="AF329" s="9">
        <v>50.491090115333634</v>
      </c>
      <c r="AG329" s="9">
        <v>649.90652984303108</v>
      </c>
      <c r="AH329" s="9">
        <v>30113.289823817249</v>
      </c>
      <c r="AI329" s="9">
        <v>3063.2276301043476</v>
      </c>
      <c r="AJ329" s="9">
        <v>33945.111142381429</v>
      </c>
      <c r="AK329" s="9">
        <v>68346900.253388137</v>
      </c>
      <c r="AL329" s="9">
        <v>61909386.52017051</v>
      </c>
    </row>
    <row r="330" spans="1:38" x14ac:dyDescent="0.25">
      <c r="A330" s="9">
        <v>328</v>
      </c>
      <c r="B330" s="9">
        <v>72</v>
      </c>
      <c r="C330" s="9">
        <v>2.8908333333333334E-3</v>
      </c>
      <c r="D330" s="9">
        <v>0.61907339751032664</v>
      </c>
      <c r="E330" s="9">
        <v>5.2827822482752183</v>
      </c>
      <c r="F330" s="9">
        <v>6.5131114041628946</v>
      </c>
      <c r="G330" s="9">
        <v>9.8607254547498719</v>
      </c>
      <c r="H330" s="9">
        <v>39.898685259220386</v>
      </c>
      <c r="I330" s="9">
        <v>5003.8579927586725</v>
      </c>
      <c r="J330" s="9">
        <v>2505.7635695132817</v>
      </c>
      <c r="K330" s="9">
        <v>1026.0368933661616</v>
      </c>
      <c r="L330" s="9">
        <v>2412.8045383951335</v>
      </c>
      <c r="M330" s="9">
        <v>1.7536028929627463</v>
      </c>
      <c r="N330" s="9">
        <v>892.98482086693002</v>
      </c>
      <c r="O330" s="9">
        <v>20.104533237043057</v>
      </c>
      <c r="P330" s="9">
        <v>1.3193125419569445</v>
      </c>
      <c r="Q330" s="9">
        <v>20.104533237043057</v>
      </c>
      <c r="R330" s="9">
        <v>89.749924089553161</v>
      </c>
      <c r="S330" s="9">
        <v>38.332872290999831</v>
      </c>
      <c r="T330" s="9">
        <v>787.30193177134936</v>
      </c>
      <c r="U330" s="9">
        <v>1219.8938808361725</v>
      </c>
      <c r="V330" s="9">
        <v>2625.1394105106906</v>
      </c>
      <c r="W330" s="9">
        <v>135893.75725935763</v>
      </c>
      <c r="X330" s="9">
        <v>136462.96492678009</v>
      </c>
      <c r="Y330" s="9">
        <v>569.20766742243927</v>
      </c>
      <c r="Z330" s="9">
        <v>227894.87842088655</v>
      </c>
      <c r="AA330" s="9">
        <v>228922.46782259989</v>
      </c>
      <c r="AB330" s="9">
        <v>1027.5894017133996</v>
      </c>
      <c r="AC330" s="9">
        <v>3.3718864384395788</v>
      </c>
      <c r="AD330" s="9">
        <v>28.77355397893902</v>
      </c>
      <c r="AE330" s="9">
        <v>35.474746781340563</v>
      </c>
      <c r="AF330" s="9">
        <v>50.182875293464555</v>
      </c>
      <c r="AG330" s="9">
        <v>646.75768805196253</v>
      </c>
      <c r="AH330" s="9">
        <v>29995.027209978256</v>
      </c>
      <c r="AI330" s="9">
        <v>3051.1049700021313</v>
      </c>
      <c r="AJ330" s="9">
        <v>33810.692930524536</v>
      </c>
      <c r="AK330" s="9">
        <v>68380710.946318656</v>
      </c>
      <c r="AL330" s="9">
        <v>61918031.249270298</v>
      </c>
    </row>
    <row r="331" spans="1:38" x14ac:dyDescent="0.25">
      <c r="A331" s="9">
        <v>329</v>
      </c>
      <c r="B331" s="9">
        <v>72</v>
      </c>
      <c r="C331" s="9">
        <v>2.8908333333333334E-3</v>
      </c>
      <c r="D331" s="9">
        <v>0.61089764678955183</v>
      </c>
      <c r="E331" s="9">
        <v>5.2349347758412854</v>
      </c>
      <c r="F331" s="9">
        <v>6.464230528408982</v>
      </c>
      <c r="G331" s="9">
        <v>9.8004354837853622</v>
      </c>
      <c r="H331" s="9">
        <v>39.705245675106113</v>
      </c>
      <c r="I331" s="9">
        <v>5003.9587915141301</v>
      </c>
      <c r="J331" s="9">
        <v>2498.5198246610803</v>
      </c>
      <c r="K331" s="9">
        <v>1023.070791713589</v>
      </c>
      <c r="L331" s="9">
        <v>2403.2074114568741</v>
      </c>
      <c r="M331" s="9">
        <v>1.7465126866845886</v>
      </c>
      <c r="N331" s="9">
        <v>894.7313335536146</v>
      </c>
      <c r="O331" s="9">
        <v>20.027216173688636</v>
      </c>
      <c r="P331" s="9">
        <v>1.3143022453113644</v>
      </c>
      <c r="Q331" s="9">
        <v>20.027216173688636</v>
      </c>
      <c r="R331" s="9">
        <v>89.395597216439185</v>
      </c>
      <c r="S331" s="9">
        <v>38.181128121346894</v>
      </c>
      <c r="T331" s="9">
        <v>788.99922527524188</v>
      </c>
      <c r="U331" s="9">
        <v>1222.8498931124823</v>
      </c>
      <c r="V331" s="9">
        <v>2642.9323934376303</v>
      </c>
      <c r="W331" s="9">
        <v>135893.75725935763</v>
      </c>
      <c r="X331" s="9">
        <v>136462.96492678009</v>
      </c>
      <c r="Y331" s="9">
        <v>569.20766742243927</v>
      </c>
      <c r="Z331" s="9">
        <v>227894.87842088655</v>
      </c>
      <c r="AA331" s="9">
        <v>228922.46782259989</v>
      </c>
      <c r="AB331" s="9">
        <v>1027.5894017133996</v>
      </c>
      <c r="AC331" s="9">
        <v>3.3273558495137587</v>
      </c>
      <c r="AD331" s="9">
        <v>28.512944745748865</v>
      </c>
      <c r="AE331" s="9">
        <v>35.208508944734255</v>
      </c>
      <c r="AF331" s="9">
        <v>49.876049582897672</v>
      </c>
      <c r="AG331" s="9">
        <v>643.62203239347014</v>
      </c>
      <c r="AH331" s="9">
        <v>29877.169710751801</v>
      </c>
      <c r="AI331" s="9">
        <v>3039.026892818606</v>
      </c>
      <c r="AJ331" s="9">
        <v>33676.743495086776</v>
      </c>
      <c r="AK331" s="9">
        <v>68414387.689813748</v>
      </c>
      <c r="AL331" s="9">
        <v>61926606.00199797</v>
      </c>
    </row>
    <row r="332" spans="1:38" x14ac:dyDescent="0.25">
      <c r="A332" s="9">
        <v>330</v>
      </c>
      <c r="B332" s="9">
        <v>72</v>
      </c>
      <c r="C332" s="9">
        <v>2.8908333333333334E-3</v>
      </c>
      <c r="D332" s="9">
        <v>0.60282986856463472</v>
      </c>
      <c r="E332" s="9">
        <v>5.1874941727104975</v>
      </c>
      <c r="F332" s="9">
        <v>6.4156560246635008</v>
      </c>
      <c r="G332" s="9">
        <v>9.7404181464156601</v>
      </c>
      <c r="H332" s="9">
        <v>39.512616338919685</v>
      </c>
      <c r="I332" s="9">
        <v>5004.0589739707093</v>
      </c>
      <c r="J332" s="9">
        <v>2491.2970202679558</v>
      </c>
      <c r="K332" s="9">
        <v>1020.1132645665436</v>
      </c>
      <c r="L332" s="9">
        <v>2393.6484578741452</v>
      </c>
      <c r="M332" s="9">
        <v>1.7394508173093208</v>
      </c>
      <c r="N332" s="9">
        <v>896.47078437092398</v>
      </c>
      <c r="O332" s="9">
        <v>19.94978826745367</v>
      </c>
      <c r="P332" s="9">
        <v>1.3093107355463312</v>
      </c>
      <c r="Q332" s="9">
        <v>19.94978826745367</v>
      </c>
      <c r="R332" s="9">
        <v>89.042866472980677</v>
      </c>
      <c r="S332" s="9">
        <v>38.029942698182538</v>
      </c>
      <c r="T332" s="9">
        <v>790.68975794142125</v>
      </c>
      <c r="U332" s="9">
        <v>1225.7942508269732</v>
      </c>
      <c r="V332" s="9">
        <v>2660.665394477604</v>
      </c>
      <c r="W332" s="9">
        <v>135893.75725935763</v>
      </c>
      <c r="X332" s="9">
        <v>136462.96492678009</v>
      </c>
      <c r="Y332" s="9">
        <v>569.20766742243927</v>
      </c>
      <c r="Z332" s="9">
        <v>227894.87842088655</v>
      </c>
      <c r="AA332" s="9">
        <v>228922.46782259989</v>
      </c>
      <c r="AB332" s="9">
        <v>1027.5894017133996</v>
      </c>
      <c r="AC332" s="9">
        <v>3.2834133507820438</v>
      </c>
      <c r="AD332" s="9">
        <v>28.254551594029842</v>
      </c>
      <c r="AE332" s="9">
        <v>34.943939814333866</v>
      </c>
      <c r="AF332" s="9">
        <v>49.570611350133696</v>
      </c>
      <c r="AG332" s="9">
        <v>640.49951085388807</v>
      </c>
      <c r="AH332" s="9">
        <v>29759.717759177332</v>
      </c>
      <c r="AI332" s="9">
        <v>3026.9932890618388</v>
      </c>
      <c r="AJ332" s="9">
        <v>33543.26307520234</v>
      </c>
      <c r="AK332" s="9">
        <v>68447930.952888951</v>
      </c>
      <c r="AL332" s="9">
        <v>61935111.329156063</v>
      </c>
    </row>
    <row r="333" spans="1:38" x14ac:dyDescent="0.25">
      <c r="A333" s="9">
        <v>331</v>
      </c>
      <c r="B333" s="9">
        <v>72</v>
      </c>
      <c r="C333" s="9">
        <v>2.8908333333333334E-3</v>
      </c>
      <c r="D333" s="9">
        <v>0.59486863690415193</v>
      </c>
      <c r="E333" s="9">
        <v>5.1404573757217333</v>
      </c>
      <c r="F333" s="9">
        <v>6.3673867616350988</v>
      </c>
      <c r="G333" s="9">
        <v>9.6806731139666198</v>
      </c>
      <c r="H333" s="9">
        <v>39.320794062303882</v>
      </c>
      <c r="I333" s="9">
        <v>5004.1585429153374</v>
      </c>
      <c r="J333" s="9">
        <v>2484.095095798531</v>
      </c>
      <c r="K333" s="9">
        <v>1017.1642871375592</v>
      </c>
      <c r="L333" s="9">
        <v>2384.1275258093096</v>
      </c>
      <c r="M333" s="9">
        <v>1.7324171722134649</v>
      </c>
      <c r="N333" s="9">
        <v>898.20320154313742</v>
      </c>
      <c r="O333" s="9">
        <v>19.872261835631804</v>
      </c>
      <c r="P333" s="9">
        <v>1.3043379423681967</v>
      </c>
      <c r="Q333" s="9">
        <v>19.872261835631804</v>
      </c>
      <c r="R333" s="9">
        <v>88.69172090054812</v>
      </c>
      <c r="S333" s="9">
        <v>37.879314654096063</v>
      </c>
      <c r="T333" s="9">
        <v>792.37355535436541</v>
      </c>
      <c r="U333" s="9">
        <v>1228.7269931976623</v>
      </c>
      <c r="V333" s="9">
        <v>2678.338620719645</v>
      </c>
      <c r="W333" s="9">
        <v>135893.75725935763</v>
      </c>
      <c r="X333" s="9">
        <v>136462.96492678009</v>
      </c>
      <c r="Y333" s="9">
        <v>569.20766742243927</v>
      </c>
      <c r="Z333" s="9">
        <v>227894.87842088655</v>
      </c>
      <c r="AA333" s="9">
        <v>228922.46782259989</v>
      </c>
      <c r="AB333" s="9">
        <v>1027.5894017133996</v>
      </c>
      <c r="AC333" s="9">
        <v>3.2400511756712804</v>
      </c>
      <c r="AD333" s="9">
        <v>27.998357839764374</v>
      </c>
      <c r="AE333" s="9">
        <v>34.681033228372499</v>
      </c>
      <c r="AF333" s="9">
        <v>49.266558922495122</v>
      </c>
      <c r="AG333" s="9">
        <v>637.39007174994595</v>
      </c>
      <c r="AH333" s="9">
        <v>29642.671726229022</v>
      </c>
      <c r="AI333" s="9">
        <v>3015.004049892776</v>
      </c>
      <c r="AJ333" s="9">
        <v>33410.251849038046</v>
      </c>
      <c r="AK333" s="9">
        <v>68481341.204737991</v>
      </c>
      <c r="AL333" s="9">
        <v>61943547.777732462</v>
      </c>
    </row>
    <row r="334" spans="1:38" x14ac:dyDescent="0.25">
      <c r="A334" s="9">
        <v>332</v>
      </c>
      <c r="B334" s="9">
        <v>72</v>
      </c>
      <c r="C334" s="9">
        <v>2.8908333333333334E-3</v>
      </c>
      <c r="D334" s="9">
        <v>0.58701254470814657</v>
      </c>
      <c r="E334" s="9">
        <v>5.0938213384512627</v>
      </c>
      <c r="F334" s="9">
        <v>6.3194216006985977</v>
      </c>
      <c r="G334" s="9">
        <v>9.6212000500865873</v>
      </c>
      <c r="H334" s="9">
        <v>39.129775677054667</v>
      </c>
      <c r="I334" s="9">
        <v>5004.2575011315821</v>
      </c>
      <c r="J334" s="9">
        <v>2476.9139908924267</v>
      </c>
      <c r="K334" s="9">
        <v>1014.2238347108257</v>
      </c>
      <c r="L334" s="9">
        <v>2374.6444640286777</v>
      </c>
      <c r="M334" s="9">
        <v>1.7254116392467276</v>
      </c>
      <c r="N334" s="9">
        <v>899.9286131823842</v>
      </c>
      <c r="O334" s="9">
        <v>19.794648840231861</v>
      </c>
      <c r="P334" s="9">
        <v>1.2993837957681411</v>
      </c>
      <c r="Q334" s="9">
        <v>19.794648840231861</v>
      </c>
      <c r="R334" s="9">
        <v>88.342149674245846</v>
      </c>
      <c r="S334" s="9">
        <v>37.72924262843074</v>
      </c>
      <c r="T334" s="9">
        <v>794.05064303934739</v>
      </c>
      <c r="U334" s="9">
        <v>1231.6481594771087</v>
      </c>
      <c r="V334" s="9">
        <v>2695.9522785407557</v>
      </c>
      <c r="W334" s="9">
        <v>135893.75725935763</v>
      </c>
      <c r="X334" s="9">
        <v>136462.96492678009</v>
      </c>
      <c r="Y334" s="9">
        <v>569.20766742243927</v>
      </c>
      <c r="Z334" s="9">
        <v>227894.87842088655</v>
      </c>
      <c r="AA334" s="9">
        <v>228922.46782259989</v>
      </c>
      <c r="AB334" s="9">
        <v>1027.5894017133996</v>
      </c>
      <c r="AC334" s="9">
        <v>3.1972616601770381</v>
      </c>
      <c r="AD334" s="9">
        <v>27.744346890097876</v>
      </c>
      <c r="AE334" s="9">
        <v>34.419782985138362</v>
      </c>
      <c r="AF334" s="9">
        <v>48.963890588232324</v>
      </c>
      <c r="AG334" s="9">
        <v>634.29366372505615</v>
      </c>
      <c r="AH334" s="9">
        <v>29526.031922388043</v>
      </c>
      <c r="AI334" s="9">
        <v>3003.0590670099446</v>
      </c>
      <c r="AJ334" s="9">
        <v>33277.70993524669</v>
      </c>
      <c r="AK334" s="9">
        <v>68514618.914673239</v>
      </c>
      <c r="AL334" s="9">
        <v>61951915.890909292</v>
      </c>
    </row>
    <row r="335" spans="1:38" x14ac:dyDescent="0.25">
      <c r="A335" s="9">
        <v>333</v>
      </c>
      <c r="B335" s="9">
        <v>72</v>
      </c>
      <c r="C335" s="9">
        <v>2.8908333333333334E-3</v>
      </c>
      <c r="D335" s="9">
        <v>0.57926020345943152</v>
      </c>
      <c r="E335" s="9">
        <v>5.0475830312351739</v>
      </c>
      <c r="F335" s="9">
        <v>6.2717593961173446</v>
      </c>
      <c r="G335" s="9">
        <v>9.5619986107693666</v>
      </c>
      <c r="H335" s="9">
        <v>38.939558034894098</v>
      </c>
      <c r="I335" s="9">
        <v>5004.3558513995731</v>
      </c>
      <c r="J335" s="9">
        <v>2469.7536453637554</v>
      </c>
      <c r="K335" s="9">
        <v>1011.2918826419825</v>
      </c>
      <c r="L335" s="9">
        <v>2365.1991219001038</v>
      </c>
      <c r="M335" s="9">
        <v>1.7184341067296296</v>
      </c>
      <c r="N335" s="9">
        <v>901.64704728911386</v>
      </c>
      <c r="O335" s="9">
        <v>19.716960898979245</v>
      </c>
      <c r="P335" s="9">
        <v>1.2944482260207533</v>
      </c>
      <c r="Q335" s="9">
        <v>19.716960898979245</v>
      </c>
      <c r="R335" s="9">
        <v>87.994142100709055</v>
      </c>
      <c r="S335" s="9">
        <v>37.579725265937505</v>
      </c>
      <c r="T335" s="9">
        <v>795.72104646141497</v>
      </c>
      <c r="U335" s="9">
        <v>1234.557788948139</v>
      </c>
      <c r="V335" s="9">
        <v>2713.5065736078632</v>
      </c>
      <c r="W335" s="9">
        <v>135893.75725935763</v>
      </c>
      <c r="X335" s="9">
        <v>136462.96492678009</v>
      </c>
      <c r="Y335" s="9">
        <v>569.20766742243927</v>
      </c>
      <c r="Z335" s="9">
        <v>227894.87842088655</v>
      </c>
      <c r="AA335" s="9">
        <v>228922.46782259989</v>
      </c>
      <c r="AB335" s="9">
        <v>1027.5894017133996</v>
      </c>
      <c r="AC335" s="9">
        <v>3.1550372415090369</v>
      </c>
      <c r="AD335" s="9">
        <v>27.492502243460912</v>
      </c>
      <c r="AE335" s="9">
        <v>34.160182844185805</v>
      </c>
      <c r="AF335" s="9">
        <v>48.662604596640435</v>
      </c>
      <c r="AG335" s="9">
        <v>631.21023574563333</v>
      </c>
      <c r="AH335" s="9">
        <v>29409.798600044895</v>
      </c>
      <c r="AI335" s="9">
        <v>2991.1582325422955</v>
      </c>
      <c r="AJ335" s="9">
        <v>33145.637395258622</v>
      </c>
      <c r="AK335" s="9">
        <v>68547764.552068502</v>
      </c>
      <c r="AL335" s="9">
        <v>61960216.208072551</v>
      </c>
    </row>
    <row r="336" spans="1:38" x14ac:dyDescent="0.25">
      <c r="A336" s="9">
        <v>334</v>
      </c>
      <c r="B336" s="9">
        <v>72</v>
      </c>
      <c r="C336" s="9">
        <v>2.8908333333333334E-3</v>
      </c>
      <c r="D336" s="9">
        <v>0.57161024297817764</v>
      </c>
      <c r="E336" s="9">
        <v>5.0017394411890121</v>
      </c>
      <c r="F336" s="9">
        <v>6.2243989952627352</v>
      </c>
      <c r="G336" s="9">
        <v>9.5030684443792452</v>
      </c>
      <c r="H336" s="9">
        <v>38.75013800724512</v>
      </c>
      <c r="I336" s="9">
        <v>5004.4535964959223</v>
      </c>
      <c r="J336" s="9">
        <v>2462.6139992006165</v>
      </c>
      <c r="K336" s="9">
        <v>1008.3684063579117</v>
      </c>
      <c r="L336" s="9">
        <v>2355.791349390594</v>
      </c>
      <c r="M336" s="9">
        <v>1.7114844634511464</v>
      </c>
      <c r="N336" s="9">
        <v>903.358531752565</v>
      </c>
      <c r="O336" s="9">
        <v>19.639209293317379</v>
      </c>
      <c r="P336" s="9">
        <v>1.2895311636826208</v>
      </c>
      <c r="Q336" s="9">
        <v>19.639209293317379</v>
      </c>
      <c r="R336" s="9">
        <v>87.647687615940399</v>
      </c>
      <c r="S336" s="9">
        <v>37.430761215543868</v>
      </c>
      <c r="T336" s="9">
        <v>797.38479102442</v>
      </c>
      <c r="U336" s="9">
        <v>1237.4559209196721</v>
      </c>
      <c r="V336" s="9">
        <v>2731.0017108797856</v>
      </c>
      <c r="W336" s="9">
        <v>135893.75725935763</v>
      </c>
      <c r="X336" s="9">
        <v>136462.96492678009</v>
      </c>
      <c r="Y336" s="9">
        <v>569.20766742243927</v>
      </c>
      <c r="Z336" s="9">
        <v>227894.87842088655</v>
      </c>
      <c r="AA336" s="9">
        <v>228922.46782259989</v>
      </c>
      <c r="AB336" s="9">
        <v>1027.5894017133996</v>
      </c>
      <c r="AC336" s="9">
        <v>3.113370456754474</v>
      </c>
      <c r="AD336" s="9">
        <v>27.242807489676149</v>
      </c>
      <c r="AE336" s="9">
        <v>33.902226527531028</v>
      </c>
      <c r="AF336" s="9">
        <v>48.362699158186707</v>
      </c>
      <c r="AG336" s="9">
        <v>628.13973709744346</v>
      </c>
      <c r="AH336" s="9">
        <v>29293.971955093442</v>
      </c>
      <c r="AI336" s="9">
        <v>2979.3014389512141</v>
      </c>
      <c r="AJ336" s="9">
        <v>33014.034234774248</v>
      </c>
      <c r="AK336" s="9">
        <v>68580778.586303279</v>
      </c>
      <c r="AL336" s="9">
        <v>61968449.26482226</v>
      </c>
    </row>
    <row r="337" spans="1:38" x14ac:dyDescent="0.25">
      <c r="A337" s="9">
        <v>335</v>
      </c>
      <c r="B337" s="9">
        <v>72</v>
      </c>
      <c r="C337" s="9">
        <v>2.8908333333333334E-3</v>
      </c>
      <c r="D337" s="9">
        <v>0.56406131117974234</v>
      </c>
      <c r="E337" s="9">
        <v>4.956287572224678</v>
      </c>
      <c r="F337" s="9">
        <v>6.1773392388309185</v>
      </c>
      <c r="G337" s="9">
        <v>9.4444091916780017</v>
      </c>
      <c r="H337" s="9">
        <v>38.561512485008301</v>
      </c>
      <c r="I337" s="9">
        <v>5004.550739193649</v>
      </c>
      <c r="J337" s="9">
        <v>2455.4949925645942</v>
      </c>
      <c r="K337" s="9">
        <v>1005.453381356532</v>
      </c>
      <c r="L337" s="9">
        <v>2346.4209970639222</v>
      </c>
      <c r="M337" s="9">
        <v>1.7045625986663611</v>
      </c>
      <c r="N337" s="9">
        <v>905.06309435123137</v>
      </c>
      <c r="O337" s="9">
        <v>19.561404976409072</v>
      </c>
      <c r="P337" s="9">
        <v>1.2846325395909257</v>
      </c>
      <c r="Q337" s="9">
        <v>19.561404976409072</v>
      </c>
      <c r="R337" s="9">
        <v>87.302775783185396</v>
      </c>
      <c r="S337" s="9">
        <v>37.282349129215056</v>
      </c>
      <c r="T337" s="9">
        <v>799.04190207008128</v>
      </c>
      <c r="U337" s="9">
        <v>1240.3425947225996</v>
      </c>
      <c r="V337" s="9">
        <v>2748.4378946092047</v>
      </c>
      <c r="W337" s="9">
        <v>135893.75725935763</v>
      </c>
      <c r="X337" s="9">
        <v>136462.96492678009</v>
      </c>
      <c r="Y337" s="9">
        <v>569.20766742243927</v>
      </c>
      <c r="Z337" s="9">
        <v>227894.87842088655</v>
      </c>
      <c r="AA337" s="9">
        <v>228922.46782259989</v>
      </c>
      <c r="AB337" s="9">
        <v>1027.5894017133996</v>
      </c>
      <c r="AC337" s="9">
        <v>3.0722539415589964</v>
      </c>
      <c r="AD337" s="9">
        <v>26.995246310050412</v>
      </c>
      <c r="AE337" s="9">
        <v>33.645907720832398</v>
      </c>
      <c r="AF337" s="9">
        <v>48.064172444647959</v>
      </c>
      <c r="AG337" s="9">
        <v>625.08211738198463</v>
      </c>
      <c r="AH337" s="9">
        <v>29178.552128535543</v>
      </c>
      <c r="AI337" s="9">
        <v>2967.4885789398722</v>
      </c>
      <c r="AJ337" s="9">
        <v>32882.900405274486</v>
      </c>
      <c r="AK337" s="9">
        <v>68613661.486708552</v>
      </c>
      <c r="AL337" s="9">
        <v>61976615.592983134</v>
      </c>
    </row>
    <row r="338" spans="1:38" x14ac:dyDescent="0.25">
      <c r="A338" s="9">
        <v>336</v>
      </c>
      <c r="B338" s="9">
        <v>73</v>
      </c>
      <c r="C338" s="9">
        <v>2.8908333333333334E-3</v>
      </c>
      <c r="D338" s="9">
        <v>0.556612073835697</v>
      </c>
      <c r="E338" s="9">
        <v>4.9112244450646569</v>
      </c>
      <c r="F338" s="9">
        <v>6.1305789610567034</v>
      </c>
      <c r="G338" s="9">
        <v>9.3860204858538729</v>
      </c>
      <c r="H338" s="9">
        <v>38.373678378340465</v>
      </c>
      <c r="I338" s="9">
        <v>5004.6472822620999</v>
      </c>
      <c r="J338" s="9">
        <v>2448.3965657902554</v>
      </c>
      <c r="K338" s="9">
        <v>1002.5467832065938</v>
      </c>
      <c r="L338" s="9">
        <v>2337.0879160782583</v>
      </c>
      <c r="M338" s="9">
        <v>1.6976684020941319</v>
      </c>
      <c r="N338" s="9">
        <v>906.76076275332548</v>
      </c>
      <c r="O338" s="9">
        <v>19.488761480081546</v>
      </c>
      <c r="P338" s="9">
        <v>1.2745493879184535</v>
      </c>
      <c r="Q338" s="9">
        <v>19.488761480081546</v>
      </c>
      <c r="R338" s="9">
        <v>86.954193393902287</v>
      </c>
      <c r="S338" s="9">
        <v>37.134487660903247</v>
      </c>
      <c r="T338" s="9">
        <v>800.69240487708043</v>
      </c>
      <c r="U338" s="9">
        <v>1243.2178497057278</v>
      </c>
      <c r="V338" s="9">
        <v>2765.8153283446413</v>
      </c>
      <c r="W338" s="9">
        <v>137490.48820485358</v>
      </c>
      <c r="X338" s="9">
        <v>138067.63531922671</v>
      </c>
      <c r="Y338" s="9">
        <v>577.1471143731186</v>
      </c>
      <c r="Z338" s="9">
        <v>233856.20366442678</v>
      </c>
      <c r="AA338" s="9">
        <v>234913.43464455404</v>
      </c>
      <c r="AB338" s="9">
        <v>1057.2309801273088</v>
      </c>
      <c r="AC338" s="9">
        <v>3.031680428825096</v>
      </c>
      <c r="AD338" s="9">
        <v>26.749802477452164</v>
      </c>
      <c r="AE338" s="9">
        <v>33.391220074555513</v>
      </c>
      <c r="AF338" s="9">
        <v>47.767022589257998</v>
      </c>
      <c r="AG338" s="9">
        <v>622.03732651289897</v>
      </c>
      <c r="AH338" s="9">
        <v>29063.539208642127</v>
      </c>
      <c r="AI338" s="9">
        <v>2955.719545369594</v>
      </c>
      <c r="AJ338" s="9">
        <v>32752.235806094712</v>
      </c>
      <c r="AK338" s="9">
        <v>68646413.722514644</v>
      </c>
      <c r="AL338" s="9">
        <v>61984715.720615923</v>
      </c>
    </row>
    <row r="339" spans="1:38" x14ac:dyDescent="0.25">
      <c r="A339" s="9">
        <v>337</v>
      </c>
      <c r="B339" s="9">
        <v>73</v>
      </c>
      <c r="C339" s="9">
        <v>3.1474999999999997E-3</v>
      </c>
      <c r="D339" s="9">
        <v>0.54911835057239222</v>
      </c>
      <c r="E339" s="9">
        <v>4.8652865496460729</v>
      </c>
      <c r="F339" s="9">
        <v>6.0825434746580154</v>
      </c>
      <c r="G339" s="9">
        <v>9.3254928739610286</v>
      </c>
      <c r="H339" s="9">
        <v>38.176783372318155</v>
      </c>
      <c r="I339" s="9">
        <v>5004.7432284668712</v>
      </c>
      <c r="J339" s="9">
        <v>2440.6902375994305</v>
      </c>
      <c r="K339" s="9">
        <v>999.39126720645106</v>
      </c>
      <c r="L339" s="9">
        <v>2327.1921056186748</v>
      </c>
      <c r="M339" s="9">
        <v>1.6908017639147712</v>
      </c>
      <c r="N339" s="9">
        <v>908.45156451724029</v>
      </c>
      <c r="O339" s="9">
        <v>19.410932487536293</v>
      </c>
      <c r="P339" s="9">
        <v>1.269707200463706</v>
      </c>
      <c r="Q339" s="9">
        <v>19.410932487536293</v>
      </c>
      <c r="R339" s="9">
        <v>86.584931412264538</v>
      </c>
      <c r="S339" s="9">
        <v>36.977644280426233</v>
      </c>
      <c r="T339" s="9">
        <v>802.33632466020254</v>
      </c>
      <c r="U339" s="9">
        <v>1246.0817603613989</v>
      </c>
      <c r="V339" s="9">
        <v>2784.6718964167421</v>
      </c>
      <c r="W339" s="9">
        <v>137490.48820485358</v>
      </c>
      <c r="X339" s="9">
        <v>138067.63531922671</v>
      </c>
      <c r="Y339" s="9">
        <v>577.1471143731186</v>
      </c>
      <c r="Z339" s="9">
        <v>233856.20366442678</v>
      </c>
      <c r="AA339" s="9">
        <v>234913.43464455404</v>
      </c>
      <c r="AB339" s="9">
        <v>1057.2309801273088</v>
      </c>
      <c r="AC339" s="9">
        <v>2.9908646161176295</v>
      </c>
      <c r="AD339" s="9">
        <v>26.49959407373894</v>
      </c>
      <c r="AE339" s="9">
        <v>33.129586791970652</v>
      </c>
      <c r="AF339" s="9">
        <v>47.458987484399998</v>
      </c>
      <c r="AG339" s="9">
        <v>618.84565846527732</v>
      </c>
      <c r="AH339" s="9">
        <v>28941.463998747953</v>
      </c>
      <c r="AI339" s="9">
        <v>2943.2355965005258</v>
      </c>
      <c r="AJ339" s="9">
        <v>32613.624286679984</v>
      </c>
      <c r="AK339" s="9">
        <v>68679027.346801326</v>
      </c>
      <c r="AL339" s="9">
        <v>61992748.09926074</v>
      </c>
    </row>
    <row r="340" spans="1:38" x14ac:dyDescent="0.25">
      <c r="A340" s="9">
        <v>338</v>
      </c>
      <c r="B340" s="9">
        <v>73</v>
      </c>
      <c r="C340" s="9">
        <v>3.1474999999999997E-3</v>
      </c>
      <c r="D340" s="9">
        <v>0.54172551604468389</v>
      </c>
      <c r="E340" s="9">
        <v>4.8197547458648806</v>
      </c>
      <c r="F340" s="9">
        <v>6.0348293711917087</v>
      </c>
      <c r="G340" s="9">
        <v>9.2652655052369592</v>
      </c>
      <c r="H340" s="9">
        <v>37.980772203868582</v>
      </c>
      <c r="I340" s="9">
        <v>5004.8385559435401</v>
      </c>
      <c r="J340" s="9">
        <v>2433.0081650765865</v>
      </c>
      <c r="K340" s="9">
        <v>996.2456831929187</v>
      </c>
      <c r="L340" s="9">
        <v>2317.3381964773853</v>
      </c>
      <c r="M340" s="9">
        <v>1.6835286023149982</v>
      </c>
      <c r="N340" s="9">
        <v>910.13509311955534</v>
      </c>
      <c r="O340" s="9">
        <v>19.332955791773724</v>
      </c>
      <c r="P340" s="9">
        <v>1.2645742092262746</v>
      </c>
      <c r="Q340" s="9">
        <v>19.332955791773724</v>
      </c>
      <c r="R340" s="9">
        <v>86.217496529344828</v>
      </c>
      <c r="S340" s="9">
        <v>36.821426689128842</v>
      </c>
      <c r="T340" s="9">
        <v>803.97326442453948</v>
      </c>
      <c r="U340" s="9">
        <v>1248.933629622217</v>
      </c>
      <c r="V340" s="9">
        <v>2803.4600992820456</v>
      </c>
      <c r="W340" s="9">
        <v>137490.48820485358</v>
      </c>
      <c r="X340" s="9">
        <v>138067.63531922671</v>
      </c>
      <c r="Y340" s="9">
        <v>577.1471143731186</v>
      </c>
      <c r="Z340" s="9">
        <v>233856.20366442678</v>
      </c>
      <c r="AA340" s="9">
        <v>234913.43464455404</v>
      </c>
      <c r="AB340" s="9">
        <v>1057.2309801273088</v>
      </c>
      <c r="AC340" s="9">
        <v>2.950598310723378</v>
      </c>
      <c r="AD340" s="9">
        <v>26.251597515810715</v>
      </c>
      <c r="AE340" s="9">
        <v>32.869703975090836</v>
      </c>
      <c r="AF340" s="9">
        <v>47.152480367068421</v>
      </c>
      <c r="AG340" s="9">
        <v>615.6683174247097</v>
      </c>
      <c r="AH340" s="9">
        <v>28819.847336599283</v>
      </c>
      <c r="AI340" s="9">
        <v>2930.8014573212099</v>
      </c>
      <c r="AJ340" s="9">
        <v>32475.541491513897</v>
      </c>
      <c r="AK340" s="9">
        <v>68711502.888292834</v>
      </c>
      <c r="AL340" s="9">
        <v>62000713.281365909</v>
      </c>
    </row>
    <row r="341" spans="1:38" x14ac:dyDescent="0.25">
      <c r="A341" s="9">
        <v>339</v>
      </c>
      <c r="B341" s="9">
        <v>73</v>
      </c>
      <c r="C341" s="9">
        <v>3.1474999999999997E-3</v>
      </c>
      <c r="D341" s="9">
        <v>0.53443221197757129</v>
      </c>
      <c r="E341" s="9">
        <v>4.7746258012401421</v>
      </c>
      <c r="F341" s="9">
        <v>5.9874352286892041</v>
      </c>
      <c r="G341" s="9">
        <v>9.2053377709579554</v>
      </c>
      <c r="H341" s="9">
        <v>37.785641197317766</v>
      </c>
      <c r="I341" s="9">
        <v>5004.9332677612656</v>
      </c>
      <c r="J341" s="9">
        <v>2425.3502718770078</v>
      </c>
      <c r="K341" s="9">
        <v>993.109999905069</v>
      </c>
      <c r="L341" s="9">
        <v>2307.5260112338051</v>
      </c>
      <c r="M341" s="9">
        <v>1.6762864030138844</v>
      </c>
      <c r="N341" s="9">
        <v>911.81137952256927</v>
      </c>
      <c r="O341" s="9">
        <v>19.254845623611104</v>
      </c>
      <c r="P341" s="9">
        <v>1.2594617313888976</v>
      </c>
      <c r="Q341" s="9">
        <v>19.254845623611104</v>
      </c>
      <c r="R341" s="9">
        <v>85.851874820198418</v>
      </c>
      <c r="S341" s="9">
        <v>36.665832904184704</v>
      </c>
      <c r="T341" s="9">
        <v>805.60325253366727</v>
      </c>
      <c r="U341" s="9">
        <v>1251.7735014093378</v>
      </c>
      <c r="V341" s="9">
        <v>2822.1801900203304</v>
      </c>
      <c r="W341" s="9">
        <v>137490.48820485358</v>
      </c>
      <c r="X341" s="9">
        <v>138067.63531922671</v>
      </c>
      <c r="Y341" s="9">
        <v>577.1471143731186</v>
      </c>
      <c r="Z341" s="9">
        <v>233856.20366442678</v>
      </c>
      <c r="AA341" s="9">
        <v>234913.43464455404</v>
      </c>
      <c r="AB341" s="9">
        <v>1057.2309801273088</v>
      </c>
      <c r="AC341" s="9">
        <v>2.9108741145711714</v>
      </c>
      <c r="AD341" s="9">
        <v>26.005795197421307</v>
      </c>
      <c r="AE341" s="9">
        <v>32.611563878927193</v>
      </c>
      <c r="AF341" s="9">
        <v>46.847498139366856</v>
      </c>
      <c r="AG341" s="9">
        <v>612.50524380852096</v>
      </c>
      <c r="AH341" s="9">
        <v>28698.689305712567</v>
      </c>
      <c r="AI341" s="9">
        <v>2918.4169700085813</v>
      </c>
      <c r="AJ341" s="9">
        <v>32337.987250859955</v>
      </c>
      <c r="AK341" s="9">
        <v>68743840.875543699</v>
      </c>
      <c r="AL341" s="9">
        <v>62008611.815382034</v>
      </c>
    </row>
    <row r="342" spans="1:38" x14ac:dyDescent="0.25">
      <c r="A342" s="9">
        <v>340</v>
      </c>
      <c r="B342" s="9">
        <v>73</v>
      </c>
      <c r="C342" s="9">
        <v>3.1474999999999997E-3</v>
      </c>
      <c r="D342" s="9">
        <v>0.52723709838264421</v>
      </c>
      <c r="E342" s="9">
        <v>4.7298965032941487</v>
      </c>
      <c r="F342" s="9">
        <v>5.9403596208846716</v>
      </c>
      <c r="G342" s="9">
        <v>9.1457090554712668</v>
      </c>
      <c r="H342" s="9">
        <v>37.591386698819392</v>
      </c>
      <c r="I342" s="9">
        <v>5005.0273669829849</v>
      </c>
      <c r="J342" s="9">
        <v>2417.7164818962751</v>
      </c>
      <c r="K342" s="9">
        <v>989.98418618036783</v>
      </c>
      <c r="L342" s="9">
        <v>2297.7553732185925</v>
      </c>
      <c r="M342" s="9">
        <v>1.6690750351301649</v>
      </c>
      <c r="N342" s="9">
        <v>913.48045455769943</v>
      </c>
      <c r="O342" s="9">
        <v>19.17661579863482</v>
      </c>
      <c r="P342" s="9">
        <v>1.254369685365182</v>
      </c>
      <c r="Q342" s="9">
        <v>19.17661579863482</v>
      </c>
      <c r="R342" s="9">
        <v>85.48805254076062</v>
      </c>
      <c r="S342" s="9">
        <v>36.510860962299184</v>
      </c>
      <c r="T342" s="9">
        <v>807.22631727454041</v>
      </c>
      <c r="U342" s="9">
        <v>1254.6014196531028</v>
      </c>
      <c r="V342" s="9">
        <v>2840.8324207765672</v>
      </c>
      <c r="W342" s="9">
        <v>137490.48820485358</v>
      </c>
      <c r="X342" s="9">
        <v>138067.63531922671</v>
      </c>
      <c r="Y342" s="9">
        <v>577.1471143731186</v>
      </c>
      <c r="Z342" s="9">
        <v>233856.20366442678</v>
      </c>
      <c r="AA342" s="9">
        <v>234913.43464455404</v>
      </c>
      <c r="AB342" s="9">
        <v>1057.2309801273088</v>
      </c>
      <c r="AC342" s="9">
        <v>2.8716847291908021</v>
      </c>
      <c r="AD342" s="9">
        <v>25.762169621275461</v>
      </c>
      <c r="AE342" s="9">
        <v>32.355158735085176</v>
      </c>
      <c r="AF342" s="9">
        <v>46.54403766813585</v>
      </c>
      <c r="AG342" s="9">
        <v>609.35637838786238</v>
      </c>
      <c r="AH342" s="9">
        <v>28577.98992561633</v>
      </c>
      <c r="AI342" s="9">
        <v>2906.0819782942035</v>
      </c>
      <c r="AJ342" s="9">
        <v>32200.961333052084</v>
      </c>
      <c r="AK342" s="9">
        <v>68776041.83687675</v>
      </c>
      <c r="AL342" s="9">
        <v>62016444.245773181</v>
      </c>
    </row>
    <row r="343" spans="1:38" x14ac:dyDescent="0.25">
      <c r="A343" s="9">
        <v>341</v>
      </c>
      <c r="B343" s="9">
        <v>73</v>
      </c>
      <c r="C343" s="9">
        <v>3.1474999999999997E-3</v>
      </c>
      <c r="D343" s="9">
        <v>0.52013885331188847</v>
      </c>
      <c r="E343" s="9">
        <v>4.6855636595305716</v>
      </c>
      <c r="F343" s="9">
        <v>5.8936011174216221</v>
      </c>
      <c r="G343" s="9">
        <v>9.0863787362422084</v>
      </c>
      <c r="H343" s="9">
        <v>37.3980050761174</v>
      </c>
      <c r="I343" s="9">
        <v>5005.1208566653413</v>
      </c>
      <c r="J343" s="9">
        <v>2410.1067192695068</v>
      </c>
      <c r="K343" s="9">
        <v>986.86821095436517</v>
      </c>
      <c r="L343" s="9">
        <v>2288.0261065104678</v>
      </c>
      <c r="M343" s="9">
        <v>1.6618943683574892</v>
      </c>
      <c r="N343" s="9">
        <v>915.14234892605691</v>
      </c>
      <c r="O343" s="9">
        <v>19.098279731087647</v>
      </c>
      <c r="P343" s="9">
        <v>1.2492979899123531</v>
      </c>
      <c r="Q343" s="9">
        <v>19.098279731087647</v>
      </c>
      <c r="R343" s="9">
        <v>85.126016124781032</v>
      </c>
      <c r="S343" s="9">
        <v>36.356508917730338</v>
      </c>
      <c r="T343" s="9">
        <v>808.84248685645991</v>
      </c>
      <c r="U343" s="9">
        <v>1257.4174282888134</v>
      </c>
      <c r="V343" s="9">
        <v>2859.4170427638255</v>
      </c>
      <c r="W343" s="9">
        <v>137490.48820485358</v>
      </c>
      <c r="X343" s="9">
        <v>138067.63531922671</v>
      </c>
      <c r="Y343" s="9">
        <v>577.1471143731186</v>
      </c>
      <c r="Z343" s="9">
        <v>233856.20366442678</v>
      </c>
      <c r="AA343" s="9">
        <v>234913.43464455404</v>
      </c>
      <c r="AB343" s="9">
        <v>1057.2309801273088</v>
      </c>
      <c r="AC343" s="9">
        <v>2.8330229543720855</v>
      </c>
      <c r="AD343" s="9">
        <v>25.520703398909845</v>
      </c>
      <c r="AE343" s="9">
        <v>32.100480752889766</v>
      </c>
      <c r="AF343" s="9">
        <v>46.242095785192639</v>
      </c>
      <c r="AG343" s="9">
        <v>606.22166228386311</v>
      </c>
      <c r="AH343" s="9">
        <v>28457.749154805904</v>
      </c>
      <c r="AI343" s="9">
        <v>2893.7963273067462</v>
      </c>
      <c r="AJ343" s="9">
        <v>32064.463447287879</v>
      </c>
      <c r="AK343" s="9">
        <v>68808106.300324038</v>
      </c>
      <c r="AL343" s="9">
        <v>62024211.113028876</v>
      </c>
    </row>
    <row r="344" spans="1:38" x14ac:dyDescent="0.25">
      <c r="A344" s="9">
        <v>342</v>
      </c>
      <c r="B344" s="9">
        <v>73</v>
      </c>
      <c r="C344" s="9">
        <v>3.1474999999999997E-3</v>
      </c>
      <c r="D344" s="9">
        <v>0.51313617261480649</v>
      </c>
      <c r="E344" s="9">
        <v>4.6416240974102996</v>
      </c>
      <c r="F344" s="9">
        <v>5.8471582840564951</v>
      </c>
      <c r="G344" s="9">
        <v>9.0273461839028197</v>
      </c>
      <c r="H344" s="9">
        <v>37.205492718310886</v>
      </c>
      <c r="I344" s="9">
        <v>5005.2137398586146</v>
      </c>
      <c r="J344" s="9">
        <v>2402.5209083706059</v>
      </c>
      <c r="K344" s="9">
        <v>983.76204326038635</v>
      </c>
      <c r="L344" s="9">
        <v>2278.3380359330458</v>
      </c>
      <c r="M344" s="9">
        <v>1.6547442729615085</v>
      </c>
      <c r="N344" s="9">
        <v>916.79709319901838</v>
      </c>
      <c r="O344" s="9">
        <v>19.019850442870471</v>
      </c>
      <c r="P344" s="9">
        <v>1.2442465641295304</v>
      </c>
      <c r="Q344" s="9">
        <v>19.019850442870471</v>
      </c>
      <c r="R344" s="9">
        <v>84.765752180813877</v>
      </c>
      <c r="S344" s="9">
        <v>36.202774840467541</v>
      </c>
      <c r="T344" s="9">
        <v>810.4517894101034</v>
      </c>
      <c r="U344" s="9">
        <v>1260.2215712526149</v>
      </c>
      <c r="V344" s="9">
        <v>2877.9343062661974</v>
      </c>
      <c r="W344" s="9">
        <v>137490.48820485358</v>
      </c>
      <c r="X344" s="9">
        <v>138067.63531922671</v>
      </c>
      <c r="Y344" s="9">
        <v>577.1471143731186</v>
      </c>
      <c r="Z344" s="9">
        <v>233856.20366442678</v>
      </c>
      <c r="AA344" s="9">
        <v>234913.43464455404</v>
      </c>
      <c r="AB344" s="9">
        <v>1057.2309801273088</v>
      </c>
      <c r="AC344" s="9">
        <v>2.794881686841979</v>
      </c>
      <c r="AD344" s="9">
        <v>25.281379250561429</v>
      </c>
      <c r="AE344" s="9">
        <v>31.847522120494375</v>
      </c>
      <c r="AF344" s="9">
        <v>45.941669287578762</v>
      </c>
      <c r="AG344" s="9">
        <v>603.10103696381952</v>
      </c>
      <c r="AH344" s="9">
        <v>28337.966892379522</v>
      </c>
      <c r="AI344" s="9">
        <v>2881.5598634270141</v>
      </c>
      <c r="AJ344" s="9">
        <v>31928.493245115831</v>
      </c>
      <c r="AK344" s="9">
        <v>68840034.793569148</v>
      </c>
      <c r="AL344" s="9">
        <v>62031912.953676611</v>
      </c>
    </row>
    <row r="345" spans="1:38" x14ac:dyDescent="0.25">
      <c r="A345" s="9">
        <v>343</v>
      </c>
      <c r="B345" s="9">
        <v>73</v>
      </c>
      <c r="C345" s="9">
        <v>3.1474999999999997E-3</v>
      </c>
      <c r="D345" s="9">
        <v>0.50622776969880745</v>
      </c>
      <c r="E345" s="9">
        <v>4.5980746643250257</v>
      </c>
      <c r="F345" s="9">
        <v>5.8010296828592711</v>
      </c>
      <c r="G345" s="9">
        <v>8.9686107623020419</v>
      </c>
      <c r="H345" s="9">
        <v>37.01384603562127</v>
      </c>
      <c r="I345" s="9">
        <v>5005.3060196066508</v>
      </c>
      <c r="J345" s="9">
        <v>2394.9589738115092</v>
      </c>
      <c r="K345" s="9">
        <v>980.66565222922429</v>
      </c>
      <c r="L345" s="9">
        <v>2268.6909870516815</v>
      </c>
      <c r="M345" s="9">
        <v>1.6476246197769764</v>
      </c>
      <c r="N345" s="9">
        <v>918.44471781879531</v>
      </c>
      <c r="O345" s="9">
        <v>18.941340573543989</v>
      </c>
      <c r="P345" s="9">
        <v>1.2392153274560136</v>
      </c>
      <c r="Q345" s="9">
        <v>18.941340573543989</v>
      </c>
      <c r="R345" s="9">
        <v>84.407247489263369</v>
      </c>
      <c r="S345" s="9">
        <v>36.049656814531893</v>
      </c>
      <c r="T345" s="9">
        <v>812.05425298658804</v>
      </c>
      <c r="U345" s="9">
        <v>1263.0138924774183</v>
      </c>
      <c r="V345" s="9">
        <v>2896.3844606417174</v>
      </c>
      <c r="W345" s="9">
        <v>137490.48820485358</v>
      </c>
      <c r="X345" s="9">
        <v>138067.63531922671</v>
      </c>
      <c r="Y345" s="9">
        <v>577.1471143731186</v>
      </c>
      <c r="Z345" s="9">
        <v>233856.20366442678</v>
      </c>
      <c r="AA345" s="9">
        <v>234913.43464455404</v>
      </c>
      <c r="AB345" s="9">
        <v>1057.2309801273088</v>
      </c>
      <c r="AC345" s="9">
        <v>2.7572539189595044</v>
      </c>
      <c r="AD345" s="9">
        <v>25.044180005023637</v>
      </c>
      <c r="AE345" s="9">
        <v>31.596275005973496</v>
      </c>
      <c r="AF345" s="9">
        <v>45.642754937815475</v>
      </c>
      <c r="AG345" s="9">
        <v>599.99444423742079</v>
      </c>
      <c r="AH345" s="9">
        <v>28218.642979962468</v>
      </c>
      <c r="AI345" s="9">
        <v>2869.3724341526658</v>
      </c>
      <c r="AJ345" s="9">
        <v>31793.050322220326</v>
      </c>
      <c r="AK345" s="9">
        <v>68871827.843891367</v>
      </c>
      <c r="AL345" s="9">
        <v>62039550.300294898</v>
      </c>
    </row>
    <row r="346" spans="1:38" x14ac:dyDescent="0.25">
      <c r="A346" s="9">
        <v>344</v>
      </c>
      <c r="B346" s="9">
        <v>73</v>
      </c>
      <c r="C346" s="9">
        <v>3.1474999999999997E-3</v>
      </c>
      <c r="D346" s="9">
        <v>0.49941237529282362</v>
      </c>
      <c r="E346" s="9">
        <v>4.5549122275686411</v>
      </c>
      <c r="F346" s="9">
        <v>5.755213872411133</v>
      </c>
      <c r="G346" s="9">
        <v>8.9101718285573401</v>
      </c>
      <c r="H346" s="9">
        <v>36.823061459161771</v>
      </c>
      <c r="I346" s="9">
        <v>5005.3976989467938</v>
      </c>
      <c r="J346" s="9">
        <v>2387.4208404414376</v>
      </c>
      <c r="K346" s="9">
        <v>977.57900708883278</v>
      </c>
      <c r="L346" s="9">
        <v>2259.0847861703292</v>
      </c>
      <c r="M346" s="9">
        <v>1.6405352802048692</v>
      </c>
      <c r="N346" s="9">
        <v>920.08525309900017</v>
      </c>
      <c r="O346" s="9">
        <v>18.862762390330424</v>
      </c>
      <c r="P346" s="9">
        <v>1.2342041996695767</v>
      </c>
      <c r="Q346" s="9">
        <v>18.862762390330424</v>
      </c>
      <c r="R346" s="9">
        <v>84.050488999483008</v>
      </c>
      <c r="S346" s="9">
        <v>35.897152936398712</v>
      </c>
      <c r="T346" s="9">
        <v>813.64990555657369</v>
      </c>
      <c r="U346" s="9">
        <v>1265.7944358888819</v>
      </c>
      <c r="V346" s="9">
        <v>2914.7677543252867</v>
      </c>
      <c r="W346" s="9">
        <v>137490.48820485358</v>
      </c>
      <c r="X346" s="9">
        <v>138067.63531922671</v>
      </c>
      <c r="Y346" s="9">
        <v>577.1471143731186</v>
      </c>
      <c r="Z346" s="9">
        <v>233856.20366442678</v>
      </c>
      <c r="AA346" s="9">
        <v>234913.43464455404</v>
      </c>
      <c r="AB346" s="9">
        <v>1057.2309801273088</v>
      </c>
      <c r="AC346" s="9">
        <v>2.720132737428246</v>
      </c>
      <c r="AD346" s="9">
        <v>24.809088599490529</v>
      </c>
      <c r="AE346" s="9">
        <v>31.346731558399302</v>
      </c>
      <c r="AF346" s="9">
        <v>45.345349464166397</v>
      </c>
      <c r="AG346" s="9">
        <v>596.90182625301236</v>
      </c>
      <c r="AH346" s="9">
        <v>28099.777203645961</v>
      </c>
      <c r="AI346" s="9">
        <v>2857.2338879726553</v>
      </c>
      <c r="AJ346" s="9">
        <v>31658.134220231113</v>
      </c>
      <c r="AK346" s="9">
        <v>68903485.978111595</v>
      </c>
      <c r="AL346" s="9">
        <v>62047123.681526862</v>
      </c>
    </row>
    <row r="347" spans="1:38" x14ac:dyDescent="0.25">
      <c r="A347" s="9">
        <v>345</v>
      </c>
      <c r="B347" s="9">
        <v>73</v>
      </c>
      <c r="C347" s="9">
        <v>3.1474999999999997E-3</v>
      </c>
      <c r="D347" s="9">
        <v>0.49268873721410872</v>
      </c>
      <c r="E347" s="9">
        <v>4.5121336743064884</v>
      </c>
      <c r="F347" s="9">
        <v>5.7097094079991999</v>
      </c>
      <c r="G347" s="9">
        <v>8.8520287331077352</v>
      </c>
      <c r="H347" s="9">
        <v>36.633135440709168</v>
      </c>
      <c r="I347" s="9">
        <v>5005.4887809098145</v>
      </c>
      <c r="J347" s="9">
        <v>2379.9064333461483</v>
      </c>
      <c r="K347" s="9">
        <v>974.50207716402065</v>
      </c>
      <c r="L347" s="9">
        <v>2249.5192603284158</v>
      </c>
      <c r="M347" s="9">
        <v>1.6334761262095201</v>
      </c>
      <c r="N347" s="9">
        <v>921.7187292252097</v>
      </c>
      <c r="O347" s="9">
        <v>18.784127798115229</v>
      </c>
      <c r="P347" s="9">
        <v>1.2292131008847713</v>
      </c>
      <c r="Q347" s="9">
        <v>18.784127798115229</v>
      </c>
      <c r="R347" s="9">
        <v>83.695463826927934</v>
      </c>
      <c r="S347" s="9">
        <v>35.74526131353646</v>
      </c>
      <c r="T347" s="9">
        <v>815.23877500940569</v>
      </c>
      <c r="U347" s="9">
        <v>1268.5632454014583</v>
      </c>
      <c r="V347" s="9">
        <v>2933.0844348316004</v>
      </c>
      <c r="W347" s="9">
        <v>137490.48820485358</v>
      </c>
      <c r="X347" s="9">
        <v>138067.63531922671</v>
      </c>
      <c r="Y347" s="9">
        <v>577.1471143731186</v>
      </c>
      <c r="Z347" s="9">
        <v>233856.20366442678</v>
      </c>
      <c r="AA347" s="9">
        <v>234913.43464455404</v>
      </c>
      <c r="AB347" s="9">
        <v>1057.2309801273088</v>
      </c>
      <c r="AC347" s="9">
        <v>2.6835113220261788</v>
      </c>
      <c r="AD347" s="9">
        <v>24.57608807938934</v>
      </c>
      <c r="AE347" s="9">
        <v>31.098883908902305</v>
      </c>
      <c r="AF347" s="9">
        <v>45.049449560907448</v>
      </c>
      <c r="AG347" s="9">
        <v>593.82312549389565</v>
      </c>
      <c r="AH347" s="9">
        <v>27981.369295940538</v>
      </c>
      <c r="AI347" s="9">
        <v>2845.1440742509344</v>
      </c>
      <c r="AJ347" s="9">
        <v>31523.744428556594</v>
      </c>
      <c r="AK347" s="9">
        <v>68935009.722540155</v>
      </c>
      <c r="AL347" s="9">
        <v>62054633.622094393</v>
      </c>
    </row>
    <row r="348" spans="1:38" x14ac:dyDescent="0.25">
      <c r="A348" s="9">
        <v>346</v>
      </c>
      <c r="B348" s="9">
        <v>73</v>
      </c>
      <c r="C348" s="9">
        <v>3.1474999999999997E-3</v>
      </c>
      <c r="D348" s="9">
        <v>0.48605562013817644</v>
      </c>
      <c r="E348" s="9">
        <v>4.4697359115425384</v>
      </c>
      <c r="F348" s="9">
        <v>5.664514841808356</v>
      </c>
      <c r="G348" s="9">
        <v>8.7941808197681866</v>
      </c>
      <c r="H348" s="9">
        <v>36.444064452477839</v>
      </c>
      <c r="I348" s="9">
        <v>5005.5792685198458</v>
      </c>
      <c r="J348" s="9">
        <v>2372.4156778471915</v>
      </c>
      <c r="K348" s="9">
        <v>971.43483187614686</v>
      </c>
      <c r="L348" s="9">
        <v>2239.9942372977262</v>
      </c>
      <c r="M348" s="9">
        <v>1.6264470303157728</v>
      </c>
      <c r="N348" s="9">
        <v>923.34517625552542</v>
      </c>
      <c r="O348" s="9">
        <v>18.705448350448762</v>
      </c>
      <c r="P348" s="9">
        <v>1.2242419515512395</v>
      </c>
      <c r="Q348" s="9">
        <v>18.705448350448762</v>
      </c>
      <c r="R348" s="9">
        <v>83.342159250359217</v>
      </c>
      <c r="S348" s="9">
        <v>35.593980063056847</v>
      </c>
      <c r="T348" s="9">
        <v>816.82088915229804</v>
      </c>
      <c r="U348" s="9">
        <v>1271.3203649145139</v>
      </c>
      <c r="V348" s="9">
        <v>2951.3347487580781</v>
      </c>
      <c r="W348" s="9">
        <v>137490.48820485358</v>
      </c>
      <c r="X348" s="9">
        <v>138067.63531922671</v>
      </c>
      <c r="Y348" s="9">
        <v>577.1471143731186</v>
      </c>
      <c r="Z348" s="9">
        <v>233856.20366442678</v>
      </c>
      <c r="AA348" s="9">
        <v>234913.43464455404</v>
      </c>
      <c r="AB348" s="9">
        <v>1057.2309801273088</v>
      </c>
      <c r="AC348" s="9">
        <v>2.6473829443526009</v>
      </c>
      <c r="AD348" s="9">
        <v>24.345161598201692</v>
      </c>
      <c r="AE348" s="9">
        <v>30.852724171716176</v>
      </c>
      <c r="AF348" s="9">
        <v>44.755051888603596</v>
      </c>
      <c r="AG348" s="9">
        <v>590.75828477466575</v>
      </c>
      <c r="AH348" s="9">
        <v>27863.418938016614</v>
      </c>
      <c r="AI348" s="9">
        <v>2833.1028431190098</v>
      </c>
      <c r="AJ348" s="9">
        <v>31389.880386513163</v>
      </c>
      <c r="AK348" s="9">
        <v>68966399.602926672</v>
      </c>
      <c r="AL348" s="9">
        <v>62062080.64281287</v>
      </c>
    </row>
    <row r="349" spans="1:38" x14ac:dyDescent="0.25">
      <c r="A349" s="9">
        <v>347</v>
      </c>
      <c r="B349" s="9">
        <v>73</v>
      </c>
      <c r="C349" s="9">
        <v>3.1474999999999997E-3</v>
      </c>
      <c r="D349" s="9">
        <v>0.47951180537183585</v>
      </c>
      <c r="E349" s="9">
        <v>4.4277158660845322</v>
      </c>
      <c r="F349" s="9">
        <v>5.6196287231102025</v>
      </c>
      <c r="G349" s="9">
        <v>8.7366274257852794</v>
      </c>
      <c r="H349" s="9">
        <v>36.255844986896086</v>
      </c>
      <c r="I349" s="9">
        <v>5005.6691647943107</v>
      </c>
      <c r="J349" s="9">
        <v>2364.9484995011676</v>
      </c>
      <c r="K349" s="9">
        <v>968.37724074281664</v>
      </c>
      <c r="L349" s="9">
        <v>2230.5095455793016</v>
      </c>
      <c r="M349" s="9">
        <v>1.6194478656061482</v>
      </c>
      <c r="N349" s="9">
        <v>924.96462412113158</v>
      </c>
      <c r="O349" s="9">
        <v>18.626735256547963</v>
      </c>
      <c r="P349" s="9">
        <v>1.2192906724520347</v>
      </c>
      <c r="Q349" s="9">
        <v>18.626735256547963</v>
      </c>
      <c r="R349" s="9">
        <v>82.990562709099152</v>
      </c>
      <c r="S349" s="9">
        <v>35.443307310476811</v>
      </c>
      <c r="T349" s="9">
        <v>818.39627570956316</v>
      </c>
      <c r="U349" s="9">
        <v>1274.0658383085417</v>
      </c>
      <c r="V349" s="9">
        <v>2969.5189417878041</v>
      </c>
      <c r="W349" s="9">
        <v>137490.48820485358</v>
      </c>
      <c r="X349" s="9">
        <v>138067.63531922671</v>
      </c>
      <c r="Y349" s="9">
        <v>577.1471143731186</v>
      </c>
      <c r="Z349" s="9">
        <v>233856.20366442678</v>
      </c>
      <c r="AA349" s="9">
        <v>234913.43464455404</v>
      </c>
      <c r="AB349" s="9">
        <v>1057.2309801273088</v>
      </c>
      <c r="AC349" s="9">
        <v>2.6117409665919324</v>
      </c>
      <c r="AD349" s="9">
        <v>24.116292417273751</v>
      </c>
      <c r="AE349" s="9">
        <v>30.6082444452069</v>
      </c>
      <c r="AF349" s="9">
        <v>44.462153074392248</v>
      </c>
      <c r="AG349" s="9">
        <v>587.70724723758553</v>
      </c>
      <c r="AH349" s="9">
        <v>27745.925760866841</v>
      </c>
      <c r="AI349" s="9">
        <v>2821.1100453774015</v>
      </c>
      <c r="AJ349" s="9">
        <v>31256.541484385292</v>
      </c>
      <c r="AK349" s="9">
        <v>68997656.144411057</v>
      </c>
      <c r="AL349" s="9">
        <v>62069465.260606229</v>
      </c>
    </row>
    <row r="350" spans="1:38" x14ac:dyDescent="0.25">
      <c r="A350" s="9">
        <v>348</v>
      </c>
      <c r="B350" s="9">
        <v>74</v>
      </c>
      <c r="C350" s="9">
        <v>3.1474999999999997E-3</v>
      </c>
      <c r="D350" s="9">
        <v>0.47305609062928267</v>
      </c>
      <c r="E350" s="9">
        <v>4.3860704845071563</v>
      </c>
      <c r="F350" s="9">
        <v>5.575049598449155</v>
      </c>
      <c r="G350" s="9">
        <v>8.67936788189418</v>
      </c>
      <c r="H350" s="9">
        <v>36.068473556384717</v>
      </c>
      <c r="I350" s="9">
        <v>5005.758472743858</v>
      </c>
      <c r="J350" s="9">
        <v>2357.5048240989877</v>
      </c>
      <c r="K350" s="9">
        <v>965.3292733775786</v>
      </c>
      <c r="L350" s="9">
        <v>2221.0650144003534</v>
      </c>
      <c r="M350" s="9">
        <v>1.6124785057180302</v>
      </c>
      <c r="N350" s="9">
        <v>926.57710262684964</v>
      </c>
      <c r="O350" s="9">
        <v>18.553228209976496</v>
      </c>
      <c r="P350" s="9">
        <v>1.2091303660235035</v>
      </c>
      <c r="Q350" s="9">
        <v>18.553228209976496</v>
      </c>
      <c r="R350" s="9">
        <v>82.635432981658212</v>
      </c>
      <c r="S350" s="9">
        <v>35.293241188563904</v>
      </c>
      <c r="T350" s="9">
        <v>819.96496232186462</v>
      </c>
      <c r="U350" s="9">
        <v>1276.7997094414075</v>
      </c>
      <c r="V350" s="9">
        <v>2987.6372586924604</v>
      </c>
      <c r="W350" s="9">
        <v>138946.40631242865</v>
      </c>
      <c r="X350" s="9">
        <v>139530.74095408959</v>
      </c>
      <c r="Y350" s="9">
        <v>584.33464166093029</v>
      </c>
      <c r="Z350" s="9">
        <v>239563.59066114135</v>
      </c>
      <c r="AA350" s="9">
        <v>240648.99767642302</v>
      </c>
      <c r="AB350" s="9">
        <v>1085.4070152817262</v>
      </c>
      <c r="AC350" s="9">
        <v>2.5765788402941596</v>
      </c>
      <c r="AD350" s="9">
        <v>23.889463905615642</v>
      </c>
      <c r="AE350" s="9">
        <v>30.365436812886397</v>
      </c>
      <c r="AF350" s="9">
        <v>44.170749712273128</v>
      </c>
      <c r="AG350" s="9">
        <v>584.66995634899627</v>
      </c>
      <c r="AH350" s="9">
        <v>27628.889347301247</v>
      </c>
      <c r="AI350" s="9">
        <v>2809.1655324037438</v>
      </c>
      <c r="AJ350" s="9">
        <v>31123.727065325056</v>
      </c>
      <c r="AK350" s="9">
        <v>69028779.871476382</v>
      </c>
      <c r="AL350" s="9">
        <v>62076787.988522545</v>
      </c>
    </row>
    <row r="351" spans="1:38" x14ac:dyDescent="0.25">
      <c r="A351" s="9">
        <v>349</v>
      </c>
      <c r="B351" s="9">
        <v>74</v>
      </c>
      <c r="C351" s="9">
        <v>3.4158333333333332E-3</v>
      </c>
      <c r="D351" s="9">
        <v>0.46656035309355282</v>
      </c>
      <c r="E351" s="9">
        <v>4.343619804199947</v>
      </c>
      <c r="F351" s="9">
        <v>5.5292800401834628</v>
      </c>
      <c r="G351" s="9">
        <v>8.6200725486618133</v>
      </c>
      <c r="H351" s="9">
        <v>35.872268319400312</v>
      </c>
      <c r="I351" s="9">
        <v>5005.8471953722965</v>
      </c>
      <c r="J351" s="9">
        <v>2349.4519805373361</v>
      </c>
      <c r="K351" s="9">
        <v>962.03186946793301</v>
      </c>
      <c r="L351" s="9">
        <v>2211.0644879323227</v>
      </c>
      <c r="M351" s="9">
        <v>1.6055388248408671</v>
      </c>
      <c r="N351" s="9">
        <v>928.18264145169053</v>
      </c>
      <c r="O351" s="9">
        <v>18.474575481686983</v>
      </c>
      <c r="P351" s="9">
        <v>1.2042397403130176</v>
      </c>
      <c r="Q351" s="9">
        <v>18.474575481686983</v>
      </c>
      <c r="R351" s="9">
        <v>82.259932503361739</v>
      </c>
      <c r="S351" s="9">
        <v>35.134309483226602</v>
      </c>
      <c r="T351" s="9">
        <v>821.5269765455115</v>
      </c>
      <c r="U351" s="9">
        <v>1279.5220574492882</v>
      </c>
      <c r="V351" s="9">
        <v>3007.2289860821529</v>
      </c>
      <c r="W351" s="9">
        <v>138946.40631242865</v>
      </c>
      <c r="X351" s="9">
        <v>139530.74095408959</v>
      </c>
      <c r="Y351" s="9">
        <v>584.33464166093029</v>
      </c>
      <c r="Z351" s="9">
        <v>239563.59066114135</v>
      </c>
      <c r="AA351" s="9">
        <v>240648.99767642302</v>
      </c>
      <c r="AB351" s="9">
        <v>1085.4070152817262</v>
      </c>
      <c r="AC351" s="9">
        <v>2.5411987231828843</v>
      </c>
      <c r="AD351" s="9">
        <v>23.658249200209042</v>
      </c>
      <c r="AE351" s="9">
        <v>30.116145285532593</v>
      </c>
      <c r="AF351" s="9">
        <v>43.868985878898073</v>
      </c>
      <c r="AG351" s="9">
        <v>581.48946945747912</v>
      </c>
      <c r="AH351" s="9">
        <v>27504.885841930987</v>
      </c>
      <c r="AI351" s="9">
        <v>2796.5153633174214</v>
      </c>
      <c r="AJ351" s="9">
        <v>30983.075253793711</v>
      </c>
      <c r="AK351" s="9">
        <v>69059762.946730182</v>
      </c>
      <c r="AL351" s="9">
        <v>62084047.376712695</v>
      </c>
    </row>
    <row r="352" spans="1:38" x14ac:dyDescent="0.25">
      <c r="A352" s="9">
        <v>350</v>
      </c>
      <c r="B352" s="9">
        <v>74</v>
      </c>
      <c r="C352" s="9">
        <v>3.4158333333333332E-3</v>
      </c>
      <c r="D352" s="9">
        <v>0.46015381133601696</v>
      </c>
      <c r="E352" s="9">
        <v>4.3015602061225353</v>
      </c>
      <c r="F352" s="9">
        <v>5.4838387231696331</v>
      </c>
      <c r="G352" s="9">
        <v>8.5611009045813482</v>
      </c>
      <c r="H352" s="9">
        <v>35.677006901211456</v>
      </c>
      <c r="I352" s="9">
        <v>5005.935311869287</v>
      </c>
      <c r="J352" s="9">
        <v>2341.4266441471505</v>
      </c>
      <c r="K352" s="9">
        <v>958.74572894047549</v>
      </c>
      <c r="L352" s="9">
        <v>2201.1089896507651</v>
      </c>
      <c r="M352" s="9">
        <v>1.5981978781287223</v>
      </c>
      <c r="N352" s="9">
        <v>929.78083932981929</v>
      </c>
      <c r="O352" s="9">
        <v>18.395796630573187</v>
      </c>
      <c r="P352" s="9">
        <v>1.1990595764268113</v>
      </c>
      <c r="Q352" s="9">
        <v>18.395796630573187</v>
      </c>
      <c r="R352" s="9">
        <v>81.886430297671353</v>
      </c>
      <c r="S352" s="9">
        <v>34.97606323725612</v>
      </c>
      <c r="T352" s="9">
        <v>823.08192650472336</v>
      </c>
      <c r="U352" s="9">
        <v>1282.2321942427902</v>
      </c>
      <c r="V352" s="9">
        <v>3026.7444923092999</v>
      </c>
      <c r="W352" s="9">
        <v>138946.40631242865</v>
      </c>
      <c r="X352" s="9">
        <v>139530.74095408959</v>
      </c>
      <c r="Y352" s="9">
        <v>584.33464166093029</v>
      </c>
      <c r="Z352" s="9">
        <v>239563.59066114135</v>
      </c>
      <c r="AA352" s="9">
        <v>240648.99767642302</v>
      </c>
      <c r="AB352" s="9">
        <v>1085.4070152817262</v>
      </c>
      <c r="AC352" s="9">
        <v>2.5063044257435054</v>
      </c>
      <c r="AD352" s="9">
        <v>23.429164589347408</v>
      </c>
      <c r="AE352" s="9">
        <v>29.868641578863933</v>
      </c>
      <c r="AF352" s="9">
        <v>43.56886935356524</v>
      </c>
      <c r="AG352" s="9">
        <v>578.32428186863774</v>
      </c>
      <c r="AH352" s="9">
        <v>27381.393514577652</v>
      </c>
      <c r="AI352" s="9">
        <v>2783.919753369401</v>
      </c>
      <c r="AJ352" s="9">
        <v>30843.010529763211</v>
      </c>
      <c r="AK352" s="9">
        <v>69090605.957259938</v>
      </c>
      <c r="AL352" s="9">
        <v>62091243.96172455</v>
      </c>
    </row>
    <row r="353" spans="1:38" x14ac:dyDescent="0.25">
      <c r="A353" s="9">
        <v>351</v>
      </c>
      <c r="B353" s="9">
        <v>74</v>
      </c>
      <c r="C353" s="9">
        <v>3.4158333333333332E-3</v>
      </c>
      <c r="D353" s="9">
        <v>0.45383524057091307</v>
      </c>
      <c r="E353" s="9">
        <v>4.2598883901742619</v>
      </c>
      <c r="F353" s="9">
        <v>5.4387239324036267</v>
      </c>
      <c r="G353" s="9">
        <v>8.5024520132780665</v>
      </c>
      <c r="H353" s="9">
        <v>35.482685154821766</v>
      </c>
      <c r="I353" s="9">
        <v>5006.0228255436596</v>
      </c>
      <c r="J353" s="9">
        <v>2333.4287209685176</v>
      </c>
      <c r="K353" s="9">
        <v>955.47081332136963</v>
      </c>
      <c r="L353" s="9">
        <v>2191.1983168125971</v>
      </c>
      <c r="M353" s="9">
        <v>1.5908901844896524</v>
      </c>
      <c r="N353" s="9">
        <v>931.37172951430898</v>
      </c>
      <c r="O353" s="9">
        <v>18.316906121181418</v>
      </c>
      <c r="P353" s="9">
        <v>1.1939014648185788</v>
      </c>
      <c r="Q353" s="9">
        <v>18.316906121181418</v>
      </c>
      <c r="R353" s="9">
        <v>81.514910215920352</v>
      </c>
      <c r="S353" s="9">
        <v>34.818499894468829</v>
      </c>
      <c r="T353" s="9">
        <v>824.62984306723752</v>
      </c>
      <c r="U353" s="9">
        <v>1284.930168493144</v>
      </c>
      <c r="V353" s="9">
        <v>3046.1840794441605</v>
      </c>
      <c r="W353" s="9">
        <v>138946.40631242865</v>
      </c>
      <c r="X353" s="9">
        <v>139530.74095408959</v>
      </c>
      <c r="Y353" s="9">
        <v>584.33464166093029</v>
      </c>
      <c r="Z353" s="9">
        <v>239563.59066114135</v>
      </c>
      <c r="AA353" s="9">
        <v>240648.99767642302</v>
      </c>
      <c r="AB353" s="9">
        <v>1085.4070152817262</v>
      </c>
      <c r="AC353" s="9">
        <v>2.4718892769762397</v>
      </c>
      <c r="AD353" s="9">
        <v>23.202192098482477</v>
      </c>
      <c r="AE353" s="9">
        <v>29.622916351825086</v>
      </c>
      <c r="AF353" s="9">
        <v>43.270395370907622</v>
      </c>
      <c r="AG353" s="9">
        <v>575.17432635966088</v>
      </c>
      <c r="AH353" s="9">
        <v>27258.411905403394</v>
      </c>
      <c r="AI353" s="9">
        <v>2771.3784991002462</v>
      </c>
      <c r="AJ353" s="9">
        <v>30703.532123961493</v>
      </c>
      <c r="AK353" s="9">
        <v>69121309.489383906</v>
      </c>
      <c r="AL353" s="9">
        <v>62098378.275996692</v>
      </c>
    </row>
    <row r="354" spans="1:38" x14ac:dyDescent="0.25">
      <c r="A354" s="9">
        <v>352</v>
      </c>
      <c r="B354" s="9">
        <v>74</v>
      </c>
      <c r="C354" s="9">
        <v>3.4158333333333332E-3</v>
      </c>
      <c r="D354" s="9">
        <v>0.44760343283054155</v>
      </c>
      <c r="E354" s="9">
        <v>4.2186010792317941</v>
      </c>
      <c r="F354" s="9">
        <v>5.393933952573037</v>
      </c>
      <c r="G354" s="9">
        <v>8.4441249329750079</v>
      </c>
      <c r="H354" s="9">
        <v>35.289298956422776</v>
      </c>
      <c r="I354" s="9">
        <v>5006.1097396946725</v>
      </c>
      <c r="J354" s="9">
        <v>2325.4581173624761</v>
      </c>
      <c r="K354" s="9">
        <v>952.20708426819942</v>
      </c>
      <c r="L354" s="9">
        <v>2181.332267587602</v>
      </c>
      <c r="M354" s="9">
        <v>1.5836155945386277</v>
      </c>
      <c r="N354" s="9">
        <v>932.95534510884761</v>
      </c>
      <c r="O354" s="9">
        <v>18.237917985729243</v>
      </c>
      <c r="P354" s="9">
        <v>1.1887653122707573</v>
      </c>
      <c r="Q354" s="9">
        <v>18.237917985729243</v>
      </c>
      <c r="R354" s="9">
        <v>81.145356324938263</v>
      </c>
      <c r="S354" s="9">
        <v>34.661616923929678</v>
      </c>
      <c r="T354" s="9">
        <v>826.17075700139696</v>
      </c>
      <c r="U354" s="9">
        <v>1287.6160288367444</v>
      </c>
      <c r="V354" s="9">
        <v>3065.5480483589236</v>
      </c>
      <c r="W354" s="9">
        <v>138946.40631242865</v>
      </c>
      <c r="X354" s="9">
        <v>139530.74095408959</v>
      </c>
      <c r="Y354" s="9">
        <v>584.33464166093029</v>
      </c>
      <c r="Z354" s="9">
        <v>239563.59066114135</v>
      </c>
      <c r="AA354" s="9">
        <v>240648.99767642302</v>
      </c>
      <c r="AB354" s="9">
        <v>1085.4070152817262</v>
      </c>
      <c r="AC354" s="9">
        <v>2.437946697483683</v>
      </c>
      <c r="AD354" s="9">
        <v>22.977313878215838</v>
      </c>
      <c r="AE354" s="9">
        <v>29.37896026168114</v>
      </c>
      <c r="AF354" s="9">
        <v>42.973559138065312</v>
      </c>
      <c r="AG354" s="9">
        <v>572.03953608361326</v>
      </c>
      <c r="AH354" s="9">
        <v>27135.940495365692</v>
      </c>
      <c r="AI354" s="9">
        <v>2758.8913990601827</v>
      </c>
      <c r="AJ354" s="9">
        <v>30564.639210484933</v>
      </c>
      <c r="AK354" s="9">
        <v>69151874.128594398</v>
      </c>
      <c r="AL354" s="9">
        <v>62105450.847874023</v>
      </c>
    </row>
    <row r="355" spans="1:38" x14ac:dyDescent="0.25">
      <c r="A355" s="9">
        <v>353</v>
      </c>
      <c r="B355" s="9">
        <v>74</v>
      </c>
      <c r="C355" s="9">
        <v>3.4158333333333332E-3</v>
      </c>
      <c r="D355" s="9">
        <v>0.44145719673432904</v>
      </c>
      <c r="E355" s="9">
        <v>4.1776950190746645</v>
      </c>
      <c r="F355" s="9">
        <v>5.349467068230874</v>
      </c>
      <c r="G355" s="9">
        <v>8.3861187165633737</v>
      </c>
      <c r="H355" s="9">
        <v>35.096844205155534</v>
      </c>
      <c r="I355" s="9">
        <v>5006.1960576119573</v>
      </c>
      <c r="J355" s="9">
        <v>2317.5147400099186</v>
      </c>
      <c r="K355" s="9">
        <v>948.95450356951994</v>
      </c>
      <c r="L355" s="9">
        <v>2171.5106410543199</v>
      </c>
      <c r="M355" s="9">
        <v>1.576373959578182</v>
      </c>
      <c r="N355" s="9">
        <v>934.53171906842579</v>
      </c>
      <c r="O355" s="9">
        <v>18.158845839024746</v>
      </c>
      <c r="P355" s="9">
        <v>1.1836510259752544</v>
      </c>
      <c r="Q355" s="9">
        <v>18.158845839024746</v>
      </c>
      <c r="R355" s="9">
        <v>80.777752903340698</v>
      </c>
      <c r="S355" s="9">
        <v>34.505411817860754</v>
      </c>
      <c r="T355" s="9">
        <v>827.70469897529006</v>
      </c>
      <c r="U355" s="9">
        <v>1290.2898238712398</v>
      </c>
      <c r="V355" s="9">
        <v>3084.8366987319114</v>
      </c>
      <c r="W355" s="9">
        <v>138946.40631242865</v>
      </c>
      <c r="X355" s="9">
        <v>139530.74095408959</v>
      </c>
      <c r="Y355" s="9">
        <v>584.33464166093029</v>
      </c>
      <c r="Z355" s="9">
        <v>239563.59066114135</v>
      </c>
      <c r="AA355" s="9">
        <v>240648.99767642302</v>
      </c>
      <c r="AB355" s="9">
        <v>1085.4070152817262</v>
      </c>
      <c r="AC355" s="9">
        <v>2.4044701982129788</v>
      </c>
      <c r="AD355" s="9">
        <v>22.754512203893338</v>
      </c>
      <c r="AE355" s="9">
        <v>29.13676396496416</v>
      </c>
      <c r="AF355" s="9">
        <v>42.678355835043767</v>
      </c>
      <c r="AG355" s="9">
        <v>568.91984456557122</v>
      </c>
      <c r="AH355" s="9">
        <v>27013.978709277937</v>
      </c>
      <c r="AI355" s="9">
        <v>2746.4582536426265</v>
      </c>
      <c r="AJ355" s="9">
        <v>30426.330909688248</v>
      </c>
      <c r="AK355" s="9">
        <v>69182300.459504083</v>
      </c>
      <c r="AL355" s="9">
        <v>62112462.201624103</v>
      </c>
    </row>
    <row r="356" spans="1:38" x14ac:dyDescent="0.25">
      <c r="A356" s="9">
        <v>354</v>
      </c>
      <c r="B356" s="9">
        <v>74</v>
      </c>
      <c r="C356" s="9">
        <v>3.4158333333333332E-3</v>
      </c>
      <c r="D356" s="9">
        <v>0.43539535726106354</v>
      </c>
      <c r="E356" s="9">
        <v>4.1371669783092289</v>
      </c>
      <c r="F356" s="9">
        <v>5.3053215639663662</v>
      </c>
      <c r="G356" s="9">
        <v>8.3284324116738233</v>
      </c>
      <c r="H356" s="9">
        <v>34.905316822874816</v>
      </c>
      <c r="I356" s="9">
        <v>5006.2817825754628</v>
      </c>
      <c r="J356" s="9">
        <v>2309.5984959105012</v>
      </c>
      <c r="K356" s="9">
        <v>945.71303314441036</v>
      </c>
      <c r="L356" s="9">
        <v>2161.7332371959565</v>
      </c>
      <c r="M356" s="9">
        <v>1.5691651315948731</v>
      </c>
      <c r="N356" s="9">
        <v>936.10088420002069</v>
      </c>
      <c r="O356" s="9">
        <v>18.079702886468624</v>
      </c>
      <c r="P356" s="9">
        <v>1.1785585135313752</v>
      </c>
      <c r="Q356" s="9">
        <v>18.079702886468624</v>
      </c>
      <c r="R356" s="9">
        <v>80.412084437887998</v>
      </c>
      <c r="S356" s="9">
        <v>34.349882089715386</v>
      </c>
      <c r="T356" s="9">
        <v>829.23169955595392</v>
      </c>
      <c r="U356" s="9">
        <v>1292.9516021517395</v>
      </c>
      <c r="V356" s="9">
        <v>3104.0503290517959</v>
      </c>
      <c r="W356" s="9">
        <v>138946.40631242865</v>
      </c>
      <c r="X356" s="9">
        <v>139530.74095408959</v>
      </c>
      <c r="Y356" s="9">
        <v>584.33464166093029</v>
      </c>
      <c r="Z356" s="9">
        <v>239563.59066114135</v>
      </c>
      <c r="AA356" s="9">
        <v>240648.99767642302</v>
      </c>
      <c r="AB356" s="9">
        <v>1085.4070152817262</v>
      </c>
      <c r="AC356" s="9">
        <v>2.3714533792152594</v>
      </c>
      <c r="AD356" s="9">
        <v>22.533769475190933</v>
      </c>
      <c r="AE356" s="9">
        <v>28.896318118403475</v>
      </c>
      <c r="AF356" s="9">
        <v>42.3847806150767</v>
      </c>
      <c r="AG356" s="9">
        <v>565.81518569880075</v>
      </c>
      <c r="AH356" s="9">
        <v>26892.525917000083</v>
      </c>
      <c r="AI356" s="9">
        <v>2734.0788649308961</v>
      </c>
      <c r="AJ356" s="9">
        <v>30288.606289217667</v>
      </c>
      <c r="AK356" s="9">
        <v>69212589.065793306</v>
      </c>
      <c r="AL356" s="9">
        <v>62119412.857453816</v>
      </c>
    </row>
    <row r="357" spans="1:38" x14ac:dyDescent="0.25">
      <c r="A357" s="9">
        <v>355</v>
      </c>
      <c r="B357" s="9">
        <v>74</v>
      </c>
      <c r="C357" s="9">
        <v>3.4158333333333332E-3</v>
      </c>
      <c r="D357" s="9">
        <v>0.4294167555242569</v>
      </c>
      <c r="E357" s="9">
        <v>4.0970137482910962</v>
      </c>
      <c r="F357" s="9">
        <v>5.261495724572808</v>
      </c>
      <c r="G357" s="9">
        <v>8.2710650607485956</v>
      </c>
      <c r="H357" s="9">
        <v>34.714712753915897</v>
      </c>
      <c r="I357" s="9">
        <v>5006.3669178554037</v>
      </c>
      <c r="J357" s="9">
        <v>2301.7092923815535</v>
      </c>
      <c r="K357" s="9">
        <v>942.48263504202794</v>
      </c>
      <c r="L357" s="9">
        <v>2151.9998568963092</v>
      </c>
      <c r="M357" s="9">
        <v>1.5619889632557649</v>
      </c>
      <c r="N357" s="9">
        <v>937.66287316327646</v>
      </c>
      <c r="O357" s="9">
        <v>18.000501938056246</v>
      </c>
      <c r="P357" s="9">
        <v>1.1734876829437559</v>
      </c>
      <c r="Q357" s="9">
        <v>18.000501938056246</v>
      </c>
      <c r="R357" s="9">
        <v>80.048335619911498</v>
      </c>
      <c r="S357" s="9">
        <v>34.195025272369719</v>
      </c>
      <c r="T357" s="9">
        <v>830.75178920860094</v>
      </c>
      <c r="U357" s="9">
        <v>1295.6014121870287</v>
      </c>
      <c r="V357" s="9">
        <v>3123.1892366218021</v>
      </c>
      <c r="W357" s="9">
        <v>138946.40631242865</v>
      </c>
      <c r="X357" s="9">
        <v>139530.74095408959</v>
      </c>
      <c r="Y357" s="9">
        <v>584.33464166093029</v>
      </c>
      <c r="Z357" s="9">
        <v>239563.59066114135</v>
      </c>
      <c r="AA357" s="9">
        <v>240648.99767642302</v>
      </c>
      <c r="AB357" s="9">
        <v>1085.4070152817262</v>
      </c>
      <c r="AC357" s="9">
        <v>2.3388899284221192</v>
      </c>
      <c r="AD357" s="9">
        <v>22.315068215692168</v>
      </c>
      <c r="AE357" s="9">
        <v>28.657613379839894</v>
      </c>
      <c r="AF357" s="9">
        <v>42.092828604993059</v>
      </c>
      <c r="AG357" s="9">
        <v>562.72549374097673</v>
      </c>
      <c r="AH357" s="9">
        <v>26771.58143628604</v>
      </c>
      <c r="AI357" s="9">
        <v>2721.753036554268</v>
      </c>
      <c r="AJ357" s="9">
        <v>30151.464366710232</v>
      </c>
      <c r="AK357" s="9">
        <v>69242740.53016001</v>
      </c>
      <c r="AL357" s="9">
        <v>62126303.331526719</v>
      </c>
    </row>
    <row r="358" spans="1:38" x14ac:dyDescent="0.25">
      <c r="A358" s="9">
        <v>356</v>
      </c>
      <c r="B358" s="9">
        <v>74</v>
      </c>
      <c r="C358" s="9">
        <v>3.4158333333333332E-3</v>
      </c>
      <c r="D358" s="9">
        <v>0.42352024855059195</v>
      </c>
      <c r="E358" s="9">
        <v>4.0572321430460798</v>
      </c>
      <c r="F358" s="9">
        <v>5.2179878352124804</v>
      </c>
      <c r="G358" s="9">
        <v>8.2140157011144339</v>
      </c>
      <c r="H358" s="9">
        <v>34.525027964863959</v>
      </c>
      <c r="I358" s="9">
        <v>5006.4514667122048</v>
      </c>
      <c r="J358" s="9">
        <v>2293.8470370569935</v>
      </c>
      <c r="K358" s="9">
        <v>939.26327144116351</v>
      </c>
      <c r="L358" s="9">
        <v>2142.3103019357127</v>
      </c>
      <c r="M358" s="9">
        <v>1.5548453079049294</v>
      </c>
      <c r="N358" s="9">
        <v>939.21771847118134</v>
      </c>
      <c r="O358" s="9">
        <v>17.921255417379687</v>
      </c>
      <c r="P358" s="9">
        <v>1.168438442620314</v>
      </c>
      <c r="Q358" s="9">
        <v>17.921255417379687</v>
      </c>
      <c r="R358" s="9">
        <v>79.686491341806033</v>
      </c>
      <c r="S358" s="9">
        <v>34.040838916461496</v>
      </c>
      <c r="T358" s="9">
        <v>832.26499829590489</v>
      </c>
      <c r="U358" s="9">
        <v>1298.2393024359005</v>
      </c>
      <c r="V358" s="9">
        <v>3142.25371756392</v>
      </c>
      <c r="W358" s="9">
        <v>138946.40631242865</v>
      </c>
      <c r="X358" s="9">
        <v>139530.74095408959</v>
      </c>
      <c r="Y358" s="9">
        <v>584.33464166093029</v>
      </c>
      <c r="Z358" s="9">
        <v>239563.59066114135</v>
      </c>
      <c r="AA358" s="9">
        <v>240648.99767642302</v>
      </c>
      <c r="AB358" s="9">
        <v>1085.4070152817262</v>
      </c>
      <c r="AC358" s="9">
        <v>2.3067736204388907</v>
      </c>
      <c r="AD358" s="9">
        <v>22.098391072457648</v>
      </c>
      <c r="AE358" s="9">
        <v>28.420640409123976</v>
      </c>
      <c r="AF358" s="9">
        <v>41.802494905588205</v>
      </c>
      <c r="AG358" s="9">
        <v>559.65070331044478</v>
      </c>
      <c r="AH358" s="9">
        <v>26651.144534283936</v>
      </c>
      <c r="AI358" s="9">
        <v>2709.4805735557529</v>
      </c>
      <c r="AJ358" s="9">
        <v>30014.904111157743</v>
      </c>
      <c r="AK358" s="9">
        <v>69272755.434271172</v>
      </c>
      <c r="AL358" s="9">
        <v>62133134.135980718</v>
      </c>
    </row>
    <row r="359" spans="1:38" x14ac:dyDescent="0.25">
      <c r="A359" s="9">
        <v>357</v>
      </c>
      <c r="B359" s="9">
        <v>74</v>
      </c>
      <c r="C359" s="9">
        <v>3.4158333333333332E-3</v>
      </c>
      <c r="D359" s="9">
        <v>0.41770470906141194</v>
      </c>
      <c r="E359" s="9">
        <v>4.0178189991897115</v>
      </c>
      <c r="F359" s="9">
        <v>5.1747961815786798</v>
      </c>
      <c r="G359" s="9">
        <v>8.1572833650562639</v>
      </c>
      <c r="H359" s="9">
        <v>34.336258444326013</v>
      </c>
      <c r="I359" s="9">
        <v>5006.5354323964521</v>
      </c>
      <c r="J359" s="9">
        <v>2286.0116378862463</v>
      </c>
      <c r="K359" s="9">
        <v>936.05490464979903</v>
      </c>
      <c r="L359" s="9">
        <v>2132.6643749870018</v>
      </c>
      <c r="M359" s="9">
        <v>1.5477340195599711</v>
      </c>
      <c r="N359" s="9">
        <v>940.76545249074127</v>
      </c>
      <c r="O359" s="9">
        <v>17.841975370629793</v>
      </c>
      <c r="P359" s="9">
        <v>1.1634107013702064</v>
      </c>
      <c r="Q359" s="9">
        <v>17.841975370629793</v>
      </c>
      <c r="R359" s="9">
        <v>79.3265366935874</v>
      </c>
      <c r="S359" s="9">
        <v>33.887320588840019</v>
      </c>
      <c r="T359" s="9">
        <v>833.77135707731679</v>
      </c>
      <c r="U359" s="9">
        <v>1300.8653213035268</v>
      </c>
      <c r="V359" s="9">
        <v>3161.2440668231111</v>
      </c>
      <c r="W359" s="9">
        <v>138946.40631242865</v>
      </c>
      <c r="X359" s="9">
        <v>139530.74095408959</v>
      </c>
      <c r="Y359" s="9">
        <v>584.33464166093029</v>
      </c>
      <c r="Z359" s="9">
        <v>239563.59066114135</v>
      </c>
      <c r="AA359" s="9">
        <v>240648.99767642302</v>
      </c>
      <c r="AB359" s="9">
        <v>1085.4070152817262</v>
      </c>
      <c r="AC359" s="9">
        <v>2.2750983153544904</v>
      </c>
      <c r="AD359" s="9">
        <v>21.883720815586628</v>
      </c>
      <c r="AE359" s="9">
        <v>28.185389868998541</v>
      </c>
      <c r="AF359" s="9">
        <v>41.513774591998832</v>
      </c>
      <c r="AG359" s="9">
        <v>556.59074938252468</v>
      </c>
      <c r="AH359" s="9">
        <v>26531.214429054078</v>
      </c>
      <c r="AI359" s="9">
        <v>2697.2612822687215</v>
      </c>
      <c r="AJ359" s="9">
        <v>29878.924444297263</v>
      </c>
      <c r="AK359" s="9">
        <v>69302634.358715475</v>
      </c>
      <c r="AL359" s="9">
        <v>62139905.778946131</v>
      </c>
    </row>
    <row r="360" spans="1:38" x14ac:dyDescent="0.25">
      <c r="A360" s="9">
        <v>358</v>
      </c>
      <c r="B360" s="9">
        <v>74</v>
      </c>
      <c r="C360" s="9">
        <v>3.4158333333333332E-3</v>
      </c>
      <c r="D360" s="9">
        <v>0.4119690252572103</v>
      </c>
      <c r="E360" s="9">
        <v>3.9787711758453774</v>
      </c>
      <c r="F360" s="9">
        <v>5.1319190500548828</v>
      </c>
      <c r="G360" s="9">
        <v>8.1008670798915752</v>
      </c>
      <c r="H360" s="9">
        <v>34.148400202705396</v>
      </c>
      <c r="I360" s="9">
        <v>5006.6188181488378</v>
      </c>
      <c r="J360" s="9">
        <v>2278.2030031331665</v>
      </c>
      <c r="K360" s="9">
        <v>932.85749710466609</v>
      </c>
      <c r="L360" s="9">
        <v>2123.0618796114932</v>
      </c>
      <c r="M360" s="9">
        <v>1.5406549529085705</v>
      </c>
      <c r="N360" s="9">
        <v>942.30610744364981</v>
      </c>
      <c r="O360" s="9">
        <v>17.762673478598195</v>
      </c>
      <c r="P360" s="9">
        <v>1.1584043684018028</v>
      </c>
      <c r="Q360" s="9">
        <v>17.762673478598195</v>
      </c>
      <c r="R360" s="9">
        <v>78.96845695951373</v>
      </c>
      <c r="S360" s="9">
        <v>33.734467871122291</v>
      </c>
      <c r="T360" s="9">
        <v>835.2708957084119</v>
      </c>
      <c r="U360" s="9">
        <v>1303.4795171378742</v>
      </c>
      <c r="V360" s="9">
        <v>3180.1605781715084</v>
      </c>
      <c r="W360" s="9">
        <v>138946.40631242865</v>
      </c>
      <c r="X360" s="9">
        <v>139530.74095408959</v>
      </c>
      <c r="Y360" s="9">
        <v>584.33464166093029</v>
      </c>
      <c r="Z360" s="9">
        <v>239563.59066114135</v>
      </c>
      <c r="AA360" s="9">
        <v>240648.99767642302</v>
      </c>
      <c r="AB360" s="9">
        <v>1085.4070152817262</v>
      </c>
      <c r="AC360" s="9">
        <v>2.2438579575676054</v>
      </c>
      <c r="AD360" s="9">
        <v>21.671040337771153</v>
      </c>
      <c r="AE360" s="9">
        <v>27.951852425965594</v>
      </c>
      <c r="AF360" s="9">
        <v>41.226662714081542</v>
      </c>
      <c r="AG360" s="9">
        <v>553.54556728585453</v>
      </c>
      <c r="AH360" s="9">
        <v>26411.790291923542</v>
      </c>
      <c r="AI360" s="9">
        <v>2685.0949702019789</v>
      </c>
      <c r="AJ360" s="9">
        <v>29743.524242846761</v>
      </c>
      <c r="AK360" s="9">
        <v>69332377.882958323</v>
      </c>
      <c r="AL360" s="9">
        <v>62146618.764564283</v>
      </c>
    </row>
    <row r="361" spans="1:38" x14ac:dyDescent="0.25">
      <c r="A361" s="9">
        <v>359</v>
      </c>
      <c r="B361" s="9">
        <v>74</v>
      </c>
      <c r="C361" s="9">
        <v>3.4158333333333332E-3</v>
      </c>
      <c r="D361" s="9">
        <v>0.40631210060507972</v>
      </c>
      <c r="E361" s="9">
        <v>3.9400855545611075</v>
      </c>
      <c r="F361" s="9">
        <v>5.0893547278710782</v>
      </c>
      <c r="G361" s="9">
        <v>8.0447658680454879</v>
      </c>
      <c r="H361" s="9">
        <v>33.961449271978815</v>
      </c>
      <c r="I361" s="9">
        <v>5006.7016272001119</v>
      </c>
      <c r="J361" s="9">
        <v>2270.4210413749643</v>
      </c>
      <c r="K361" s="9">
        <v>929.67101137080613</v>
      </c>
      <c r="L361" s="9">
        <v>2113.5026202549839</v>
      </c>
      <c r="M361" s="9">
        <v>1.533607963305049</v>
      </c>
      <c r="N361" s="9">
        <v>943.83971540695484</v>
      </c>
      <c r="O361" s="9">
        <v>17.683361065679332</v>
      </c>
      <c r="P361" s="9">
        <v>1.1534193533206669</v>
      </c>
      <c r="Q361" s="9">
        <v>17.683361065679332</v>
      </c>
      <c r="R361" s="9">
        <v>78.612237614769285</v>
      </c>
      <c r="S361" s="9">
        <v>33.582278358368086</v>
      </c>
      <c r="T361" s="9">
        <v>836.76364424028452</v>
      </c>
      <c r="U361" s="9">
        <v>1306.0819382262202</v>
      </c>
      <c r="V361" s="9">
        <v>3199.0035442126195</v>
      </c>
      <c r="W361" s="9">
        <v>138946.40631242865</v>
      </c>
      <c r="X361" s="9">
        <v>139530.74095408959</v>
      </c>
      <c r="Y361" s="9">
        <v>584.33464166093029</v>
      </c>
      <c r="Z361" s="9">
        <v>239563.59066114135</v>
      </c>
      <c r="AA361" s="9">
        <v>240648.99767642302</v>
      </c>
      <c r="AB361" s="9">
        <v>1085.4070152817262</v>
      </c>
      <c r="AC361" s="9">
        <v>2.2130465746290007</v>
      </c>
      <c r="AD361" s="9">
        <v>21.46033265384283</v>
      </c>
      <c r="AE361" s="9">
        <v>27.720018751137804</v>
      </c>
      <c r="AF361" s="9">
        <v>40.941154296794828</v>
      </c>
      <c r="AG361" s="9">
        <v>550.51509269877658</v>
      </c>
      <c r="AH361" s="9">
        <v>26292.871249038628</v>
      </c>
      <c r="AI361" s="9">
        <v>2672.9814459343079</v>
      </c>
      <c r="AJ361" s="9">
        <v>29608.702339948119</v>
      </c>
      <c r="AK361" s="9">
        <v>69361986.58529827</v>
      </c>
      <c r="AL361" s="9">
        <v>62153273.593006417</v>
      </c>
    </row>
    <row r="362" spans="1:38" x14ac:dyDescent="0.25">
      <c r="A362" s="9">
        <v>360</v>
      </c>
      <c r="B362" s="9">
        <v>75</v>
      </c>
      <c r="C362" s="9">
        <v>3.4158333333333332E-3</v>
      </c>
      <c r="D362" s="9">
        <v>0.40073285362908001</v>
      </c>
      <c r="E362" s="9">
        <v>3.9017590392250741</v>
      </c>
      <c r="F362" s="9">
        <v>5.0471015032572915</v>
      </c>
      <c r="G362" s="9">
        <v>7.9889787471264384</v>
      </c>
      <c r="H362" s="9">
        <v>33.775401705475915</v>
      </c>
      <c r="I362" s="9">
        <v>5006.7838627710307</v>
      </c>
      <c r="J362" s="9">
        <v>2262.6656615011343</v>
      </c>
      <c r="K362" s="9">
        <v>926.49541014113197</v>
      </c>
      <c r="L362" s="9">
        <v>2103.9864022437705</v>
      </c>
      <c r="M362" s="9">
        <v>1.5265929067669539</v>
      </c>
      <c r="N362" s="9">
        <v>945.36630831372179</v>
      </c>
      <c r="O362" s="9">
        <v>17.609241290660862</v>
      </c>
      <c r="P362" s="9">
        <v>1.1432633853391405</v>
      </c>
      <c r="Q362" s="9">
        <v>17.609241290660862</v>
      </c>
      <c r="R362" s="9">
        <v>78.252672141421357</v>
      </c>
      <c r="S362" s="9">
        <v>33.43074965785091</v>
      </c>
      <c r="T362" s="9">
        <v>838.24963261897449</v>
      </c>
      <c r="U362" s="9">
        <v>1308.6726327917279</v>
      </c>
      <c r="V362" s="9">
        <v>3217.7732563855275</v>
      </c>
      <c r="W362" s="9">
        <v>140269.70155091491</v>
      </c>
      <c r="X362" s="9">
        <v>140860.52078859412</v>
      </c>
      <c r="Y362" s="9">
        <v>590.81923767917624</v>
      </c>
      <c r="Z362" s="9">
        <v>245010.45329547365</v>
      </c>
      <c r="AA362" s="9">
        <v>246122.55178724771</v>
      </c>
      <c r="AB362" s="9">
        <v>1112.098491774098</v>
      </c>
      <c r="AC362" s="9">
        <v>2.1826582760997222</v>
      </c>
      <c r="AD362" s="9">
        <v>21.251580900312568</v>
      </c>
      <c r="AE362" s="9">
        <v>27.489879521074712</v>
      </c>
      <c r="AF362" s="9">
        <v>40.657244340584299</v>
      </c>
      <c r="AG362" s="9">
        <v>547.49926164576459</v>
      </c>
      <c r="AH362" s="9">
        <v>26174.456383207169</v>
      </c>
      <c r="AI362" s="9">
        <v>2660.9205190166431</v>
      </c>
      <c r="AJ362" s="9">
        <v>29474.457526907649</v>
      </c>
      <c r="AK362" s="9">
        <v>69391461.042825177</v>
      </c>
      <c r="AL362" s="9">
        <v>62159870.76049304</v>
      </c>
    </row>
    <row r="363" spans="1:38" x14ac:dyDescent="0.25">
      <c r="A363" s="9">
        <v>361</v>
      </c>
      <c r="B363" s="9">
        <v>75</v>
      </c>
      <c r="C363" s="9">
        <v>3.6991666666666666E-3</v>
      </c>
      <c r="D363" s="9">
        <v>0.39511667672828937</v>
      </c>
      <c r="E363" s="9">
        <v>3.8626830575853912</v>
      </c>
      <c r="F363" s="9">
        <v>5.0037276535017474</v>
      </c>
      <c r="G363" s="9">
        <v>7.9312411860241188</v>
      </c>
      <c r="H363" s="9">
        <v>33.580683880511465</v>
      </c>
      <c r="I363" s="9">
        <v>5006.8655280723096</v>
      </c>
      <c r="J363" s="9">
        <v>2254.2956841082982</v>
      </c>
      <c r="K363" s="9">
        <v>923.0681492031182</v>
      </c>
      <c r="L363" s="9">
        <v>2093.9169023000482</v>
      </c>
      <c r="M363" s="9">
        <v>1.5196096399716648</v>
      </c>
      <c r="N363" s="9">
        <v>946.88591795369348</v>
      </c>
      <c r="O363" s="9">
        <v>17.52998666479958</v>
      </c>
      <c r="P363" s="9">
        <v>1.1383430822004232</v>
      </c>
      <c r="Q363" s="9">
        <v>17.52998666479958</v>
      </c>
      <c r="R363" s="9">
        <v>77.872888581758374</v>
      </c>
      <c r="S363" s="9">
        <v>33.270407342190119</v>
      </c>
      <c r="T363" s="9">
        <v>839.72889068493134</v>
      </c>
      <c r="U363" s="9">
        <v>1311.2516840473249</v>
      </c>
      <c r="V363" s="9">
        <v>3238.0208453004861</v>
      </c>
      <c r="W363" s="9">
        <v>140269.70155091491</v>
      </c>
      <c r="X363" s="9">
        <v>140860.52078859412</v>
      </c>
      <c r="Y363" s="9">
        <v>590.81923767917624</v>
      </c>
      <c r="Z363" s="9">
        <v>245010.45329547365</v>
      </c>
      <c r="AA363" s="9">
        <v>246122.55178724771</v>
      </c>
      <c r="AB363" s="9">
        <v>1112.098491774098</v>
      </c>
      <c r="AC363" s="9">
        <v>2.1520688325800825</v>
      </c>
      <c r="AD363" s="9">
        <v>21.038747053648429</v>
      </c>
      <c r="AE363" s="9">
        <v>27.253636619406183</v>
      </c>
      <c r="AF363" s="9">
        <v>40.363408269207746</v>
      </c>
      <c r="AG363" s="9">
        <v>544.34288570309093</v>
      </c>
      <c r="AH363" s="9">
        <v>26049.119066904339</v>
      </c>
      <c r="AI363" s="9">
        <v>2648.1580724016226</v>
      </c>
      <c r="AJ363" s="9">
        <v>29332.427885783894</v>
      </c>
      <c r="AK363" s="9">
        <v>69420793.470710963</v>
      </c>
      <c r="AL363" s="9">
        <v>62166408.895738423</v>
      </c>
    </row>
    <row r="364" spans="1:38" x14ac:dyDescent="0.25">
      <c r="A364" s="9">
        <v>362</v>
      </c>
      <c r="B364" s="9">
        <v>75</v>
      </c>
      <c r="C364" s="9">
        <v>3.6991666666666666E-3</v>
      </c>
      <c r="D364" s="9">
        <v>0.38957920922877526</v>
      </c>
      <c r="E364" s="9">
        <v>3.8239818861782133</v>
      </c>
      <c r="F364" s="9">
        <v>4.9606856547214164</v>
      </c>
      <c r="G364" s="9">
        <v>7.8738478135352059</v>
      </c>
      <c r="H364" s="9">
        <v>33.386969218306227</v>
      </c>
      <c r="I364" s="9">
        <v>5006.9466031660695</v>
      </c>
      <c r="J364" s="9">
        <v>2245.9566686568342</v>
      </c>
      <c r="K364" s="9">
        <v>919.65356627452434</v>
      </c>
      <c r="L364" s="9">
        <v>2083.8955941264858</v>
      </c>
      <c r="M364" s="9">
        <v>1.5122274641883604</v>
      </c>
      <c r="N364" s="9">
        <v>948.39814541788189</v>
      </c>
      <c r="O364" s="9">
        <v>17.450627353427954</v>
      </c>
      <c r="P364" s="9">
        <v>1.1331382775720453</v>
      </c>
      <c r="Q364" s="9">
        <v>17.450627353427954</v>
      </c>
      <c r="R364" s="9">
        <v>77.495268138897529</v>
      </c>
      <c r="S364" s="9">
        <v>33.110809057272959</v>
      </c>
      <c r="T364" s="9">
        <v>841.20102884424966</v>
      </c>
      <c r="U364" s="9">
        <v>1313.8184079436717</v>
      </c>
      <c r="V364" s="9">
        <v>3258.1839946690156</v>
      </c>
      <c r="W364" s="9">
        <v>140269.70155091491</v>
      </c>
      <c r="X364" s="9">
        <v>140860.52078859412</v>
      </c>
      <c r="Y364" s="9">
        <v>590.81923767917624</v>
      </c>
      <c r="Z364" s="9">
        <v>245010.45329547365</v>
      </c>
      <c r="AA364" s="9">
        <v>246122.55178724771</v>
      </c>
      <c r="AB364" s="9">
        <v>1112.098491774098</v>
      </c>
      <c r="AC364" s="9">
        <v>2.121908092932729</v>
      </c>
      <c r="AD364" s="9">
        <v>20.827954673383999</v>
      </c>
      <c r="AE364" s="9">
        <v>27.019201199382646</v>
      </c>
      <c r="AF364" s="9">
        <v>40.071323831049583</v>
      </c>
      <c r="AG364" s="9">
        <v>541.202771028744</v>
      </c>
      <c r="AH364" s="9">
        <v>25924.343791542859</v>
      </c>
      <c r="AI364" s="9">
        <v>2635.4548469136412</v>
      </c>
      <c r="AJ364" s="9">
        <v>29191.041797281992</v>
      </c>
      <c r="AK364" s="9">
        <v>69449984.512508243</v>
      </c>
      <c r="AL364" s="9">
        <v>62172888.51790233</v>
      </c>
    </row>
    <row r="365" spans="1:38" x14ac:dyDescent="0.25">
      <c r="A365" s="9">
        <v>363</v>
      </c>
      <c r="B365" s="9">
        <v>75</v>
      </c>
      <c r="C365" s="9">
        <v>3.6991666666666666E-3</v>
      </c>
      <c r="D365" s="9">
        <v>0.38411934803675007</v>
      </c>
      <c r="E365" s="9">
        <v>3.7856521861261871</v>
      </c>
      <c r="F365" s="9">
        <v>4.9179735272977405</v>
      </c>
      <c r="G365" s="9">
        <v>7.8167973544411034</v>
      </c>
      <c r="H365" s="9">
        <v>33.194253028389106</v>
      </c>
      <c r="I365" s="9">
        <v>5007.0270915706915</v>
      </c>
      <c r="J365" s="9">
        <v>2237.6485006133612</v>
      </c>
      <c r="K365" s="9">
        <v>916.25161445728054</v>
      </c>
      <c r="L365" s="9">
        <v>2073.9222470813706</v>
      </c>
      <c r="M365" s="9">
        <v>1.5048808547106995</v>
      </c>
      <c r="N365" s="9">
        <v>949.90302627259257</v>
      </c>
      <c r="O365" s="9">
        <v>17.371178085294993</v>
      </c>
      <c r="P365" s="9">
        <v>1.1279570497050084</v>
      </c>
      <c r="Q365" s="9">
        <v>17.371178085294993</v>
      </c>
      <c r="R365" s="9">
        <v>77.119792424448605</v>
      </c>
      <c r="S365" s="9">
        <v>32.951951660959956</v>
      </c>
      <c r="T365" s="9">
        <v>842.66608044553891</v>
      </c>
      <c r="U365" s="9">
        <v>1316.3728577875263</v>
      </c>
      <c r="V365" s="9">
        <v>3278.2630624480253</v>
      </c>
      <c r="W365" s="9">
        <v>140269.70155091491</v>
      </c>
      <c r="X365" s="9">
        <v>140860.52078859412</v>
      </c>
      <c r="Y365" s="9">
        <v>590.81923767917624</v>
      </c>
      <c r="Z365" s="9">
        <v>245010.45329547365</v>
      </c>
      <c r="AA365" s="9">
        <v>246122.55178724771</v>
      </c>
      <c r="AB365" s="9">
        <v>1112.098491774098</v>
      </c>
      <c r="AC365" s="9">
        <v>2.0921700489734985</v>
      </c>
      <c r="AD365" s="9">
        <v>20.619185573767297</v>
      </c>
      <c r="AE365" s="9">
        <v>26.786562478681692</v>
      </c>
      <c r="AF365" s="9">
        <v>39.780984536309845</v>
      </c>
      <c r="AG365" s="9">
        <v>538.07884159018738</v>
      </c>
      <c r="AH365" s="9">
        <v>25800.129557882094</v>
      </c>
      <c r="AI365" s="9">
        <v>2622.8105924541078</v>
      </c>
      <c r="AJ365" s="9">
        <v>29050.297894564123</v>
      </c>
      <c r="AK365" s="9">
        <v>69479034.810402811</v>
      </c>
      <c r="AL365" s="9">
        <v>62179310.141957633</v>
      </c>
    </row>
    <row r="366" spans="1:38" x14ac:dyDescent="0.25">
      <c r="A366" s="9">
        <v>364</v>
      </c>
      <c r="B366" s="9">
        <v>75</v>
      </c>
      <c r="C366" s="9">
        <v>3.6991666666666666E-3</v>
      </c>
      <c r="D366" s="9">
        <v>0.37873600551802677</v>
      </c>
      <c r="E366" s="9">
        <v>3.7476906441490705</v>
      </c>
      <c r="F366" s="9">
        <v>4.8755892952864954</v>
      </c>
      <c r="G366" s="9">
        <v>7.7600885302995444</v>
      </c>
      <c r="H366" s="9">
        <v>33.002530645635382</v>
      </c>
      <c r="I366" s="9">
        <v>5007.10699679152</v>
      </c>
      <c r="J366" s="9">
        <v>2229.3710658681757</v>
      </c>
      <c r="K366" s="9">
        <v>912.86224702680067</v>
      </c>
      <c r="L366" s="9">
        <v>2063.9966316268224</v>
      </c>
      <c r="M366" s="9">
        <v>1.4975696416873445</v>
      </c>
      <c r="N366" s="9">
        <v>951.40059591427996</v>
      </c>
      <c r="O366" s="9">
        <v>17.291653137316167</v>
      </c>
      <c r="P366" s="9">
        <v>1.1227992926838324</v>
      </c>
      <c r="Q366" s="9">
        <v>17.291653137316167</v>
      </c>
      <c r="R366" s="9">
        <v>76.746443300846494</v>
      </c>
      <c r="S366" s="9">
        <v>32.793832041973687</v>
      </c>
      <c r="T366" s="9">
        <v>844.12407871416542</v>
      </c>
      <c r="U366" s="9">
        <v>1318.915086806566</v>
      </c>
      <c r="V366" s="9">
        <v>3298.2584050730966</v>
      </c>
      <c r="W366" s="9">
        <v>140269.70155091491</v>
      </c>
      <c r="X366" s="9">
        <v>140860.52078859412</v>
      </c>
      <c r="Y366" s="9">
        <v>590.81923767917624</v>
      </c>
      <c r="Z366" s="9">
        <v>245010.45329547365</v>
      </c>
      <c r="AA366" s="9">
        <v>246122.55178724771</v>
      </c>
      <c r="AB366" s="9">
        <v>1112.098491774098</v>
      </c>
      <c r="AC366" s="9">
        <v>2.0628487767215189</v>
      </c>
      <c r="AD366" s="9">
        <v>20.412421708465271</v>
      </c>
      <c r="AE366" s="9">
        <v>26.555709694993777</v>
      </c>
      <c r="AF366" s="9">
        <v>39.492383878782761</v>
      </c>
      <c r="AG366" s="9">
        <v>534.97102176574958</v>
      </c>
      <c r="AH366" s="9">
        <v>25676.475311797396</v>
      </c>
      <c r="AI366" s="9">
        <v>2610.2250613808956</v>
      </c>
      <c r="AJ366" s="9">
        <v>28910.194759003003</v>
      </c>
      <c r="AK366" s="9">
        <v>69507945.005161807</v>
      </c>
      <c r="AL366" s="9">
        <v>62185674.278709695</v>
      </c>
    </row>
    <row r="367" spans="1:38" x14ac:dyDescent="0.25">
      <c r="A367" s="9">
        <v>365</v>
      </c>
      <c r="B367" s="9">
        <v>75</v>
      </c>
      <c r="C367" s="9">
        <v>3.6991666666666666E-3</v>
      </c>
      <c r="D367" s="9">
        <v>0.37342810928135622</v>
      </c>
      <c r="E367" s="9">
        <v>3.7100939724397333</v>
      </c>
      <c r="F367" s="9">
        <v>4.8335309865540523</v>
      </c>
      <c r="G367" s="9">
        <v>7.7037200595284006</v>
      </c>
      <c r="H367" s="9">
        <v>32.811797430026374</v>
      </c>
      <c r="I367" s="9">
        <v>5007.186322320832</v>
      </c>
      <c r="J367" s="9">
        <v>2221.1242507336851</v>
      </c>
      <c r="K367" s="9">
        <v>909.48541743134069</v>
      </c>
      <c r="L367" s="9">
        <v>2054.1185193235083</v>
      </c>
      <c r="M367" s="9">
        <v>1.4902936560894435</v>
      </c>
      <c r="N367" s="9">
        <v>952.89088957036938</v>
      </c>
      <c r="O367" s="9">
        <v>17.212066350919471</v>
      </c>
      <c r="P367" s="9">
        <v>1.1176649010805269</v>
      </c>
      <c r="Q367" s="9">
        <v>17.212066350919471</v>
      </c>
      <c r="R367" s="9">
        <v>76.375202876972608</v>
      </c>
      <c r="S367" s="9">
        <v>32.636447117699774</v>
      </c>
      <c r="T367" s="9">
        <v>845.57505675156676</v>
      </c>
      <c r="U367" s="9">
        <v>1321.4451481457554</v>
      </c>
      <c r="V367" s="9">
        <v>3318.1703774643943</v>
      </c>
      <c r="W367" s="9">
        <v>140269.70155091491</v>
      </c>
      <c r="X367" s="9">
        <v>140860.52078859412</v>
      </c>
      <c r="Y367" s="9">
        <v>590.81923767917624</v>
      </c>
      <c r="Z367" s="9">
        <v>245010.45329547365</v>
      </c>
      <c r="AA367" s="9">
        <v>246122.55178724771</v>
      </c>
      <c r="AB367" s="9">
        <v>1112.098491774098</v>
      </c>
      <c r="AC367" s="9">
        <v>2.0339384352191203</v>
      </c>
      <c r="AD367" s="9">
        <v>20.207645169888412</v>
      </c>
      <c r="AE367" s="9">
        <v>26.326632106764404</v>
      </c>
      <c r="AF367" s="9">
        <v>39.205515336283284</v>
      </c>
      <c r="AG367" s="9">
        <v>531.87923634072752</v>
      </c>
      <c r="AH367" s="9">
        <v>25553.37994754775</v>
      </c>
      <c r="AI367" s="9">
        <v>2597.6980083333133</v>
      </c>
      <c r="AJ367" s="9">
        <v>28770.730923269944</v>
      </c>
      <c r="AK367" s="9">
        <v>69536715.736085072</v>
      </c>
      <c r="AL367" s="9">
        <v>62191981.434816442</v>
      </c>
    </row>
    <row r="368" spans="1:38" x14ac:dyDescent="0.25">
      <c r="A368" s="9">
        <v>366</v>
      </c>
      <c r="B368" s="9">
        <v>75</v>
      </c>
      <c r="C368" s="9">
        <v>3.6991666666666666E-3</v>
      </c>
      <c r="D368" s="9">
        <v>0.36819460196480097</v>
      </c>
      <c r="E368" s="9">
        <v>3.6728589085392973</v>
      </c>
      <c r="F368" s="9">
        <v>4.7917966329107724</v>
      </c>
      <c r="G368" s="9">
        <v>7.6476906574897745</v>
      </c>
      <c r="H368" s="9">
        <v>32.622048766411879</v>
      </c>
      <c r="I368" s="9">
        <v>5007.2650716378021</v>
      </c>
      <c r="J368" s="9">
        <v>2212.9079419428463</v>
      </c>
      <c r="K368" s="9">
        <v>906.12107929135925</v>
      </c>
      <c r="L368" s="9">
        <v>2044.2876828253877</v>
      </c>
      <c r="M368" s="9">
        <v>1.4830527297062999</v>
      </c>
      <c r="N368" s="9">
        <v>954.37394230007567</v>
      </c>
      <c r="O368" s="9">
        <v>17.132431143047917</v>
      </c>
      <c r="P368" s="9">
        <v>1.1125537699520811</v>
      </c>
      <c r="Q368" s="9">
        <v>17.132431143047917</v>
      </c>
      <c r="R368" s="9">
        <v>76.006053503858723</v>
      </c>
      <c r="S368" s="9">
        <v>32.479793832163217</v>
      </c>
      <c r="T368" s="9">
        <v>847.01904753463418</v>
      </c>
      <c r="U368" s="9">
        <v>1323.9630948638442</v>
      </c>
      <c r="V368" s="9">
        <v>3337.9993330325824</v>
      </c>
      <c r="W368" s="9">
        <v>140269.70155091491</v>
      </c>
      <c r="X368" s="9">
        <v>140860.52078859412</v>
      </c>
      <c r="Y368" s="9">
        <v>590.81923767917624</v>
      </c>
      <c r="Z368" s="9">
        <v>245010.45329547365</v>
      </c>
      <c r="AA368" s="9">
        <v>246122.55178724771</v>
      </c>
      <c r="AB368" s="9">
        <v>1112.098491774098</v>
      </c>
      <c r="AC368" s="9">
        <v>2.0054332653682825</v>
      </c>
      <c r="AD368" s="9">
        <v>20.004838188510703</v>
      </c>
      <c r="AE368" s="9">
        <v>26.099318993920672</v>
      </c>
      <c r="AF368" s="9">
        <v>38.92037237107504</v>
      </c>
      <c r="AG368" s="9">
        <v>528.80341050353661</v>
      </c>
      <c r="AH368" s="9">
        <v>25430.84230960688</v>
      </c>
      <c r="AI368" s="9">
        <v>2585.2291900710311</v>
      </c>
      <c r="AJ368" s="9">
        <v>28631.904873000323</v>
      </c>
      <c r="AK368" s="9">
        <v>69565347.640958071</v>
      </c>
      <c r="AL368" s="9">
        <v>62198232.112808824</v>
      </c>
    </row>
    <row r="369" spans="1:38" x14ac:dyDescent="0.25">
      <c r="A369" s="9">
        <v>367</v>
      </c>
      <c r="B369" s="9">
        <v>75</v>
      </c>
      <c r="C369" s="9">
        <v>3.6991666666666666E-3</v>
      </c>
      <c r="D369" s="9">
        <v>0.36303444102510296</v>
      </c>
      <c r="E369" s="9">
        <v>3.635982215211456</v>
      </c>
      <c r="F369" s="9">
        <v>4.7503842702415771</v>
      </c>
      <c r="G369" s="9">
        <v>7.5919990365743297</v>
      </c>
      <c r="H369" s="9">
        <v>32.433280064275465</v>
      </c>
      <c r="I369" s="9">
        <v>5007.3432482084745</v>
      </c>
      <c r="J369" s="9">
        <v>2204.7220266476093</v>
      </c>
      <c r="K369" s="9">
        <v>902.76918639888061</v>
      </c>
      <c r="L369" s="9">
        <v>2034.5038958744785</v>
      </c>
      <c r="M369" s="9">
        <v>1.4758466951410685</v>
      </c>
      <c r="N369" s="9">
        <v>955.84978899521673</v>
      </c>
      <c r="O369" s="9">
        <v>17.052760515162028</v>
      </c>
      <c r="P369" s="9">
        <v>1.1074657948379698</v>
      </c>
      <c r="Q369" s="9">
        <v>17.052760515162028</v>
      </c>
      <c r="R369" s="9">
        <v>75.638977770471669</v>
      </c>
      <c r="S369" s="9">
        <v>32.323869154140752</v>
      </c>
      <c r="T369" s="9">
        <v>848.45608391513144</v>
      </c>
      <c r="U369" s="9">
        <v>1326.4689799299126</v>
      </c>
      <c r="V369" s="9">
        <v>3357.7456236847311</v>
      </c>
      <c r="W369" s="9">
        <v>140269.70155091491</v>
      </c>
      <c r="X369" s="9">
        <v>140860.52078859412</v>
      </c>
      <c r="Y369" s="9">
        <v>590.81923767917624</v>
      </c>
      <c r="Z369" s="9">
        <v>245010.45329547365</v>
      </c>
      <c r="AA369" s="9">
        <v>246122.55178724771</v>
      </c>
      <c r="AB369" s="9">
        <v>1112.098491774098</v>
      </c>
      <c r="AC369" s="9">
        <v>1.9773275887833941</v>
      </c>
      <c r="AD369" s="9">
        <v>19.803983132185063</v>
      </c>
      <c r="AE369" s="9">
        <v>25.873759658582454</v>
      </c>
      <c r="AF369" s="9">
        <v>38.636948430299526</v>
      </c>
      <c r="AG369" s="9">
        <v>525.74346984190527</v>
      </c>
      <c r="AH369" s="9">
        <v>25308.861193970377</v>
      </c>
      <c r="AI369" s="9">
        <v>2572.8183653238329</v>
      </c>
      <c r="AJ369" s="9">
        <v>28493.715047945967</v>
      </c>
      <c r="AK369" s="9">
        <v>69593841.356006011</v>
      </c>
      <c r="AL369" s="9">
        <v>62204426.811111502</v>
      </c>
    </row>
    <row r="370" spans="1:38" x14ac:dyDescent="0.25">
      <c r="A370" s="9">
        <v>368</v>
      </c>
      <c r="B370" s="9">
        <v>75</v>
      </c>
      <c r="C370" s="9">
        <v>3.6991666666666666E-3</v>
      </c>
      <c r="D370" s="9">
        <v>0.35794659853000321</v>
      </c>
      <c r="E370" s="9">
        <v>3.5994606803160103</v>
      </c>
      <c r="F370" s="9">
        <v>4.709291938633724</v>
      </c>
      <c r="G370" s="9">
        <v>7.5366439062858337</v>
      </c>
      <c r="H370" s="9">
        <v>32.245486757502491</v>
      </c>
      <c r="I370" s="9">
        <v>5007.4208554857314</v>
      </c>
      <c r="J370" s="9">
        <v>2196.5663924173687</v>
      </c>
      <c r="K370" s="9">
        <v>899.42969271686013</v>
      </c>
      <c r="L370" s="9">
        <v>2024.7669332956502</v>
      </c>
      <c r="M370" s="9">
        <v>1.4686753858064778</v>
      </c>
      <c r="N370" s="9">
        <v>957.3184643810232</v>
      </c>
      <c r="O370" s="9">
        <v>16.973067066242326</v>
      </c>
      <c r="P370" s="9">
        <v>1.1024008717576739</v>
      </c>
      <c r="Q370" s="9">
        <v>16.973067066242326</v>
      </c>
      <c r="R370" s="9">
        <v>75.273958499577319</v>
      </c>
      <c r="S370" s="9">
        <v>32.168670075391354</v>
      </c>
      <c r="T370" s="9">
        <v>849.88619861913901</v>
      </c>
      <c r="U370" s="9">
        <v>1328.9628562199405</v>
      </c>
      <c r="V370" s="9">
        <v>3377.4095998302037</v>
      </c>
      <c r="W370" s="9">
        <v>140269.70155091491</v>
      </c>
      <c r="X370" s="9">
        <v>140860.52078859412</v>
      </c>
      <c r="Y370" s="9">
        <v>590.81923767917624</v>
      </c>
      <c r="Z370" s="9">
        <v>245010.45329547365</v>
      </c>
      <c r="AA370" s="9">
        <v>246122.55178724771</v>
      </c>
      <c r="AB370" s="9">
        <v>1112.098491774098</v>
      </c>
      <c r="AC370" s="9">
        <v>1.9496158066600839</v>
      </c>
      <c r="AD370" s="9">
        <v>19.605062505454534</v>
      </c>
      <c r="AE370" s="9">
        <v>25.649943425758348</v>
      </c>
      <c r="AF370" s="9">
        <v>38.355236946406322</v>
      </c>
      <c r="AG370" s="9">
        <v>522.69934033911545</v>
      </c>
      <c r="AH370" s="9">
        <v>25187.435350576616</v>
      </c>
      <c r="AI370" s="9">
        <v>2560.4652946507749</v>
      </c>
      <c r="AJ370" s="9">
        <v>28356.159844250786</v>
      </c>
      <c r="AK370" s="9">
        <v>69622197.515850261</v>
      </c>
      <c r="AL370" s="9">
        <v>62210566.024064064</v>
      </c>
    </row>
    <row r="371" spans="1:38" x14ac:dyDescent="0.25">
      <c r="A371" s="9">
        <v>369</v>
      </c>
      <c r="B371" s="9">
        <v>75</v>
      </c>
      <c r="C371" s="9">
        <v>3.6991666666666666E-3</v>
      </c>
      <c r="D371" s="9">
        <v>0.35293006095347224</v>
      </c>
      <c r="E371" s="9">
        <v>3.5632911166816665</v>
      </c>
      <c r="F371" s="9">
        <v>4.6685176825018244</v>
      </c>
      <c r="G371" s="9">
        <v>7.4816239733258749</v>
      </c>
      <c r="H371" s="9">
        <v>32.058664304150938</v>
      </c>
      <c r="I371" s="9">
        <v>5007.4978969092617</v>
      </c>
      <c r="J371" s="9">
        <v>2188.4409272374182</v>
      </c>
      <c r="K371" s="9">
        <v>896.10255237855165</v>
      </c>
      <c r="L371" s="9">
        <v>2015.076570991441</v>
      </c>
      <c r="M371" s="9">
        <v>1.4615386359205775</v>
      </c>
      <c r="N371" s="9">
        <v>958.78000301694374</v>
      </c>
      <c r="O371" s="9">
        <v>16.893363004791787</v>
      </c>
      <c r="P371" s="9">
        <v>1.0973588972082151</v>
      </c>
      <c r="Q371" s="9">
        <v>16.893363004791787</v>
      </c>
      <c r="R371" s="9">
        <v>74.91097874368235</v>
      </c>
      <c r="S371" s="9">
        <v>32.014193609022939</v>
      </c>
      <c r="T371" s="9">
        <v>851.30942424654813</v>
      </c>
      <c r="U371" s="9">
        <v>1331.4447765134698</v>
      </c>
      <c r="V371" s="9">
        <v>3396.9916103865407</v>
      </c>
      <c r="W371" s="9">
        <v>140269.70155091491</v>
      </c>
      <c r="X371" s="9">
        <v>140860.52078859412</v>
      </c>
      <c r="Y371" s="9">
        <v>590.81923767917624</v>
      </c>
      <c r="Z371" s="9">
        <v>245010.45329547365</v>
      </c>
      <c r="AA371" s="9">
        <v>246122.55178724771</v>
      </c>
      <c r="AB371" s="9">
        <v>1112.098491774098</v>
      </c>
      <c r="AC371" s="9">
        <v>1.9222923986599121</v>
      </c>
      <c r="AD371" s="9">
        <v>19.408058948859477</v>
      </c>
      <c r="AE371" s="9">
        <v>25.427859644026601</v>
      </c>
      <c r="AF371" s="9">
        <v>38.075231337584263</v>
      </c>
      <c r="AG371" s="9">
        <v>519.67094837028674</v>
      </c>
      <c r="AH371" s="9">
        <v>25066.563485475875</v>
      </c>
      <c r="AI371" s="9">
        <v>2548.1697403101807</v>
      </c>
      <c r="AJ371" s="9">
        <v>28219.237616485472</v>
      </c>
      <c r="AK371" s="9">
        <v>69650416.75346674</v>
      </c>
      <c r="AL371" s="9">
        <v>62216650.241942637</v>
      </c>
    </row>
    <row r="372" spans="1:38" x14ac:dyDescent="0.25">
      <c r="A372" s="9">
        <v>370</v>
      </c>
      <c r="B372" s="9">
        <v>75</v>
      </c>
      <c r="C372" s="9">
        <v>3.6991666666666666E-3</v>
      </c>
      <c r="D372" s="9">
        <v>0.34798382897380986</v>
      </c>
      <c r="E372" s="9">
        <v>3.5274703619781276</v>
      </c>
      <c r="F372" s="9">
        <v>4.6280595507101312</v>
      </c>
      <c r="G372" s="9">
        <v>7.4269379416787293</v>
      </c>
      <c r="H372" s="9">
        <v>31.872808186224951</v>
      </c>
      <c r="I372" s="9">
        <v>5007.5743759055358</v>
      </c>
      <c r="J372" s="9">
        <v>2180.3455195074125</v>
      </c>
      <c r="K372" s="9">
        <v>892.78771968687795</v>
      </c>
      <c r="L372" s="9">
        <v>2005.4325859369008</v>
      </c>
      <c r="M372" s="9">
        <v>1.4544362805025126</v>
      </c>
      <c r="N372" s="9">
        <v>960.23443929744622</v>
      </c>
      <c r="O372" s="9">
        <v>16.813660156838296</v>
      </c>
      <c r="P372" s="9">
        <v>1.0923397681617055</v>
      </c>
      <c r="Q372" s="9">
        <v>16.813660156838296</v>
      </c>
      <c r="R372" s="9">
        <v>74.550021781052294</v>
      </c>
      <c r="S372" s="9">
        <v>31.860436787983229</v>
      </c>
      <c r="T372" s="9">
        <v>852.72579327059873</v>
      </c>
      <c r="U372" s="9">
        <v>1333.9147934903533</v>
      </c>
      <c r="V372" s="9">
        <v>3416.4920027853427</v>
      </c>
      <c r="W372" s="9">
        <v>140269.70155091491</v>
      </c>
      <c r="X372" s="9">
        <v>140860.52078859412</v>
      </c>
      <c r="Y372" s="9">
        <v>590.81923767917624</v>
      </c>
      <c r="Z372" s="9">
        <v>245010.45329547365</v>
      </c>
      <c r="AA372" s="9">
        <v>246122.55178724771</v>
      </c>
      <c r="AB372" s="9">
        <v>1112.098491774098</v>
      </c>
      <c r="AC372" s="9">
        <v>1.8953519218106842</v>
      </c>
      <c r="AD372" s="9">
        <v>19.212955238240866</v>
      </c>
      <c r="AE372" s="9">
        <v>25.207497686201179</v>
      </c>
      <c r="AF372" s="9">
        <v>37.796925008193334</v>
      </c>
      <c r="AG372" s="9">
        <v>516.65822069870649</v>
      </c>
      <c r="AH372" s="9">
        <v>24946.24426192811</v>
      </c>
      <c r="AI372" s="9">
        <v>2535.9314661395251</v>
      </c>
      <c r="AJ372" s="9">
        <v>28082.946678620789</v>
      </c>
      <c r="AK372" s="9">
        <v>69678499.700145364</v>
      </c>
      <c r="AL372" s="9">
        <v>62222679.950981684</v>
      </c>
    </row>
    <row r="373" spans="1:38" x14ac:dyDescent="0.25">
      <c r="A373" s="9">
        <v>371</v>
      </c>
      <c r="B373" s="9">
        <v>75</v>
      </c>
      <c r="C373" s="9">
        <v>3.6991666666666666E-3</v>
      </c>
      <c r="D373" s="9">
        <v>0.3431069172745751</v>
      </c>
      <c r="E373" s="9">
        <v>3.4919952785875195</v>
      </c>
      <c r="F373" s="9">
        <v>4.5879155966921408</v>
      </c>
      <c r="G373" s="9">
        <v>7.3725845126963359</v>
      </c>
      <c r="H373" s="9">
        <v>31.687913909451108</v>
      </c>
      <c r="I373" s="9">
        <v>5007.6502958877745</v>
      </c>
      <c r="J373" s="9">
        <v>2172.2800580398348</v>
      </c>
      <c r="K373" s="9">
        <v>889.48514911380289</v>
      </c>
      <c r="L373" s="9">
        <v>1995.8347561744577</v>
      </c>
      <c r="M373" s="9">
        <v>1.4473681553683222</v>
      </c>
      <c r="N373" s="9">
        <v>961.6818074528145</v>
      </c>
      <c r="O373" s="9">
        <v>16.73396997793709</v>
      </c>
      <c r="P373" s="9">
        <v>1.0873433820629128</v>
      </c>
      <c r="Q373" s="9">
        <v>16.73396997793709</v>
      </c>
      <c r="R373" s="9">
        <v>74.191071111804405</v>
      </c>
      <c r="S373" s="9">
        <v>31.707396663645742</v>
      </c>
      <c r="T373" s="9">
        <v>854.13533803743837</v>
      </c>
      <c r="U373" s="9">
        <v>1336.3729597275278</v>
      </c>
      <c r="V373" s="9">
        <v>3435.9111229781283</v>
      </c>
      <c r="W373" s="9">
        <v>140269.70155091491</v>
      </c>
      <c r="X373" s="9">
        <v>140860.52078859412</v>
      </c>
      <c r="Y373" s="9">
        <v>590.81923767917624</v>
      </c>
      <c r="Z373" s="9">
        <v>245010.45329547365</v>
      </c>
      <c r="AA373" s="9">
        <v>246122.55178724771</v>
      </c>
      <c r="AB373" s="9">
        <v>1112.098491774098</v>
      </c>
      <c r="AC373" s="9">
        <v>1.8687890094221855</v>
      </c>
      <c r="AD373" s="9">
        <v>19.019734284040023</v>
      </c>
      <c r="AE373" s="9">
        <v>24.988846949983191</v>
      </c>
      <c r="AF373" s="9">
        <v>37.520311349197101</v>
      </c>
      <c r="AG373" s="9">
        <v>513.66108447220245</v>
      </c>
      <c r="AH373" s="9">
        <v>24826.476302613319</v>
      </c>
      <c r="AI373" s="9">
        <v>2523.7502374428827</v>
      </c>
      <c r="AJ373" s="9">
        <v>27947.285306121048</v>
      </c>
      <c r="AK373" s="9">
        <v>69706446.98545149</v>
      </c>
      <c r="AL373" s="9">
        <v>62228655.633396238</v>
      </c>
    </row>
    <row r="374" spans="1:38" x14ac:dyDescent="0.25">
      <c r="A374" s="9">
        <v>372</v>
      </c>
      <c r="B374" s="9">
        <v>76</v>
      </c>
      <c r="C374" s="9">
        <v>3.6991666666666666E-3</v>
      </c>
      <c r="D374" s="9">
        <v>0.33829835434830569</v>
      </c>
      <c r="E374" s="9">
        <v>3.4568627534751877</v>
      </c>
      <c r="F374" s="9">
        <v>4.5480838785675362</v>
      </c>
      <c r="G374" s="9">
        <v>7.3185623851833608</v>
      </c>
      <c r="H374" s="9">
        <v>31.5039770030574</v>
      </c>
      <c r="I374" s="9">
        <v>5007.7256602559228</v>
      </c>
      <c r="J374" s="9">
        <v>2164.2444320584691</v>
      </c>
      <c r="K374" s="9">
        <v>886.19479529970613</v>
      </c>
      <c r="L374" s="9">
        <v>1986.28286080881</v>
      </c>
      <c r="M374" s="9">
        <v>1.4403340971267653</v>
      </c>
      <c r="N374" s="9">
        <v>963.12214154994126</v>
      </c>
      <c r="O374" s="9">
        <v>16.659493979056169</v>
      </c>
      <c r="P374" s="9">
        <v>1.0771792209438305</v>
      </c>
      <c r="Q374" s="9">
        <v>16.659493979056169</v>
      </c>
      <c r="R374" s="9">
        <v>73.828920038190873</v>
      </c>
      <c r="S374" s="9">
        <v>31.555070304510092</v>
      </c>
      <c r="T374" s="9">
        <v>855.53809076572622</v>
      </c>
      <c r="U374" s="9">
        <v>1338.8193276958846</v>
      </c>
      <c r="V374" s="9">
        <v>3455.2493154421932</v>
      </c>
      <c r="W374" s="9">
        <v>141468.40715807609</v>
      </c>
      <c r="X374" s="9">
        <v>142065.05590382271</v>
      </c>
      <c r="Y374" s="9">
        <v>596.64874574657392</v>
      </c>
      <c r="Z374" s="9">
        <v>250191.18985439427</v>
      </c>
      <c r="AA374" s="9">
        <v>251328.48314411109</v>
      </c>
      <c r="AB374" s="9">
        <v>1137.2932897168669</v>
      </c>
      <c r="AC374" s="9">
        <v>1.8425983700171049</v>
      </c>
      <c r="AD374" s="9">
        <v>18.828379130594854</v>
      </c>
      <c r="AE374" s="9">
        <v>24.771896858597845</v>
      </c>
      <c r="AF374" s="9">
        <v>37.245383738595649</v>
      </c>
      <c r="AG374" s="9">
        <v>510.67946721956048</v>
      </c>
      <c r="AH374" s="9">
        <v>24707.258191315857</v>
      </c>
      <c r="AI374" s="9">
        <v>2511.6258208874806</v>
      </c>
      <c r="AJ374" s="9">
        <v>27812.251737520703</v>
      </c>
      <c r="AK374" s="9">
        <v>69734259.23718901</v>
      </c>
      <c r="AL374" s="9">
        <v>62234577.7674044</v>
      </c>
    </row>
    <row r="375" spans="1:38" x14ac:dyDescent="0.25">
      <c r="A375" s="9">
        <v>373</v>
      </c>
      <c r="B375" s="9">
        <v>76</v>
      </c>
      <c r="C375" s="9">
        <v>4.0049999999999999E-3</v>
      </c>
      <c r="D375" s="9">
        <v>0.33345371938961682</v>
      </c>
      <c r="E375" s="9">
        <v>3.4210124742011288</v>
      </c>
      <c r="F375" s="9">
        <v>4.5071715036036384</v>
      </c>
      <c r="G375" s="9">
        <v>7.2626319951528471</v>
      </c>
      <c r="H375" s="9">
        <v>31.311358053254772</v>
      </c>
      <c r="I375" s="9">
        <v>5007.8004723966269</v>
      </c>
      <c r="J375" s="9">
        <v>2155.5766331080749</v>
      </c>
      <c r="K375" s="9">
        <v>882.64558514453086</v>
      </c>
      <c r="L375" s="9">
        <v>1976.169208493578</v>
      </c>
      <c r="M375" s="9">
        <v>1.4333339431751713</v>
      </c>
      <c r="N375" s="9">
        <v>964.55547549311643</v>
      </c>
      <c r="O375" s="9">
        <v>16.579797975939591</v>
      </c>
      <c r="P375" s="9">
        <v>1.0722517580604063</v>
      </c>
      <c r="Q375" s="9">
        <v>16.579797975939591</v>
      </c>
      <c r="R375" s="9">
        <v>73.446288002594741</v>
      </c>
      <c r="S375" s="9">
        <v>31.393804202664931</v>
      </c>
      <c r="T375" s="9">
        <v>856.93408354627093</v>
      </c>
      <c r="U375" s="9">
        <v>1341.2539848025215</v>
      </c>
      <c r="V375" s="9">
        <v>3476.0990705264312</v>
      </c>
      <c r="W375" s="9">
        <v>141468.40715807609</v>
      </c>
      <c r="X375" s="9">
        <v>142065.05590382271</v>
      </c>
      <c r="Y375" s="9">
        <v>596.64874574657392</v>
      </c>
      <c r="Z375" s="9">
        <v>250191.18985439427</v>
      </c>
      <c r="AA375" s="9">
        <v>251328.48314411109</v>
      </c>
      <c r="AB375" s="9">
        <v>1137.2932897168669</v>
      </c>
      <c r="AC375" s="9">
        <v>1.8162112582754462</v>
      </c>
      <c r="AD375" s="9">
        <v>18.633114609482146</v>
      </c>
      <c r="AE375" s="9">
        <v>24.549060789627816</v>
      </c>
      <c r="AF375" s="9">
        <v>36.960744661998696</v>
      </c>
      <c r="AG375" s="9">
        <v>507.5571140432599</v>
      </c>
      <c r="AH375" s="9">
        <v>24581.022602532277</v>
      </c>
      <c r="AI375" s="9">
        <v>2498.7898455111153</v>
      </c>
      <c r="AJ375" s="9">
        <v>27669.328693406038</v>
      </c>
      <c r="AK375" s="9">
        <v>69761928.565882415</v>
      </c>
      <c r="AL375" s="9">
        <v>62240445.02155038</v>
      </c>
    </row>
    <row r="376" spans="1:38" x14ac:dyDescent="0.25">
      <c r="A376" s="9">
        <v>374</v>
      </c>
      <c r="B376" s="9">
        <v>76</v>
      </c>
      <c r="C376" s="9">
        <v>4.0049999999999999E-3</v>
      </c>
      <c r="D376" s="9">
        <v>0.32867846250380733</v>
      </c>
      <c r="E376" s="9">
        <v>3.3855202054524729</v>
      </c>
      <c r="F376" s="9">
        <v>4.4665920946211353</v>
      </c>
      <c r="G376" s="9">
        <v>7.2070638231203805</v>
      </c>
      <c r="H376" s="9">
        <v>31.119802473818844</v>
      </c>
      <c r="I376" s="9">
        <v>5007.8747128031582</v>
      </c>
      <c r="J376" s="9">
        <v>2146.9435486924772</v>
      </c>
      <c r="K376" s="9">
        <v>879.110589576027</v>
      </c>
      <c r="L376" s="9">
        <v>1966.10705235</v>
      </c>
      <c r="M376" s="9">
        <v>1.4259291703976933</v>
      </c>
      <c r="N376" s="9">
        <v>965.98140466351413</v>
      </c>
      <c r="O376" s="9">
        <v>16.50001473999405</v>
      </c>
      <c r="P376" s="9">
        <v>1.067042821005949</v>
      </c>
      <c r="Q376" s="9">
        <v>16.50001473999405</v>
      </c>
      <c r="R376" s="9">
        <v>73.065987234341492</v>
      </c>
      <c r="S376" s="9">
        <v>31.233341534245202</v>
      </c>
      <c r="T376" s="9">
        <v>858.32292119551266</v>
      </c>
      <c r="U376" s="9">
        <v>1343.6762372758142</v>
      </c>
      <c r="V376" s="9">
        <v>3496.8555715398466</v>
      </c>
      <c r="W376" s="9">
        <v>141468.40715807609</v>
      </c>
      <c r="X376" s="9">
        <v>142065.05590382271</v>
      </c>
      <c r="Y376" s="9">
        <v>596.64874574657392</v>
      </c>
      <c r="Z376" s="9">
        <v>250191.18985439427</v>
      </c>
      <c r="AA376" s="9">
        <v>251328.48314411109</v>
      </c>
      <c r="AB376" s="9">
        <v>1137.2932897168669</v>
      </c>
      <c r="AC376" s="9">
        <v>1.7902020257707372</v>
      </c>
      <c r="AD376" s="9">
        <v>18.439800052364468</v>
      </c>
      <c r="AE376" s="9">
        <v>24.328038275369781</v>
      </c>
      <c r="AF376" s="9">
        <v>36.677948973163467</v>
      </c>
      <c r="AG376" s="9">
        <v>504.45199810060348</v>
      </c>
      <c r="AH376" s="9">
        <v>24455.399732412494</v>
      </c>
      <c r="AI376" s="9">
        <v>2486.0178194182467</v>
      </c>
      <c r="AJ376" s="9">
        <v>27527.105539258013</v>
      </c>
      <c r="AK376" s="9">
        <v>69789455.671421677</v>
      </c>
      <c r="AL376" s="9">
        <v>62246257.897100531</v>
      </c>
    </row>
    <row r="377" spans="1:38" x14ac:dyDescent="0.25">
      <c r="A377" s="9">
        <v>375</v>
      </c>
      <c r="B377" s="9">
        <v>76</v>
      </c>
      <c r="C377" s="9">
        <v>4.0049999999999999E-3</v>
      </c>
      <c r="D377" s="9">
        <v>0.32397159015533999</v>
      </c>
      <c r="E377" s="9">
        <v>3.3503825886493575</v>
      </c>
      <c r="F377" s="9">
        <v>4.42634343032754</v>
      </c>
      <c r="G377" s="9">
        <v>7.1518562439094078</v>
      </c>
      <c r="H377" s="9">
        <v>30.929304940688105</v>
      </c>
      <c r="I377" s="9">
        <v>5007.9483851781988</v>
      </c>
      <c r="J377" s="9">
        <v>2138.3450397799638</v>
      </c>
      <c r="K377" s="9">
        <v>875.58975166477501</v>
      </c>
      <c r="L377" s="9">
        <v>1956.0961301725331</v>
      </c>
      <c r="M377" s="9">
        <v>1.4185623742412581</v>
      </c>
      <c r="N377" s="9">
        <v>967.39996703775535</v>
      </c>
      <c r="O377" s="9">
        <v>16.420159460107584</v>
      </c>
      <c r="P377" s="9">
        <v>1.0618589798924167</v>
      </c>
      <c r="Q377" s="9">
        <v>16.420159460107584</v>
      </c>
      <c r="R377" s="9">
        <v>72.687996889067435</v>
      </c>
      <c r="S377" s="9">
        <v>31.073678534735429</v>
      </c>
      <c r="T377" s="9">
        <v>859.70463959878714</v>
      </c>
      <c r="U377" s="9">
        <v>1346.0861430621596</v>
      </c>
      <c r="V377" s="9">
        <v>3517.5192416455488</v>
      </c>
      <c r="W377" s="9">
        <v>141468.40715807609</v>
      </c>
      <c r="X377" s="9">
        <v>142065.05590382271</v>
      </c>
      <c r="Y377" s="9">
        <v>596.64874574657392</v>
      </c>
      <c r="Z377" s="9">
        <v>250191.18985439427</v>
      </c>
      <c r="AA377" s="9">
        <v>251328.48314411109</v>
      </c>
      <c r="AB377" s="9">
        <v>1137.2932897168669</v>
      </c>
      <c r="AC377" s="9">
        <v>1.7645652610460851</v>
      </c>
      <c r="AD377" s="9">
        <v>18.248417166176832</v>
      </c>
      <c r="AE377" s="9">
        <v>24.108817217184001</v>
      </c>
      <c r="AF377" s="9">
        <v>36.396988401295623</v>
      </c>
      <c r="AG377" s="9">
        <v>501.36403308855421</v>
      </c>
      <c r="AH377" s="9">
        <v>24330.388036766581</v>
      </c>
      <c r="AI377" s="9">
        <v>2473.3094429722664</v>
      </c>
      <c r="AJ377" s="9">
        <v>27385.580300873105</v>
      </c>
      <c r="AK377" s="9">
        <v>69816841.251722544</v>
      </c>
      <c r="AL377" s="9">
        <v>62252016.891077787</v>
      </c>
    </row>
    <row r="378" spans="1:38" x14ac:dyDescent="0.25">
      <c r="A378" s="9">
        <v>376</v>
      </c>
      <c r="B378" s="9">
        <v>76</v>
      </c>
      <c r="C378" s="9">
        <v>4.0049999999999999E-3</v>
      </c>
      <c r="D378" s="9">
        <v>0.31933212303670122</v>
      </c>
      <c r="E378" s="9">
        <v>3.3155962931845497</v>
      </c>
      <c r="F378" s="9">
        <v>4.386423297093561</v>
      </c>
      <c r="G378" s="9">
        <v>7.0970076319278119</v>
      </c>
      <c r="H378" s="9">
        <v>30.73986015838301</v>
      </c>
      <c r="I378" s="9">
        <v>5008.0214932078161</v>
      </c>
      <c r="J378" s="9">
        <v>2129.7809678956451</v>
      </c>
      <c r="K378" s="9">
        <v>872.0830147093576</v>
      </c>
      <c r="L378" s="9">
        <v>1946.136181090719</v>
      </c>
      <c r="M378" s="9">
        <v>1.4112333616375017</v>
      </c>
      <c r="N378" s="9">
        <v>968.81120039939287</v>
      </c>
      <c r="O378" s="9">
        <v>16.340246849128995</v>
      </c>
      <c r="P378" s="9">
        <v>1.0567001148710071</v>
      </c>
      <c r="Q378" s="9">
        <v>16.340246849128995</v>
      </c>
      <c r="R378" s="9">
        <v>72.312296413322244</v>
      </c>
      <c r="S378" s="9">
        <v>30.91481147655362</v>
      </c>
      <c r="T378" s="9">
        <v>861.07927449258261</v>
      </c>
      <c r="U378" s="9">
        <v>1348.4837599840996</v>
      </c>
      <c r="V378" s="9">
        <v>3538.090502079805</v>
      </c>
      <c r="W378" s="9">
        <v>141468.40715807609</v>
      </c>
      <c r="X378" s="9">
        <v>142065.05590382271</v>
      </c>
      <c r="Y378" s="9">
        <v>596.64874574657392</v>
      </c>
      <c r="Z378" s="9">
        <v>250191.18985439427</v>
      </c>
      <c r="AA378" s="9">
        <v>251328.48314411109</v>
      </c>
      <c r="AB378" s="9">
        <v>1137.2932897168669</v>
      </c>
      <c r="AC378" s="9">
        <v>1.7392956301398992</v>
      </c>
      <c r="AD378" s="9">
        <v>18.058947810211848</v>
      </c>
      <c r="AE378" s="9">
        <v>23.891385558169596</v>
      </c>
      <c r="AF378" s="9">
        <v>36.117854673485951</v>
      </c>
      <c r="AG378" s="9">
        <v>498.29313316738865</v>
      </c>
      <c r="AH378" s="9">
        <v>24205.985920857231</v>
      </c>
      <c r="AI378" s="9">
        <v>2460.6644194762853</v>
      </c>
      <c r="AJ378" s="9">
        <v>27244.750957172913</v>
      </c>
      <c r="AK378" s="9">
        <v>69844086.002679721</v>
      </c>
      <c r="AL378" s="9">
        <v>62257722.49628441</v>
      </c>
    </row>
    <row r="379" spans="1:38" x14ac:dyDescent="0.25">
      <c r="A379" s="9">
        <v>377</v>
      </c>
      <c r="B379" s="9">
        <v>76</v>
      </c>
      <c r="C379" s="9">
        <v>4.0049999999999999E-3</v>
      </c>
      <c r="D379" s="9">
        <v>0.31475909586464729</v>
      </c>
      <c r="E379" s="9">
        <v>3.2811580162518812</v>
      </c>
      <c r="F379" s="9">
        <v>4.3468294890475159</v>
      </c>
      <c r="G379" s="9">
        <v>7.0425163612550241</v>
      </c>
      <c r="H379" s="9">
        <v>30.551462859759095</v>
      </c>
      <c r="I379" s="9">
        <v>5008.094040561462</v>
      </c>
      <c r="J379" s="9">
        <v>2121.2511951192232</v>
      </c>
      <c r="K379" s="9">
        <v>868.59032223544659</v>
      </c>
      <c r="L379" s="9">
        <v>1936.2269455623864</v>
      </c>
      <c r="M379" s="9">
        <v>1.4039419405059901</v>
      </c>
      <c r="N379" s="9">
        <v>970.21514233989888</v>
      </c>
      <c r="O379" s="9">
        <v>16.260291159326727</v>
      </c>
      <c r="P379" s="9">
        <v>1.0515661066732722</v>
      </c>
      <c r="Q379" s="9">
        <v>16.260291159326727</v>
      </c>
      <c r="R379" s="9">
        <v>71.938865539416526</v>
      </c>
      <c r="S379" s="9">
        <v>30.756736666736469</v>
      </c>
      <c r="T379" s="9">
        <v>862.44686146404797</v>
      </c>
      <c r="U379" s="9">
        <v>1350.8691457369582</v>
      </c>
      <c r="V379" s="9">
        <v>3558.5697721602482</v>
      </c>
      <c r="W379" s="9">
        <v>141468.40715807609</v>
      </c>
      <c r="X379" s="9">
        <v>142065.05590382271</v>
      </c>
      <c r="Y379" s="9">
        <v>596.64874574657392</v>
      </c>
      <c r="Z379" s="9">
        <v>250191.18985439427</v>
      </c>
      <c r="AA379" s="9">
        <v>251328.48314411109</v>
      </c>
      <c r="AB379" s="9">
        <v>1137.2932897168669</v>
      </c>
      <c r="AC379" s="9">
        <v>1.7143878754761122</v>
      </c>
      <c r="AD379" s="9">
        <v>17.871373995185245</v>
      </c>
      <c r="AE379" s="9">
        <v>23.6757312836788</v>
      </c>
      <c r="AF379" s="9">
        <v>35.840539515153694</v>
      </c>
      <c r="AG379" s="9">
        <v>495.23921295669493</v>
      </c>
      <c r="AH379" s="9">
        <v>24082.191742213854</v>
      </c>
      <c r="AI379" s="9">
        <v>2448.0824549888894</v>
      </c>
      <c r="AJ379" s="9">
        <v>27104.615442828934</v>
      </c>
      <c r="AK379" s="9">
        <v>69871190.618122548</v>
      </c>
      <c r="AL379" s="9">
        <v>62263375.201325282</v>
      </c>
    </row>
    <row r="380" spans="1:38" x14ac:dyDescent="0.25">
      <c r="A380" s="9">
        <v>378</v>
      </c>
      <c r="B380" s="9">
        <v>76</v>
      </c>
      <c r="C380" s="9">
        <v>4.0049999999999999E-3</v>
      </c>
      <c r="D380" s="9">
        <v>0.31025155717936842</v>
      </c>
      <c r="E380" s="9">
        <v>3.2470644826745327</v>
      </c>
      <c r="F380" s="9">
        <v>4.3075598081671016</v>
      </c>
      <c r="G380" s="9">
        <v>6.9883808057288981</v>
      </c>
      <c r="H380" s="9">
        <v>30.364107805763101</v>
      </c>
      <c r="I380" s="9">
        <v>5008.1660308919663</v>
      </c>
      <c r="J380" s="9">
        <v>2112.7555840827708</v>
      </c>
      <c r="K380" s="9">
        <v>865.11161799489366</v>
      </c>
      <c r="L380" s="9">
        <v>1926.3681653668871</v>
      </c>
      <c r="M380" s="9">
        <v>1.3966879197488558</v>
      </c>
      <c r="N380" s="9">
        <v>971.61183025964772</v>
      </c>
      <c r="O380" s="9">
        <v>16.180306193391939</v>
      </c>
      <c r="P380" s="9">
        <v>1.0464568366080622</v>
      </c>
      <c r="Q380" s="9">
        <v>16.180306193391939</v>
      </c>
      <c r="R380" s="9">
        <v>71.567684280367871</v>
      </c>
      <c r="S380" s="9">
        <v>30.59945044479597</v>
      </c>
      <c r="T380" s="9">
        <v>863.80743595055776</v>
      </c>
      <c r="U380" s="9">
        <v>1353.2423578855798</v>
      </c>
      <c r="V380" s="9">
        <v>3578.9574692940778</v>
      </c>
      <c r="W380" s="9">
        <v>141468.40715807609</v>
      </c>
      <c r="X380" s="9">
        <v>142065.05590382271</v>
      </c>
      <c r="Y380" s="9">
        <v>596.64874574657392</v>
      </c>
      <c r="Z380" s="9">
        <v>250191.18985439427</v>
      </c>
      <c r="AA380" s="9">
        <v>251328.48314411109</v>
      </c>
      <c r="AB380" s="9">
        <v>1137.2932897168669</v>
      </c>
      <c r="AC380" s="9">
        <v>1.6898368147702931</v>
      </c>
      <c r="AD380" s="9">
        <v>17.68567788230062</v>
      </c>
      <c r="AE380" s="9">
        <v>23.461842421816812</v>
      </c>
      <c r="AF380" s="9">
        <v>35.565034650488649</v>
      </c>
      <c r="AG380" s="9">
        <v>492.2021875314199</v>
      </c>
      <c r="AH380" s="9">
        <v>23959.00381225696</v>
      </c>
      <c r="AI380" s="9">
        <v>2435.5632581535351</v>
      </c>
      <c r="AJ380" s="9">
        <v>26965.17164971129</v>
      </c>
      <c r="AK380" s="9">
        <v>69898155.789772257</v>
      </c>
      <c r="AL380" s="9">
        <v>62268975.490631454</v>
      </c>
    </row>
    <row r="381" spans="1:38" x14ac:dyDescent="0.25">
      <c r="A381" s="9">
        <v>379</v>
      </c>
      <c r="B381" s="9">
        <v>76</v>
      </c>
      <c r="C381" s="9">
        <v>4.0049999999999999E-3</v>
      </c>
      <c r="D381" s="9">
        <v>0.30580856914652893</v>
      </c>
      <c r="E381" s="9">
        <v>3.213312444733202</v>
      </c>
      <c r="F381" s="9">
        <v>4.2686120643685568</v>
      </c>
      <c r="G381" s="9">
        <v>6.9345993390323217</v>
      </c>
      <c r="H381" s="9">
        <v>30.177789785192036</v>
      </c>
      <c r="I381" s="9">
        <v>5008.2374678355372</v>
      </c>
      <c r="J381" s="9">
        <v>2104.2939979685193</v>
      </c>
      <c r="K381" s="9">
        <v>861.64684596482414</v>
      </c>
      <c r="L381" s="9">
        <v>1916.5595835983677</v>
      </c>
      <c r="M381" s="9">
        <v>1.3894711092454632</v>
      </c>
      <c r="N381" s="9">
        <v>973.00130136889322</v>
      </c>
      <c r="O381" s="9">
        <v>16.10030531544151</v>
      </c>
      <c r="P381" s="9">
        <v>1.0413721865584893</v>
      </c>
      <c r="Q381" s="9">
        <v>16.10030531544151</v>
      </c>
      <c r="R381" s="9">
        <v>71.198732924943442</v>
      </c>
      <c r="S381" s="9">
        <v>30.442949180713509</v>
      </c>
      <c r="T381" s="9">
        <v>865.16103323930906</v>
      </c>
      <c r="U381" s="9">
        <v>1355.6034538611027</v>
      </c>
      <c r="V381" s="9">
        <v>3599.2540089862323</v>
      </c>
      <c r="W381" s="9">
        <v>141468.40715807609</v>
      </c>
      <c r="X381" s="9">
        <v>142065.05590382271</v>
      </c>
      <c r="Y381" s="9">
        <v>596.64874574657392</v>
      </c>
      <c r="Z381" s="9">
        <v>250191.18985439427</v>
      </c>
      <c r="AA381" s="9">
        <v>251328.48314411109</v>
      </c>
      <c r="AB381" s="9">
        <v>1137.2932897168669</v>
      </c>
      <c r="AC381" s="9">
        <v>1.6656373399514275</v>
      </c>
      <c r="AD381" s="9">
        <v>17.501841782313505</v>
      </c>
      <c r="AE381" s="9">
        <v>23.249707043927405</v>
      </c>
      <c r="AF381" s="9">
        <v>35.291331802891989</v>
      </c>
      <c r="AG381" s="9">
        <v>489.18197241796292</v>
      </c>
      <c r="AH381" s="9">
        <v>23836.420397948845</v>
      </c>
      <c r="AI381" s="9">
        <v>2423.1065400388916</v>
      </c>
      <c r="AJ381" s="9">
        <v>26826.417428374785</v>
      </c>
      <c r="AK381" s="9">
        <v>69924982.207200631</v>
      </c>
      <c r="AL381" s="9">
        <v>62274523.844483927</v>
      </c>
    </row>
    <row r="382" spans="1:38" x14ac:dyDescent="0.25">
      <c r="A382" s="9">
        <v>380</v>
      </c>
      <c r="B382" s="9">
        <v>76</v>
      </c>
      <c r="C382" s="9">
        <v>4.0049999999999999E-3</v>
      </c>
      <c r="D382" s="9">
        <v>0.30142920736214218</v>
      </c>
      <c r="E382" s="9">
        <v>3.1798986819941848</v>
      </c>
      <c r="F382" s="9">
        <v>4.229984075593257</v>
      </c>
      <c r="G382" s="9">
        <v>6.8811703347795401</v>
      </c>
      <c r="H382" s="9">
        <v>29.992503614455178</v>
      </c>
      <c r="I382" s="9">
        <v>5008.3083550117572</v>
      </c>
      <c r="J382" s="9">
        <v>2095.8663005066555</v>
      </c>
      <c r="K382" s="9">
        <v>858.195950346735</v>
      </c>
      <c r="L382" s="9">
        <v>1906.8009446590745</v>
      </c>
      <c r="M382" s="9">
        <v>1.3822913198471103</v>
      </c>
      <c r="N382" s="9">
        <v>974.38359268874035</v>
      </c>
      <c r="O382" s="9">
        <v>16.020301465021092</v>
      </c>
      <c r="P382" s="9">
        <v>1.0363120389789089</v>
      </c>
      <c r="Q382" s="9">
        <v>16.020301465021092</v>
      </c>
      <c r="R382" s="9">
        <v>70.831992032797316</v>
      </c>
      <c r="S382" s="9">
        <v>30.28722927306524</v>
      </c>
      <c r="T382" s="9">
        <v>866.50768846695041</v>
      </c>
      <c r="U382" s="9">
        <v>1357.952490957776</v>
      </c>
      <c r="V382" s="9">
        <v>3619.4598048475391</v>
      </c>
      <c r="W382" s="9">
        <v>141468.40715807609</v>
      </c>
      <c r="X382" s="9">
        <v>142065.05590382271</v>
      </c>
      <c r="Y382" s="9">
        <v>596.64874574657392</v>
      </c>
      <c r="Z382" s="9">
        <v>250191.18985439427</v>
      </c>
      <c r="AA382" s="9">
        <v>251328.48314411109</v>
      </c>
      <c r="AB382" s="9">
        <v>1137.2932897168669</v>
      </c>
      <c r="AC382" s="9">
        <v>1.6417844160991344</v>
      </c>
      <c r="AD382" s="9">
        <v>17.319848154594993</v>
      </c>
      <c r="AE382" s="9">
        <v>23.039313265064603</v>
      </c>
      <c r="AF382" s="9">
        <v>35.019422695415543</v>
      </c>
      <c r="AG382" s="9">
        <v>486.17848359031848</v>
      </c>
      <c r="AH382" s="9">
        <v>23714.439724289332</v>
      </c>
      <c r="AI382" s="9">
        <v>2410.7120139896278</v>
      </c>
      <c r="AJ382" s="9">
        <v>26688.350590400452</v>
      </c>
      <c r="AK382" s="9">
        <v>69951670.557791039</v>
      </c>
      <c r="AL382" s="9">
        <v>62280020.739037909</v>
      </c>
    </row>
    <row r="383" spans="1:38" x14ac:dyDescent="0.25">
      <c r="A383" s="9">
        <v>381</v>
      </c>
      <c r="B383" s="9">
        <v>76</v>
      </c>
      <c r="C383" s="9">
        <v>4.0049999999999999E-3</v>
      </c>
      <c r="D383" s="9">
        <v>0.29711256066024011</v>
      </c>
      <c r="E383" s="9">
        <v>3.146820001137399</v>
      </c>
      <c r="F383" s="9">
        <v>4.1916736678917745</v>
      </c>
      <c r="G383" s="9">
        <v>6.8280921666021683</v>
      </c>
      <c r="H383" s="9">
        <v>29.808244137338974</v>
      </c>
      <c r="I383" s="9">
        <v>5008.3786960235839</v>
      </c>
      <c r="J383" s="9">
        <v>2087.4723559731265</v>
      </c>
      <c r="K383" s="9">
        <v>854.75887556559633</v>
      </c>
      <c r="L383" s="9">
        <v>1897.0919942526932</v>
      </c>
      <c r="M383" s="9">
        <v>1.3751483633717607</v>
      </c>
      <c r="N383" s="9">
        <v>975.7587410521121</v>
      </c>
      <c r="O383" s="9">
        <v>15.940307168108081</v>
      </c>
      <c r="P383" s="9">
        <v>1.0312762768919188</v>
      </c>
      <c r="Q383" s="9">
        <v>15.940307168108081</v>
      </c>
      <c r="R383" s="9">
        <v>70.467442429700512</v>
      </c>
      <c r="S383" s="9">
        <v>30.132287147290363</v>
      </c>
      <c r="T383" s="9">
        <v>867.8474366192612</v>
      </c>
      <c r="U383" s="9">
        <v>1360.289526329876</v>
      </c>
      <c r="V383" s="9">
        <v>3639.57526860285</v>
      </c>
      <c r="W383" s="9">
        <v>141468.40715807609</v>
      </c>
      <c r="X383" s="9">
        <v>142065.05590382271</v>
      </c>
      <c r="Y383" s="9">
        <v>596.64874574657392</v>
      </c>
      <c r="Z383" s="9">
        <v>250191.18985439427</v>
      </c>
      <c r="AA383" s="9">
        <v>251328.48314411109</v>
      </c>
      <c r="AB383" s="9">
        <v>1137.2932897168669</v>
      </c>
      <c r="AC383" s="9">
        <v>1.6182730803961076</v>
      </c>
      <c r="AD383" s="9">
        <v>17.139679606195031</v>
      </c>
      <c r="AE383" s="9">
        <v>22.83064924445053</v>
      </c>
      <c r="AF383" s="9">
        <v>34.749299051199536</v>
      </c>
      <c r="AG383" s="9">
        <v>483.19163746626481</v>
      </c>
      <c r="AH383" s="9">
        <v>23593.059976017652</v>
      </c>
      <c r="AI383" s="9">
        <v>2398.3793954885764</v>
      </c>
      <c r="AJ383" s="9">
        <v>26550.968909954736</v>
      </c>
      <c r="AK383" s="9">
        <v>69978221.526700988</v>
      </c>
      <c r="AL383" s="9">
        <v>62285466.646347307</v>
      </c>
    </row>
    <row r="384" spans="1:38" x14ac:dyDescent="0.25">
      <c r="A384" s="9">
        <v>382</v>
      </c>
      <c r="B384" s="9">
        <v>76</v>
      </c>
      <c r="C384" s="9">
        <v>4.0049999999999999E-3</v>
      </c>
      <c r="D384" s="9">
        <v>0.29285773092329681</v>
      </c>
      <c r="E384" s="9">
        <v>3.1140732357843834</v>
      </c>
      <c r="F384" s="9">
        <v>4.1536786755054464</v>
      </c>
      <c r="G384" s="9">
        <v>6.7753632082348716</v>
      </c>
      <c r="H384" s="9">
        <v>29.625006224774822</v>
      </c>
      <c r="I384" s="9">
        <v>5008.4484944573505</v>
      </c>
      <c r="J384" s="9">
        <v>2079.112029187454</v>
      </c>
      <c r="K384" s="9">
        <v>851.33556626895609</v>
      </c>
      <c r="L384" s="9">
        <v>1887.4324793777228</v>
      </c>
      <c r="M384" s="9">
        <v>1.3680420525988086</v>
      </c>
      <c r="N384" s="9">
        <v>977.12678310471085</v>
      </c>
      <c r="O384" s="9">
        <v>15.860334549114622</v>
      </c>
      <c r="P384" s="9">
        <v>1.026264783885378</v>
      </c>
      <c r="Q384" s="9">
        <v>15.860334549114622</v>
      </c>
      <c r="R384" s="9">
        <v>70.10506520286215</v>
      </c>
      <c r="S384" s="9">
        <v>29.978119254078305</v>
      </c>
      <c r="T384" s="9">
        <v>869.18031253086474</v>
      </c>
      <c r="U384" s="9">
        <v>1362.6146169886788</v>
      </c>
      <c r="V384" s="9">
        <v>3659.6008100991558</v>
      </c>
      <c r="W384" s="9">
        <v>141468.40715807609</v>
      </c>
      <c r="X384" s="9">
        <v>142065.05590382271</v>
      </c>
      <c r="Y384" s="9">
        <v>596.64874574657392</v>
      </c>
      <c r="Z384" s="9">
        <v>250191.18985439427</v>
      </c>
      <c r="AA384" s="9">
        <v>251328.48314411109</v>
      </c>
      <c r="AB384" s="9">
        <v>1137.2932897168669</v>
      </c>
      <c r="AC384" s="9">
        <v>1.5950984410955564</v>
      </c>
      <c r="AD384" s="9">
        <v>16.961318890905609</v>
      </c>
      <c r="AE384" s="9">
        <v>22.623703185919663</v>
      </c>
      <c r="AF384" s="9">
        <v>34.480952593908633</v>
      </c>
      <c r="AG384" s="9">
        <v>480.2213509035999</v>
      </c>
      <c r="AH384" s="9">
        <v>23472.279299612244</v>
      </c>
      <c r="AI384" s="9">
        <v>2386.1084020283624</v>
      </c>
      <c r="AJ384" s="9">
        <v>26414.270125656036</v>
      </c>
      <c r="AK384" s="9">
        <v>70004635.796826646</v>
      </c>
      <c r="AL384" s="9">
        <v>62290862.034389511</v>
      </c>
    </row>
    <row r="385" spans="1:38" x14ac:dyDescent="0.25">
      <c r="A385" s="9">
        <v>383</v>
      </c>
      <c r="B385" s="9">
        <v>76</v>
      </c>
      <c r="C385" s="9">
        <v>4.0049999999999999E-3</v>
      </c>
      <c r="D385" s="9">
        <v>0.2886638328953669</v>
      </c>
      <c r="E385" s="9">
        <v>3.0816552463262963</v>
      </c>
      <c r="F385" s="9">
        <v>4.1159969409454797</v>
      </c>
      <c r="G385" s="9">
        <v>6.7229818336006897</v>
      </c>
      <c r="H385" s="9">
        <v>29.442784774609699</v>
      </c>
      <c r="I385" s="9">
        <v>5008.5177538827647</v>
      </c>
      <c r="J385" s="9">
        <v>2070.7851855105582</v>
      </c>
      <c r="K385" s="9">
        <v>847.92596732604886</v>
      </c>
      <c r="L385" s="9">
        <v>1877.8221483208815</v>
      </c>
      <c r="M385" s="9">
        <v>1.3609722012638772</v>
      </c>
      <c r="N385" s="9">
        <v>978.4877553059747</v>
      </c>
      <c r="O385" s="9">
        <v>15.780395339890559</v>
      </c>
      <c r="P385" s="9">
        <v>1.0212774441094419</v>
      </c>
      <c r="Q385" s="9">
        <v>15.780395339890559</v>
      </c>
      <c r="R385" s="9">
        <v>69.744841696339805</v>
      </c>
      <c r="S385" s="9">
        <v>29.824722067875278</v>
      </c>
      <c r="T385" s="9">
        <v>870.50635088498075</v>
      </c>
      <c r="U385" s="9">
        <v>1364.9278197995143</v>
      </c>
      <c r="V385" s="9">
        <v>3679.5368373136821</v>
      </c>
      <c r="W385" s="9">
        <v>141468.40715807609</v>
      </c>
      <c r="X385" s="9">
        <v>142065.05590382271</v>
      </c>
      <c r="Y385" s="9">
        <v>596.64874574657392</v>
      </c>
      <c r="Z385" s="9">
        <v>250191.18985439427</v>
      </c>
      <c r="AA385" s="9">
        <v>251328.48314411109</v>
      </c>
      <c r="AB385" s="9">
        <v>1137.2932897168669</v>
      </c>
      <c r="AC385" s="9">
        <v>1.5722556765034317</v>
      </c>
      <c r="AD385" s="9">
        <v>16.784748908323891</v>
      </c>
      <c r="AE385" s="9">
        <v>22.41846333834971</v>
      </c>
      <c r="AF385" s="9">
        <v>34.214375048166175</v>
      </c>
      <c r="AG385" s="9">
        <v>477.26754119642322</v>
      </c>
      <c r="AH385" s="9">
        <v>23352.095804495795</v>
      </c>
      <c r="AI385" s="9">
        <v>2373.8987529925325</v>
      </c>
      <c r="AJ385" s="9">
        <v>26278.251941656094</v>
      </c>
      <c r="AK385" s="9">
        <v>70030914.048768297</v>
      </c>
      <c r="AL385" s="9">
        <v>62296207.367090352</v>
      </c>
    </row>
    <row r="386" spans="1:38" x14ac:dyDescent="0.25">
      <c r="A386" s="9">
        <v>384</v>
      </c>
      <c r="B386" s="9">
        <v>77</v>
      </c>
      <c r="C386" s="9">
        <v>4.0049999999999999E-3</v>
      </c>
      <c r="D386" s="9">
        <v>0.28452999399790019</v>
      </c>
      <c r="E386" s="9">
        <v>3.0495629197519452</v>
      </c>
      <c r="F386" s="9">
        <v>4.0786263150696342</v>
      </c>
      <c r="G386" s="9">
        <v>6.6709464168959878</v>
      </c>
      <c r="H386" s="9">
        <v>29.261574711379595</v>
      </c>
      <c r="I386" s="9">
        <v>5008.586477852913</v>
      </c>
      <c r="J386" s="9">
        <v>2062.4916908425885</v>
      </c>
      <c r="K386" s="9">
        <v>844.53002382690806</v>
      </c>
      <c r="L386" s="9">
        <v>1868.2607506505487</v>
      </c>
      <c r="M386" s="9">
        <v>1.3539386240536468</v>
      </c>
      <c r="N386" s="9">
        <v>979.84169393002833</v>
      </c>
      <c r="O386" s="9">
        <v>15.705786918862838</v>
      </c>
      <c r="P386" s="9">
        <v>1.0110281161371617</v>
      </c>
      <c r="Q386" s="9">
        <v>15.705786918862838</v>
      </c>
      <c r="R386" s="9">
        <v>69.381467480400929</v>
      </c>
      <c r="S386" s="9">
        <v>29.672092085487371</v>
      </c>
      <c r="T386" s="9">
        <v>871.82558621320095</v>
      </c>
      <c r="U386" s="9">
        <v>1367.2291914788559</v>
      </c>
      <c r="V386" s="9">
        <v>3699.3837563619568</v>
      </c>
      <c r="W386" s="9">
        <v>142550.30518142934</v>
      </c>
      <c r="X386" s="9">
        <v>143152.17448416658</v>
      </c>
      <c r="Y386" s="9">
        <v>601.86930273720657</v>
      </c>
      <c r="Z386" s="9">
        <v>255100.88581275247</v>
      </c>
      <c r="AA386" s="9">
        <v>256261.87019627297</v>
      </c>
      <c r="AB386" s="9">
        <v>1160.9843835205561</v>
      </c>
      <c r="AC386" s="9">
        <v>1.5497400339752296</v>
      </c>
      <c r="AD386" s="9">
        <v>16.609952702915592</v>
      </c>
      <c r="AE386" s="9">
        <v>22.214917996079272</v>
      </c>
      <c r="AF386" s="9">
        <v>33.949558139986493</v>
      </c>
      <c r="AG386" s="9">
        <v>474.33012607146327</v>
      </c>
      <c r="AH386" s="9">
        <v>23232.507565356311</v>
      </c>
      <c r="AI386" s="9">
        <v>2361.7501695443671</v>
      </c>
      <c r="AJ386" s="9">
        <v>26142.912029845098</v>
      </c>
      <c r="AK386" s="9">
        <v>70057056.960798144</v>
      </c>
      <c r="AL386" s="9">
        <v>62301503.104349412</v>
      </c>
    </row>
    <row r="387" spans="1:38" x14ac:dyDescent="0.25">
      <c r="A387" s="9">
        <v>385</v>
      </c>
      <c r="B387" s="9">
        <v>77</v>
      </c>
      <c r="C387" s="9">
        <v>4.3349999999999994E-3</v>
      </c>
      <c r="D387" s="9">
        <v>0.28036145925017431</v>
      </c>
      <c r="E387" s="9">
        <v>3.0167868137123555</v>
      </c>
      <c r="F387" s="9">
        <v>4.0402187104725451</v>
      </c>
      <c r="G387" s="9">
        <v>6.6170539203574332</v>
      </c>
      <c r="H387" s="9">
        <v>29.071714666431006</v>
      </c>
      <c r="I387" s="9">
        <v>5008.6546699042619</v>
      </c>
      <c r="J387" s="9">
        <v>2053.550789362786</v>
      </c>
      <c r="K387" s="9">
        <v>840.8689861736184</v>
      </c>
      <c r="L387" s="9">
        <v>1858.1315111625238</v>
      </c>
      <c r="M387" s="9">
        <v>1.3469411366007176</v>
      </c>
      <c r="N387" s="9">
        <v>981.18863506662899</v>
      </c>
      <c r="O387" s="9">
        <v>15.625885784927622</v>
      </c>
      <c r="P387" s="9">
        <v>1.0061144280723797</v>
      </c>
      <c r="Q387" s="9">
        <v>15.625885784927622</v>
      </c>
      <c r="R387" s="9">
        <v>68.997444399037747</v>
      </c>
      <c r="S387" s="9">
        <v>29.51043403441108</v>
      </c>
      <c r="T387" s="9">
        <v>873.13805289531138</v>
      </c>
      <c r="U387" s="9">
        <v>1369.5188242823849</v>
      </c>
      <c r="V387" s="9">
        <v>3720.7699892330784</v>
      </c>
      <c r="W387" s="9">
        <v>142550.30518142934</v>
      </c>
      <c r="X387" s="9">
        <v>143152.17448416658</v>
      </c>
      <c r="Y387" s="9">
        <v>601.86930273720657</v>
      </c>
      <c r="Z387" s="9">
        <v>255100.88581275247</v>
      </c>
      <c r="AA387" s="9">
        <v>256261.87019627297</v>
      </c>
      <c r="AB387" s="9">
        <v>1160.9843835205561</v>
      </c>
      <c r="AC387" s="9">
        <v>1.5270354147159493</v>
      </c>
      <c r="AD387" s="9">
        <v>16.431432178686627</v>
      </c>
      <c r="AE387" s="9">
        <v>22.005724576373794</v>
      </c>
      <c r="AF387" s="9">
        <v>33.675290243019035</v>
      </c>
      <c r="AG387" s="9">
        <v>471.25249474284664</v>
      </c>
      <c r="AH387" s="9">
        <v>23105.836151197185</v>
      </c>
      <c r="AI387" s="9">
        <v>2348.88299696895</v>
      </c>
      <c r="AJ387" s="9">
        <v>25999.611125321779</v>
      </c>
      <c r="AK387" s="9">
        <v>70083056.571923465</v>
      </c>
      <c r="AL387" s="9">
        <v>62306747.959757812</v>
      </c>
    </row>
    <row r="388" spans="1:38" x14ac:dyDescent="0.25">
      <c r="A388" s="9">
        <v>386</v>
      </c>
      <c r="B388" s="9">
        <v>77</v>
      </c>
      <c r="C388" s="9">
        <v>4.3349999999999994E-3</v>
      </c>
      <c r="D388" s="9">
        <v>0.276253996032022</v>
      </c>
      <c r="E388" s="9">
        <v>2.9843515237720788</v>
      </c>
      <c r="F388" s="9">
        <v>4.0021428464662101</v>
      </c>
      <c r="G388" s="9">
        <v>6.5635389738805117</v>
      </c>
      <c r="H388" s="9">
        <v>28.882978057708378</v>
      </c>
      <c r="I388" s="9">
        <v>5008.7223110532859</v>
      </c>
      <c r="J388" s="9">
        <v>2044.6486466908982</v>
      </c>
      <c r="K388" s="9">
        <v>837.22381911855575</v>
      </c>
      <c r="L388" s="9">
        <v>1848.0571898611438</v>
      </c>
      <c r="M388" s="9">
        <v>1.3395350649034226</v>
      </c>
      <c r="N388" s="9">
        <v>982.52817013153242</v>
      </c>
      <c r="O388" s="9">
        <v>15.545916683131043</v>
      </c>
      <c r="P388" s="9">
        <v>1.0009167218689567</v>
      </c>
      <c r="Q388" s="9">
        <v>15.545916683131043</v>
      </c>
      <c r="R388" s="9">
        <v>68.61591795564226</v>
      </c>
      <c r="S388" s="9">
        <v>29.349639496996417</v>
      </c>
      <c r="T388" s="9">
        <v>874.4433518363029</v>
      </c>
      <c r="U388" s="9">
        <v>1371.7960175723861</v>
      </c>
      <c r="V388" s="9">
        <v>3742.0535872265018</v>
      </c>
      <c r="W388" s="9">
        <v>142550.30518142934</v>
      </c>
      <c r="X388" s="9">
        <v>143152.17448416658</v>
      </c>
      <c r="Y388" s="9">
        <v>601.86930273720657</v>
      </c>
      <c r="Z388" s="9">
        <v>255100.88581275247</v>
      </c>
      <c r="AA388" s="9">
        <v>256261.87019627297</v>
      </c>
      <c r="AB388" s="9">
        <v>1160.9843835205561</v>
      </c>
      <c r="AC388" s="9">
        <v>1.5046634317210796</v>
      </c>
      <c r="AD388" s="9">
        <v>16.254767966145256</v>
      </c>
      <c r="AE388" s="9">
        <v>21.798338037085955</v>
      </c>
      <c r="AF388" s="9">
        <v>33.402943761240238</v>
      </c>
      <c r="AG388" s="9">
        <v>468.19307431545286</v>
      </c>
      <c r="AH388" s="9">
        <v>22979.827869219462</v>
      </c>
      <c r="AI388" s="9">
        <v>2336.0845557634298</v>
      </c>
      <c r="AJ388" s="9">
        <v>25857.066212494537</v>
      </c>
      <c r="AK388" s="9">
        <v>70108913.638135955</v>
      </c>
      <c r="AL388" s="9">
        <v>62311942.416265152</v>
      </c>
    </row>
    <row r="389" spans="1:38" x14ac:dyDescent="0.25">
      <c r="A389" s="9">
        <v>387</v>
      </c>
      <c r="B389" s="9">
        <v>77</v>
      </c>
      <c r="C389" s="9">
        <v>4.3349999999999994E-3</v>
      </c>
      <c r="D389" s="9">
        <v>0.27220670960897408</v>
      </c>
      <c r="E389" s="9">
        <v>2.9522536888721738</v>
      </c>
      <c r="F389" s="9">
        <v>3.964396283362448</v>
      </c>
      <c r="G389" s="9">
        <v>6.5103995965795836</v>
      </c>
      <c r="H389" s="9">
        <v>28.695358837257043</v>
      </c>
      <c r="I389" s="9">
        <v>5008.7894051593939</v>
      </c>
      <c r="J389" s="9">
        <v>2035.7850948074931</v>
      </c>
      <c r="K389" s="9">
        <v>833.5944538626768</v>
      </c>
      <c r="L389" s="9">
        <v>1838.0374889938255</v>
      </c>
      <c r="M389" s="9">
        <v>1.3321694583714183</v>
      </c>
      <c r="N389" s="9">
        <v>983.86033958990379</v>
      </c>
      <c r="O389" s="9">
        <v>15.465895242025091</v>
      </c>
      <c r="P389" s="9">
        <v>0.99574567297490868</v>
      </c>
      <c r="Q389" s="9">
        <v>15.465895242025091</v>
      </c>
      <c r="R389" s="9">
        <v>68.236864784510331</v>
      </c>
      <c r="S389" s="9">
        <v>29.189704038794055</v>
      </c>
      <c r="T389" s="9">
        <v>875.74152150152713</v>
      </c>
      <c r="U389" s="9">
        <v>1374.0608339683242</v>
      </c>
      <c r="V389" s="9">
        <v>3763.2350491897123</v>
      </c>
      <c r="W389" s="9">
        <v>142550.30518142934</v>
      </c>
      <c r="X389" s="9">
        <v>143152.17448416658</v>
      </c>
      <c r="Y389" s="9">
        <v>601.86930273720657</v>
      </c>
      <c r="Z389" s="9">
        <v>255100.88581275247</v>
      </c>
      <c r="AA389" s="9">
        <v>256261.87019627297</v>
      </c>
      <c r="AB389" s="9">
        <v>1160.9843835205561</v>
      </c>
      <c r="AC389" s="9">
        <v>1.4826192116702122</v>
      </c>
      <c r="AD389" s="9">
        <v>16.079941758723773</v>
      </c>
      <c r="AE389" s="9">
        <v>21.592745090047465</v>
      </c>
      <c r="AF389" s="9">
        <v>33.132508613592925</v>
      </c>
      <c r="AG389" s="9">
        <v>465.15176675193669</v>
      </c>
      <c r="AH389" s="9">
        <v>22854.480606845322</v>
      </c>
      <c r="AI389" s="9">
        <v>2323.3544929678128</v>
      </c>
      <c r="AJ389" s="9">
        <v>25715.274681239105</v>
      </c>
      <c r="AK389" s="9">
        <v>70134628.912817195</v>
      </c>
      <c r="AL389" s="9">
        <v>62317086.952536859</v>
      </c>
    </row>
    <row r="390" spans="1:38" x14ac:dyDescent="0.25">
      <c r="A390" s="9">
        <v>388</v>
      </c>
      <c r="B390" s="9">
        <v>77</v>
      </c>
      <c r="C390" s="9">
        <v>4.3349999999999994E-3</v>
      </c>
      <c r="D390" s="9">
        <v>0.26821871835495709</v>
      </c>
      <c r="E390" s="9">
        <v>2.9204899780828826</v>
      </c>
      <c r="F390" s="9">
        <v>3.9269765931119331</v>
      </c>
      <c r="G390" s="9">
        <v>6.457633810553725</v>
      </c>
      <c r="H390" s="9">
        <v>28.508850990208973</v>
      </c>
      <c r="I390" s="9">
        <v>5008.8559560617468</v>
      </c>
      <c r="J390" s="9">
        <v>2026.9599664215027</v>
      </c>
      <c r="K390" s="9">
        <v>829.9808219051821</v>
      </c>
      <c r="L390" s="9">
        <v>1828.0721124223253</v>
      </c>
      <c r="M390" s="9">
        <v>1.3248440977551885</v>
      </c>
      <c r="N390" s="9">
        <v>985.18518368765899</v>
      </c>
      <c r="O390" s="9">
        <v>15.385836588132172</v>
      </c>
      <c r="P390" s="9">
        <v>0.99060114586782788</v>
      </c>
      <c r="Q390" s="9">
        <v>15.385836588132172</v>
      </c>
      <c r="R390" s="9">
        <v>67.860261852574141</v>
      </c>
      <c r="S390" s="9">
        <v>29.030623268937156</v>
      </c>
      <c r="T390" s="9">
        <v>877.03260017961259</v>
      </c>
      <c r="U390" s="9">
        <v>1376.3133359178953</v>
      </c>
      <c r="V390" s="9">
        <v>3784.3148715362354</v>
      </c>
      <c r="W390" s="9">
        <v>142550.30518142934</v>
      </c>
      <c r="X390" s="9">
        <v>143152.17448416658</v>
      </c>
      <c r="Y390" s="9">
        <v>601.86930273720657</v>
      </c>
      <c r="Z390" s="9">
        <v>255100.88581275247</v>
      </c>
      <c r="AA390" s="9">
        <v>256261.87019627297</v>
      </c>
      <c r="AB390" s="9">
        <v>1160.9843835205561</v>
      </c>
      <c r="AC390" s="9">
        <v>1.4608979526399994</v>
      </c>
      <c r="AD390" s="9">
        <v>15.906935413958099</v>
      </c>
      <c r="AE390" s="9">
        <v>21.388932510482995</v>
      </c>
      <c r="AF390" s="9">
        <v>32.863974734209663</v>
      </c>
      <c r="AG390" s="9">
        <v>462.12847455128747</v>
      </c>
      <c r="AH390" s="9">
        <v>22729.792205245256</v>
      </c>
      <c r="AI390" s="9">
        <v>2310.692459091053</v>
      </c>
      <c r="AJ390" s="9">
        <v>25574.233879498886</v>
      </c>
      <c r="AK390" s="9">
        <v>70160203.146696687</v>
      </c>
      <c r="AL390" s="9">
        <v>62322182.042980008</v>
      </c>
    </row>
    <row r="391" spans="1:38" x14ac:dyDescent="0.25">
      <c r="A391" s="9">
        <v>389</v>
      </c>
      <c r="B391" s="9">
        <v>77</v>
      </c>
      <c r="C391" s="9">
        <v>4.3349999999999994E-3</v>
      </c>
      <c r="D391" s="9">
        <v>0.26428915356024729</v>
      </c>
      <c r="E391" s="9">
        <v>2.8890570903860313</v>
      </c>
      <c r="F391" s="9">
        <v>3.8898813593526262</v>
      </c>
      <c r="G391" s="9">
        <v>6.4052396409666059</v>
      </c>
      <c r="H391" s="9">
        <v>28.323448534521486</v>
      </c>
      <c r="I391" s="9">
        <v>5008.9219675792856</v>
      </c>
      <c r="J391" s="9">
        <v>2018.1730949670655</v>
      </c>
      <c r="K391" s="9">
        <v>826.38285504222313</v>
      </c>
      <c r="L391" s="9">
        <v>1818.1607656139863</v>
      </c>
      <c r="M391" s="9">
        <v>1.3175587649949132</v>
      </c>
      <c r="N391" s="9">
        <v>986.50274245265393</v>
      </c>
      <c r="O391" s="9">
        <v>15.305755359281227</v>
      </c>
      <c r="P391" s="9">
        <v>0.98548300571877467</v>
      </c>
      <c r="Q391" s="9">
        <v>15.305755359281227</v>
      </c>
      <c r="R391" s="9">
        <v>67.486086453430971</v>
      </c>
      <c r="S391" s="9">
        <v>28.872392837698008</v>
      </c>
      <c r="T391" s="9">
        <v>878.31662598218634</v>
      </c>
      <c r="U391" s="9">
        <v>1378.5535856939441</v>
      </c>
      <c r="V391" s="9">
        <v>3805.2935482569351</v>
      </c>
      <c r="W391" s="9">
        <v>142550.30518142934</v>
      </c>
      <c r="X391" s="9">
        <v>143152.17448416658</v>
      </c>
      <c r="Y391" s="9">
        <v>601.86930273720657</v>
      </c>
      <c r="Z391" s="9">
        <v>255100.88581275247</v>
      </c>
      <c r="AA391" s="9">
        <v>256261.87019627297</v>
      </c>
      <c r="AB391" s="9">
        <v>1160.9843835205561</v>
      </c>
      <c r="AC391" s="9">
        <v>1.4394949230581469</v>
      </c>
      <c r="AD391" s="9">
        <v>15.735730952302584</v>
      </c>
      <c r="AE391" s="9">
        <v>21.18688713727397</v>
      </c>
      <c r="AF391" s="9">
        <v>32.597332072819214</v>
      </c>
      <c r="AG391" s="9">
        <v>459.12310074459333</v>
      </c>
      <c r="AH391" s="9">
        <v>22605.760461348982</v>
      </c>
      <c r="AI391" s="9">
        <v>2298.0981079165731</v>
      </c>
      <c r="AJ391" s="9">
        <v>25433.941115095604</v>
      </c>
      <c r="AK391" s="9">
        <v>70185637.087811783</v>
      </c>
      <c r="AL391" s="9">
        <v>62327228.157769449</v>
      </c>
    </row>
    <row r="392" spans="1:38" x14ac:dyDescent="0.25">
      <c r="A392" s="9">
        <v>390</v>
      </c>
      <c r="B392" s="9">
        <v>77</v>
      </c>
      <c r="C392" s="9">
        <v>4.3349999999999994E-3</v>
      </c>
      <c r="D392" s="9">
        <v>0.26041715924223852</v>
      </c>
      <c r="E392" s="9">
        <v>2.8579517544579978</v>
      </c>
      <c r="F392" s="9">
        <v>3.8531081774558733</v>
      </c>
      <c r="G392" s="9">
        <v>6.3532151161257167</v>
      </c>
      <c r="H392" s="9">
        <v>28.139145520719104</v>
      </c>
      <c r="I392" s="9">
        <v>5008.9874435107649</v>
      </c>
      <c r="J392" s="9">
        <v>2009.4243146003832</v>
      </c>
      <c r="K392" s="9">
        <v>822.80048536561515</v>
      </c>
      <c r="L392" s="9">
        <v>1808.3031556330336</v>
      </c>
      <c r="M392" s="9">
        <v>1.3103132432137465</v>
      </c>
      <c r="N392" s="9">
        <v>987.81305569586766</v>
      </c>
      <c r="O392" s="9">
        <v>15.225665717611486</v>
      </c>
      <c r="P392" s="9">
        <v>0.98039111838851178</v>
      </c>
      <c r="Q392" s="9">
        <v>15.225665717611486</v>
      </c>
      <c r="R392" s="9">
        <v>67.114316201487753</v>
      </c>
      <c r="S392" s="9">
        <v>28.71500843420522</v>
      </c>
      <c r="T392" s="9">
        <v>879.59363684363507</v>
      </c>
      <c r="U392" s="9">
        <v>1380.7816453914349</v>
      </c>
      <c r="V392" s="9">
        <v>3826.1715709312725</v>
      </c>
      <c r="W392" s="9">
        <v>142550.30518142934</v>
      </c>
      <c r="X392" s="9">
        <v>143152.17448416658</v>
      </c>
      <c r="Y392" s="9">
        <v>601.86930273720657</v>
      </c>
      <c r="Z392" s="9">
        <v>255100.88581275247</v>
      </c>
      <c r="AA392" s="9">
        <v>256261.87019627297</v>
      </c>
      <c r="AB392" s="9">
        <v>1160.9843835205561</v>
      </c>
      <c r="AC392" s="9">
        <v>1.4184054606727257</v>
      </c>
      <c r="AD392" s="9">
        <v>15.566310555947894</v>
      </c>
      <c r="AE392" s="9">
        <v>20.986595873209655</v>
      </c>
      <c r="AF392" s="9">
        <v>32.332570595149789</v>
      </c>
      <c r="AG392" s="9">
        <v>456.13554889085668</v>
      </c>
      <c r="AH392" s="9">
        <v>22482.383129797254</v>
      </c>
      <c r="AI392" s="9">
        <v>2285.5710963205643</v>
      </c>
      <c r="AJ392" s="9">
        <v>25294.393657493656</v>
      </c>
      <c r="AK392" s="9">
        <v>70210931.481469274</v>
      </c>
      <c r="AL392" s="9">
        <v>62332225.762874179</v>
      </c>
    </row>
    <row r="393" spans="1:38" x14ac:dyDescent="0.25">
      <c r="A393" s="9">
        <v>391</v>
      </c>
      <c r="B393" s="9">
        <v>77</v>
      </c>
      <c r="C393" s="9">
        <v>4.3349999999999994E-3</v>
      </c>
      <c r="D393" s="9">
        <v>0.25660189195898209</v>
      </c>
      <c r="E393" s="9">
        <v>2.8271707284532672</v>
      </c>
      <c r="F393" s="9">
        <v>3.8166546545702174</v>
      </c>
      <c r="G393" s="9">
        <v>6.3015582675609361</v>
      </c>
      <c r="H393" s="9">
        <v>27.955936031638487</v>
      </c>
      <c r="I393" s="9">
        <v>5009.0523876347852</v>
      </c>
      <c r="J393" s="9">
        <v>2000.7134601965906</v>
      </c>
      <c r="K393" s="9">
        <v>819.23364526155524</v>
      </c>
      <c r="L393" s="9">
        <v>1798.4989911319167</v>
      </c>
      <c r="M393" s="9">
        <v>1.3031073167111384</v>
      </c>
      <c r="N393" s="9">
        <v>989.1161630125788</v>
      </c>
      <c r="O393" s="9">
        <v>15.145581365576239</v>
      </c>
      <c r="P393" s="9">
        <v>0.97532535042376045</v>
      </c>
      <c r="Q393" s="9">
        <v>15.145581365576239</v>
      </c>
      <c r="R393" s="9">
        <v>66.744929026219225</v>
      </c>
      <c r="S393" s="9">
        <v>28.558465784312194</v>
      </c>
      <c r="T393" s="9">
        <v>880.86367052090395</v>
      </c>
      <c r="U393" s="9">
        <v>1382.9975769244757</v>
      </c>
      <c r="V393" s="9">
        <v>3846.9494287385269</v>
      </c>
      <c r="W393" s="9">
        <v>142550.30518142934</v>
      </c>
      <c r="X393" s="9">
        <v>143152.17448416658</v>
      </c>
      <c r="Y393" s="9">
        <v>601.86930273720657</v>
      </c>
      <c r="Z393" s="9">
        <v>255100.88581275247</v>
      </c>
      <c r="AA393" s="9">
        <v>256261.87019627297</v>
      </c>
      <c r="AB393" s="9">
        <v>1160.9843835205561</v>
      </c>
      <c r="AC393" s="9">
        <v>1.3976249715365889</v>
      </c>
      <c r="AD393" s="9">
        <v>15.398656567642128</v>
      </c>
      <c r="AE393" s="9">
        <v>20.788045685225782</v>
      </c>
      <c r="AF393" s="9">
        <v>32.069680283328864</v>
      </c>
      <c r="AG393" s="9">
        <v>453.16572307285992</v>
      </c>
      <c r="AH393" s="9">
        <v>22359.657925743806</v>
      </c>
      <c r="AI393" s="9">
        <v>2273.1110841023292</v>
      </c>
      <c r="AJ393" s="9">
        <v>25155.588740426727</v>
      </c>
      <c r="AK393" s="9">
        <v>70236087.070209697</v>
      </c>
      <c r="AL393" s="9">
        <v>62337175.320084162</v>
      </c>
    </row>
    <row r="394" spans="1:38" x14ac:dyDescent="0.25">
      <c r="A394" s="9">
        <v>392</v>
      </c>
      <c r="B394" s="9">
        <v>77</v>
      </c>
      <c r="C394" s="9">
        <v>4.3349999999999994E-3</v>
      </c>
      <c r="D394" s="9">
        <v>0.25284252062545898</v>
      </c>
      <c r="E394" s="9">
        <v>2.7967107997886007</v>
      </c>
      <c r="F394" s="9">
        <v>3.7805184096629598</v>
      </c>
      <c r="G394" s="9">
        <v>6.2502671301024151</v>
      </c>
      <c r="H394" s="9">
        <v>27.773814182176409</v>
      </c>
      <c r="I394" s="9">
        <v>5009.1168037098223</v>
      </c>
      <c r="J394" s="9">
        <v>1992.0403673466385</v>
      </c>
      <c r="K394" s="9">
        <v>815.68226740934642</v>
      </c>
      <c r="L394" s="9">
        <v>1788.7479823426977</v>
      </c>
      <c r="M394" s="9">
        <v>1.2959407709561963</v>
      </c>
      <c r="N394" s="9">
        <v>990.41210378353503</v>
      </c>
      <c r="O394" s="9">
        <v>15.065515554946519</v>
      </c>
      <c r="P394" s="9">
        <v>0.97028556905348062</v>
      </c>
      <c r="Q394" s="9">
        <v>15.065515554946519</v>
      </c>
      <c r="R394" s="9">
        <v>66.377903166537479</v>
      </c>
      <c r="S394" s="9">
        <v>28.402760648627627</v>
      </c>
      <c r="T394" s="9">
        <v>882.12676459335171</v>
      </c>
      <c r="U394" s="9">
        <v>1385.2014420234548</v>
      </c>
      <c r="V394" s="9">
        <v>3867.6276084689921</v>
      </c>
      <c r="W394" s="9">
        <v>142550.30518142934</v>
      </c>
      <c r="X394" s="9">
        <v>143152.17448416658</v>
      </c>
      <c r="Y394" s="9">
        <v>601.86930273720657</v>
      </c>
      <c r="Z394" s="9">
        <v>255100.88581275247</v>
      </c>
      <c r="AA394" s="9">
        <v>256261.87019627297</v>
      </c>
      <c r="AB394" s="9">
        <v>1160.9843835205561</v>
      </c>
      <c r="AC394" s="9">
        <v>1.3771489290066665</v>
      </c>
      <c r="AD394" s="9">
        <v>15.232751489515245</v>
      </c>
      <c r="AE394" s="9">
        <v>20.591223604630919</v>
      </c>
      <c r="AF394" s="9">
        <v>31.80865113627954</v>
      </c>
      <c r="AG394" s="9">
        <v>450.21352789307963</v>
      </c>
      <c r="AH394" s="9">
        <v>22237.582525776397</v>
      </c>
      <c r="AI394" s="9">
        <v>2260.717733827516</v>
      </c>
      <c r="AJ394" s="9">
        <v>25017.523562656424</v>
      </c>
      <c r="AK394" s="9">
        <v>70261104.593772352</v>
      </c>
      <c r="AL394" s="9">
        <v>62342077.287037179</v>
      </c>
    </row>
    <row r="395" spans="1:38" x14ac:dyDescent="0.25">
      <c r="A395" s="9">
        <v>393</v>
      </c>
      <c r="B395" s="9">
        <v>77</v>
      </c>
      <c r="C395" s="9">
        <v>4.3349999999999994E-3</v>
      </c>
      <c r="D395" s="9">
        <v>0.24913822633254307</v>
      </c>
      <c r="E395" s="9">
        <v>2.7665687849278346</v>
      </c>
      <c r="F395" s="9">
        <v>3.7446970735595086</v>
      </c>
      <c r="G395" s="9">
        <v>6.1993397419577665</v>
      </c>
      <c r="H395" s="9">
        <v>27.592774119040772</v>
      </c>
      <c r="I395" s="9">
        <v>5009.1806954742651</v>
      </c>
      <c r="J395" s="9">
        <v>1983.4048723541907</v>
      </c>
      <c r="K395" s="9">
        <v>812.14628478012696</v>
      </c>
      <c r="L395" s="9">
        <v>1779.0498410684877</v>
      </c>
      <c r="M395" s="9">
        <v>1.2888133925810905</v>
      </c>
      <c r="N395" s="9">
        <v>991.70091717611615</v>
      </c>
      <c r="O395" s="9">
        <v>14.985481101814827</v>
      </c>
      <c r="P395" s="9">
        <v>0.96527164218517369</v>
      </c>
      <c r="Q395" s="9">
        <v>14.985481101814827</v>
      </c>
      <c r="R395" s="9">
        <v>66.013217165270504</v>
      </c>
      <c r="S395" s="9">
        <v>28.247888820659718</v>
      </c>
      <c r="T395" s="9">
        <v>883.38295646262145</v>
      </c>
      <c r="U395" s="9">
        <v>1387.3933022321837</v>
      </c>
      <c r="V395" s="9">
        <v>3888.2065945351228</v>
      </c>
      <c r="W395" s="9">
        <v>142550.30518142934</v>
      </c>
      <c r="X395" s="9">
        <v>143152.17448416658</v>
      </c>
      <c r="Y395" s="9">
        <v>601.86930273720657</v>
      </c>
      <c r="Z395" s="9">
        <v>255100.88581275247</v>
      </c>
      <c r="AA395" s="9">
        <v>256261.87019627297</v>
      </c>
      <c r="AB395" s="9">
        <v>1160.9843835205561</v>
      </c>
      <c r="AC395" s="9">
        <v>1.3569728727579178</v>
      </c>
      <c r="AD395" s="9">
        <v>15.068577981906939</v>
      </c>
      <c r="AE395" s="9">
        <v>20.396116727320788</v>
      </c>
      <c r="AF395" s="9">
        <v>31.549473170113398</v>
      </c>
      <c r="AG395" s="9">
        <v>447.27886846965094</v>
      </c>
      <c r="AH395" s="9">
        <v>22116.154570505871</v>
      </c>
      <c r="AI395" s="9">
        <v>2248.3907106804104</v>
      </c>
      <c r="AJ395" s="9">
        <v>24880.195290408032</v>
      </c>
      <c r="AK395" s="9">
        <v>70285984.789062753</v>
      </c>
      <c r="AL395" s="9">
        <v>62346932.117246062</v>
      </c>
    </row>
    <row r="396" spans="1:38" x14ac:dyDescent="0.25">
      <c r="A396" s="9">
        <v>394</v>
      </c>
      <c r="B396" s="9">
        <v>77</v>
      </c>
      <c r="C396" s="9">
        <v>4.3349999999999994E-3</v>
      </c>
      <c r="D396" s="9">
        <v>0.24548820216861728</v>
      </c>
      <c r="E396" s="9">
        <v>2.7367415291673338</v>
      </c>
      <c r="F396" s="9">
        <v>3.7091882889805512</v>
      </c>
      <c r="G396" s="9">
        <v>6.1487741447885522</v>
      </c>
      <c r="H396" s="9">
        <v>27.41281002050459</v>
      </c>
      <c r="I396" s="9">
        <v>5009.244066646449</v>
      </c>
      <c r="J396" s="9">
        <v>1974.8068122325353</v>
      </c>
      <c r="K396" s="9">
        <v>808.62563063560515</v>
      </c>
      <c r="L396" s="9">
        <v>1769.4042806749289</v>
      </c>
      <c r="M396" s="9">
        <v>1.2817249693744979</v>
      </c>
      <c r="N396" s="9">
        <v>992.98264214549067</v>
      </c>
      <c r="O396" s="9">
        <v>14.905490398598793</v>
      </c>
      <c r="P396" s="9">
        <v>0.96028343840120778</v>
      </c>
      <c r="Q396" s="9">
        <v>14.905490398598793</v>
      </c>
      <c r="R396" s="9">
        <v>65.650849863747808</v>
      </c>
      <c r="S396" s="9">
        <v>28.093846125104161</v>
      </c>
      <c r="T396" s="9">
        <v>884.63228335256304</v>
      </c>
      <c r="U396" s="9">
        <v>1389.5732189051487</v>
      </c>
      <c r="V396" s="9">
        <v>3908.6868689826524</v>
      </c>
      <c r="W396" s="9">
        <v>142550.30518142934</v>
      </c>
      <c r="X396" s="9">
        <v>143152.17448416658</v>
      </c>
      <c r="Y396" s="9">
        <v>601.86930273720657</v>
      </c>
      <c r="Z396" s="9">
        <v>255100.88581275247</v>
      </c>
      <c r="AA396" s="9">
        <v>256261.87019627297</v>
      </c>
      <c r="AB396" s="9">
        <v>1160.9843835205561</v>
      </c>
      <c r="AC396" s="9">
        <v>1.3370924078117354</v>
      </c>
      <c r="AD396" s="9">
        <v>14.906118862198078</v>
      </c>
      <c r="AE396" s="9">
        <v>20.202712213980735</v>
      </c>
      <c r="AF396" s="9">
        <v>31.292136418519739</v>
      </c>
      <c r="AG396" s="9">
        <v>444.36165043237941</v>
      </c>
      <c r="AH396" s="9">
        <v>21995.371666365325</v>
      </c>
      <c r="AI396" s="9">
        <v>2236.1296823276657</v>
      </c>
      <c r="AJ396" s="9">
        <v>24743.601059027882</v>
      </c>
      <c r="AK396" s="9">
        <v>70310728.390121788</v>
      </c>
      <c r="AL396" s="9">
        <v>62351740.260126129</v>
      </c>
    </row>
    <row r="397" spans="1:38" x14ac:dyDescent="0.25">
      <c r="A397" s="9">
        <v>395</v>
      </c>
      <c r="B397" s="9">
        <v>77</v>
      </c>
      <c r="C397" s="9">
        <v>4.3349999999999994E-3</v>
      </c>
      <c r="D397" s="9">
        <v>0.24189165304380275</v>
      </c>
      <c r="E397" s="9">
        <v>2.7072259064221158</v>
      </c>
      <c r="F397" s="9">
        <v>3.6739897105770916</v>
      </c>
      <c r="G397" s="9">
        <v>6.0985683837860476</v>
      </c>
      <c r="H397" s="9">
        <v>27.233916096162929</v>
      </c>
      <c r="I397" s="9">
        <v>5009.3069209246896</v>
      </c>
      <c r="J397" s="9">
        <v>1966.2460247015074</v>
      </c>
      <c r="K397" s="9">
        <v>805.12023852679977</v>
      </c>
      <c r="L397" s="9">
        <v>1759.8110160817228</v>
      </c>
      <c r="M397" s="9">
        <v>1.2746752902750902</v>
      </c>
      <c r="N397" s="9">
        <v>994.2573174357658</v>
      </c>
      <c r="O397" s="9">
        <v>14.825555425044834</v>
      </c>
      <c r="P397" s="9">
        <v>0.95532082695516596</v>
      </c>
      <c r="Q397" s="9">
        <v>14.825555425044834</v>
      </c>
      <c r="R397" s="9">
        <v>65.290780396490774</v>
      </c>
      <c r="S397" s="9">
        <v>27.940628416251929</v>
      </c>
      <c r="T397" s="9">
        <v>885.87478230919032</v>
      </c>
      <c r="U397" s="9">
        <v>1391.7412532048313</v>
      </c>
      <c r="V397" s="9">
        <v>3929.0689115016762</v>
      </c>
      <c r="W397" s="9">
        <v>142550.30518142934</v>
      </c>
      <c r="X397" s="9">
        <v>143152.17448416658</v>
      </c>
      <c r="Y397" s="9">
        <v>601.86930273720657</v>
      </c>
      <c r="Z397" s="9">
        <v>255100.88581275247</v>
      </c>
      <c r="AA397" s="9">
        <v>256261.87019627297</v>
      </c>
      <c r="AB397" s="9">
        <v>1160.9843835205561</v>
      </c>
      <c r="AC397" s="9">
        <v>1.317503203578579</v>
      </c>
      <c r="AD397" s="9">
        <v>14.745357103645789</v>
      </c>
      <c r="AE397" s="9">
        <v>20.010997290276556</v>
      </c>
      <c r="AF397" s="9">
        <v>31.036630933151159</v>
      </c>
      <c r="AG397" s="9">
        <v>441.46177991880108</v>
      </c>
      <c r="AH397" s="9">
        <v>21875.231387164822</v>
      </c>
      <c r="AI397" s="9">
        <v>2223.9343187915724</v>
      </c>
      <c r="AJ397" s="9">
        <v>24607.737974405849</v>
      </c>
      <c r="AK397" s="9">
        <v>70335336.128096193</v>
      </c>
      <c r="AL397" s="9">
        <v>62356502.161022775</v>
      </c>
    </row>
    <row r="398" spans="1:38" x14ac:dyDescent="0.25">
      <c r="A398" s="9">
        <v>396</v>
      </c>
      <c r="B398" s="9">
        <v>78</v>
      </c>
      <c r="C398" s="9">
        <v>4.3349999999999994E-3</v>
      </c>
      <c r="D398" s="9">
        <v>0.23834779551676333</v>
      </c>
      <c r="E398" s="9">
        <v>2.6780188190126673</v>
      </c>
      <c r="F398" s="9">
        <v>3.6390990049633865</v>
      </c>
      <c r="G398" s="9">
        <v>6.0487205077462747</v>
      </c>
      <c r="H398" s="9">
        <v>27.056086586692775</v>
      </c>
      <c r="I398" s="9">
        <v>5009.36926198732</v>
      </c>
      <c r="J398" s="9">
        <v>1957.7223481844264</v>
      </c>
      <c r="K398" s="9">
        <v>801.63004229278613</v>
      </c>
      <c r="L398" s="9">
        <v>1750.2697637542042</v>
      </c>
      <c r="M398" s="9">
        <v>1.2676641453650594</v>
      </c>
      <c r="N398" s="9">
        <v>995.52498158113087</v>
      </c>
      <c r="O398" s="9">
        <v>14.751049356183035</v>
      </c>
      <c r="P398" s="9">
        <v>0.94502208081696448</v>
      </c>
      <c r="Q398" s="9">
        <v>14.751049356183035</v>
      </c>
      <c r="R398" s="9">
        <v>64.927626589054569</v>
      </c>
      <c r="S398" s="9">
        <v>27.788231576505638</v>
      </c>
      <c r="T398" s="9">
        <v>887.11049020066787</v>
      </c>
      <c r="U398" s="9">
        <v>1393.8974660990878</v>
      </c>
      <c r="V398" s="9">
        <v>3949.3531994376922</v>
      </c>
      <c r="W398" s="9">
        <v>143522.94326103476</v>
      </c>
      <c r="X398" s="9">
        <v>144129.4686157211</v>
      </c>
      <c r="Y398" s="9">
        <v>606.5253546863164</v>
      </c>
      <c r="Z398" s="9">
        <v>259735.44933220727</v>
      </c>
      <c r="AA398" s="9">
        <v>260918.61953074005</v>
      </c>
      <c r="AB398" s="9">
        <v>1183.1701985328421</v>
      </c>
      <c r="AC398" s="9">
        <v>1.2982009929146374</v>
      </c>
      <c r="AD398" s="9">
        <v>14.586275834222327</v>
      </c>
      <c r="AE398" s="9">
        <v>19.820959247033912</v>
      </c>
      <c r="AF398" s="9">
        <v>30.782946784005414</v>
      </c>
      <c r="AG398" s="9">
        <v>438.57916357028989</v>
      </c>
      <c r="AH398" s="9">
        <v>21755.731275674159</v>
      </c>
      <c r="AI398" s="9">
        <v>2211.8042923319663</v>
      </c>
      <c r="AJ398" s="9">
        <v>24472.603114434591</v>
      </c>
      <c r="AK398" s="9">
        <v>70359808.731210634</v>
      </c>
      <c r="AL398" s="9">
        <v>62361218.261239216</v>
      </c>
    </row>
    <row r="399" spans="1:38" x14ac:dyDescent="0.25">
      <c r="A399" s="9">
        <v>397</v>
      </c>
      <c r="B399" s="9">
        <v>78</v>
      </c>
      <c r="C399" s="9">
        <v>4.6933333333333332E-3</v>
      </c>
      <c r="D399" s="9">
        <v>0.23477044966398727</v>
      </c>
      <c r="E399" s="9">
        <v>2.6481575740423238</v>
      </c>
      <c r="F399" s="9">
        <v>3.6032098402710382</v>
      </c>
      <c r="G399" s="9">
        <v>5.9970611109623508</v>
      </c>
      <c r="H399" s="9">
        <v>26.869620665922195</v>
      </c>
      <c r="I399" s="9">
        <v>5009.4310934927289</v>
      </c>
      <c r="J399" s="9">
        <v>1948.5341046302808</v>
      </c>
      <c r="K399" s="9">
        <v>797.86772529429197</v>
      </c>
      <c r="L399" s="9">
        <v>1740.1530616962832</v>
      </c>
      <c r="M399" s="9">
        <v>1.260691325863686</v>
      </c>
      <c r="N399" s="9">
        <v>996.78567290699459</v>
      </c>
      <c r="O399" s="9">
        <v>14.67116465647543</v>
      </c>
      <c r="P399" s="9">
        <v>0.94013797452456882</v>
      </c>
      <c r="Q399" s="9">
        <v>14.67116465647543</v>
      </c>
      <c r="R399" s="9">
        <v>64.543599146727274</v>
      </c>
      <c r="S399" s="9">
        <v>27.626694065351494</v>
      </c>
      <c r="T399" s="9">
        <v>888.33944371732787</v>
      </c>
      <c r="U399" s="9">
        <v>1396.0419545597056</v>
      </c>
      <c r="V399" s="9">
        <v>3971.2088763141242</v>
      </c>
      <c r="W399" s="9">
        <v>143522.94326103476</v>
      </c>
      <c r="X399" s="9">
        <v>144129.4686157211</v>
      </c>
      <c r="Y399" s="9">
        <v>606.5253546863164</v>
      </c>
      <c r="Z399" s="9">
        <v>259735.44933220727</v>
      </c>
      <c r="AA399" s="9">
        <v>260918.61953074005</v>
      </c>
      <c r="AB399" s="9">
        <v>1183.1701985328421</v>
      </c>
      <c r="AC399" s="9">
        <v>1.278716382503184</v>
      </c>
      <c r="AD399" s="9">
        <v>14.423631586617189</v>
      </c>
      <c r="AE399" s="9">
        <v>19.625482930009586</v>
      </c>
      <c r="AF399" s="9">
        <v>30.520043503872561</v>
      </c>
      <c r="AG399" s="9">
        <v>435.55655099459881</v>
      </c>
      <c r="AH399" s="9">
        <v>21629.063158039145</v>
      </c>
      <c r="AI399" s="9">
        <v>2198.9467141316522</v>
      </c>
      <c r="AJ399" s="9">
        <v>24329.414297568401</v>
      </c>
      <c r="AK399" s="9">
        <v>70384138.1455082</v>
      </c>
      <c r="AL399" s="9">
        <v>62365887.313243933</v>
      </c>
    </row>
    <row r="400" spans="1:38" x14ac:dyDescent="0.25">
      <c r="A400" s="9">
        <v>398</v>
      </c>
      <c r="B400" s="9">
        <v>78</v>
      </c>
      <c r="C400" s="9">
        <v>4.6933333333333332E-3</v>
      </c>
      <c r="D400" s="9">
        <v>0.23124679595181874</v>
      </c>
      <c r="E400" s="9">
        <v>2.618619810109803</v>
      </c>
      <c r="F400" s="9">
        <v>3.5676491709057823</v>
      </c>
      <c r="G400" s="9">
        <v>5.9457919537390316</v>
      </c>
      <c r="H400" s="9">
        <v>26.684337893509856</v>
      </c>
      <c r="I400" s="9">
        <v>5009.4923969231068</v>
      </c>
      <c r="J400" s="9">
        <v>1939.3889845658828</v>
      </c>
      <c r="K400" s="9">
        <v>794.12306610357746</v>
      </c>
      <c r="L400" s="9">
        <v>1730.0948350017879</v>
      </c>
      <c r="M400" s="9">
        <v>1.2533048763958448</v>
      </c>
      <c r="N400" s="9">
        <v>998.03897778339046</v>
      </c>
      <c r="O400" s="9">
        <v>14.591231380398709</v>
      </c>
      <c r="P400" s="9">
        <v>0.9349686846012909</v>
      </c>
      <c r="Q400" s="9">
        <v>14.591231380398709</v>
      </c>
      <c r="R400" s="9">
        <v>64.162234455858254</v>
      </c>
      <c r="S400" s="9">
        <v>27.466081255682692</v>
      </c>
      <c r="T400" s="9">
        <v>889.56123878490291</v>
      </c>
      <c r="U400" s="9">
        <v>1398.1740092026221</v>
      </c>
      <c r="V400" s="9">
        <v>3992.9519124145754</v>
      </c>
      <c r="W400" s="9">
        <v>143522.94326103476</v>
      </c>
      <c r="X400" s="9">
        <v>144129.4686157211</v>
      </c>
      <c r="Y400" s="9">
        <v>606.5253546863164</v>
      </c>
      <c r="Z400" s="9">
        <v>259735.44933220727</v>
      </c>
      <c r="AA400" s="9">
        <v>260918.61953074005</v>
      </c>
      <c r="AB400" s="9">
        <v>1183.1701985328421</v>
      </c>
      <c r="AC400" s="9">
        <v>1.2595242152842394</v>
      </c>
      <c r="AD400" s="9">
        <v>14.262749232398059</v>
      </c>
      <c r="AE400" s="9">
        <v>19.431795817533494</v>
      </c>
      <c r="AF400" s="9">
        <v>30.259126217903553</v>
      </c>
      <c r="AG400" s="9">
        <v>432.55311725379477</v>
      </c>
      <c r="AH400" s="9">
        <v>21503.108823484392</v>
      </c>
      <c r="AI400" s="9">
        <v>2186.1627375460639</v>
      </c>
      <c r="AJ400" s="9">
        <v>24187.037873767371</v>
      </c>
      <c r="AK400" s="9">
        <v>70408325.183381975</v>
      </c>
      <c r="AL400" s="9">
        <v>62370509.781539083</v>
      </c>
    </row>
    <row r="401" spans="1:38" x14ac:dyDescent="0.25">
      <c r="A401" s="9">
        <v>399</v>
      </c>
      <c r="B401" s="9">
        <v>78</v>
      </c>
      <c r="C401" s="9">
        <v>4.6933333333333332E-3</v>
      </c>
      <c r="D401" s="9">
        <v>0.22777602851857096</v>
      </c>
      <c r="E401" s="9">
        <v>2.5894021771175493</v>
      </c>
      <c r="F401" s="9">
        <v>3.5324143600736768</v>
      </c>
      <c r="G401" s="9">
        <v>5.8949106962430893</v>
      </c>
      <c r="H401" s="9">
        <v>26.500231400665172</v>
      </c>
      <c r="I401" s="9">
        <v>5009.5531762675773</v>
      </c>
      <c r="J401" s="9">
        <v>1930.2867855983202</v>
      </c>
      <c r="K401" s="9">
        <v>790.39598184666465</v>
      </c>
      <c r="L401" s="9">
        <v>1720.0947456783463</v>
      </c>
      <c r="M401" s="9">
        <v>1.2459614699068067</v>
      </c>
      <c r="N401" s="9">
        <v>999.28493925329724</v>
      </c>
      <c r="O401" s="9">
        <v>14.511265645445919</v>
      </c>
      <c r="P401" s="9">
        <v>0.92982763855408257</v>
      </c>
      <c r="Q401" s="9">
        <v>14.511265645445919</v>
      </c>
      <c r="R401" s="9">
        <v>63.783506454882591</v>
      </c>
      <c r="S401" s="9">
        <v>27.306387982990856</v>
      </c>
      <c r="T401" s="9">
        <v>890.77591650987938</v>
      </c>
      <c r="U401" s="9">
        <v>1400.2936973800117</v>
      </c>
      <c r="V401" s="9">
        <v>4014.582894755807</v>
      </c>
      <c r="W401" s="9">
        <v>143522.94326103476</v>
      </c>
      <c r="X401" s="9">
        <v>144129.4686157211</v>
      </c>
      <c r="Y401" s="9">
        <v>606.5253546863164</v>
      </c>
      <c r="Z401" s="9">
        <v>259735.44933220727</v>
      </c>
      <c r="AA401" s="9">
        <v>260918.61953074005</v>
      </c>
      <c r="AB401" s="9">
        <v>1183.1701985328421</v>
      </c>
      <c r="AC401" s="9">
        <v>1.2406201019978165</v>
      </c>
      <c r="AD401" s="9">
        <v>14.103610524700251</v>
      </c>
      <c r="AE401" s="9">
        <v>19.239883547867958</v>
      </c>
      <c r="AF401" s="9">
        <v>30.000183018297122</v>
      </c>
      <c r="AG401" s="9">
        <v>429.56875100478243</v>
      </c>
      <c r="AH401" s="9">
        <v>21377.865556847366</v>
      </c>
      <c r="AI401" s="9">
        <v>2173.451951506157</v>
      </c>
      <c r="AJ401" s="9">
        <v>24045.470556551169</v>
      </c>
      <c r="AK401" s="9">
        <v>70432370.653938532</v>
      </c>
      <c r="AL401" s="9">
        <v>62375086.126312368</v>
      </c>
    </row>
    <row r="402" spans="1:38" x14ac:dyDescent="0.25">
      <c r="A402" s="9">
        <v>400</v>
      </c>
      <c r="B402" s="9">
        <v>78</v>
      </c>
      <c r="C402" s="9">
        <v>4.6933333333333332E-3</v>
      </c>
      <c r="D402" s="9">
        <v>0.22435735359768041</v>
      </c>
      <c r="E402" s="9">
        <v>2.560501357086058</v>
      </c>
      <c r="F402" s="9">
        <v>3.497502786588365</v>
      </c>
      <c r="G402" s="9">
        <v>5.8444150056011583</v>
      </c>
      <c r="H402" s="9">
        <v>26.317294357715046</v>
      </c>
      <c r="I402" s="9">
        <v>5009.6134354913474</v>
      </c>
      <c r="J402" s="9">
        <v>1921.2273062845788</v>
      </c>
      <c r="K402" s="9">
        <v>786.68639003853093</v>
      </c>
      <c r="L402" s="9">
        <v>1710.1524576872096</v>
      </c>
      <c r="M402" s="9">
        <v>1.2386608575050346</v>
      </c>
      <c r="N402" s="9">
        <v>1000.5236001108022</v>
      </c>
      <c r="O402" s="9">
        <v>14.431283035648834</v>
      </c>
      <c r="P402" s="9">
        <v>0.92471468335116647</v>
      </c>
      <c r="Q402" s="9">
        <v>14.431283035648834</v>
      </c>
      <c r="R402" s="9">
        <v>63.407389460715741</v>
      </c>
      <c r="S402" s="9">
        <v>27.147609133787977</v>
      </c>
      <c r="T402" s="9">
        <v>891.98351779133816</v>
      </c>
      <c r="U402" s="9">
        <v>1402.4010862207388</v>
      </c>
      <c r="V402" s="9">
        <v>4036.102407283407</v>
      </c>
      <c r="W402" s="9">
        <v>143522.94326103476</v>
      </c>
      <c r="X402" s="9">
        <v>144129.4686157211</v>
      </c>
      <c r="Y402" s="9">
        <v>606.5253546863164</v>
      </c>
      <c r="Z402" s="9">
        <v>259735.44933220727</v>
      </c>
      <c r="AA402" s="9">
        <v>260918.61953074005</v>
      </c>
      <c r="AB402" s="9">
        <v>1183.1701985328421</v>
      </c>
      <c r="AC402" s="9">
        <v>1.2219997192620327</v>
      </c>
      <c r="AD402" s="9">
        <v>13.946197391595394</v>
      </c>
      <c r="AE402" s="9">
        <v>19.049731844284626</v>
      </c>
      <c r="AF402" s="9">
        <v>29.743202032671892</v>
      </c>
      <c r="AG402" s="9">
        <v>426.60334153856093</v>
      </c>
      <c r="AH402" s="9">
        <v>21253.330600649038</v>
      </c>
      <c r="AI402" s="9">
        <v>2160.8139490038538</v>
      </c>
      <c r="AJ402" s="9">
        <v>23904.709022179268</v>
      </c>
      <c r="AK402" s="9">
        <v>70456275.362960711</v>
      </c>
      <c r="AL402" s="9">
        <v>62379616.803465635</v>
      </c>
    </row>
    <row r="403" spans="1:38" x14ac:dyDescent="0.25">
      <c r="A403" s="9">
        <v>401</v>
      </c>
      <c r="B403" s="9">
        <v>78</v>
      </c>
      <c r="C403" s="9">
        <v>4.6933333333333332E-3</v>
      </c>
      <c r="D403" s="9">
        <v>0.22098998933617198</v>
      </c>
      <c r="E403" s="9">
        <v>2.5319140638910231</v>
      </c>
      <c r="F403" s="9">
        <v>3.4629118448693208</v>
      </c>
      <c r="G403" s="9">
        <v>5.7943025559613082</v>
      </c>
      <c r="H403" s="9">
        <v>26.135519973816027</v>
      </c>
      <c r="I403" s="9">
        <v>5009.6731785357761</v>
      </c>
      <c r="J403" s="9">
        <v>1912.2103461270833</v>
      </c>
      <c r="K403" s="9">
        <v>782.99420858128337</v>
      </c>
      <c r="L403" s="9">
        <v>1700.2676369319602</v>
      </c>
      <c r="M403" s="9">
        <v>1.2314027917356707</v>
      </c>
      <c r="N403" s="9">
        <v>1001.755002902538</v>
      </c>
      <c r="O403" s="9">
        <v>14.351298617208851</v>
      </c>
      <c r="P403" s="9">
        <v>0.91962966679114955</v>
      </c>
      <c r="Q403" s="9">
        <v>14.351298617208851</v>
      </c>
      <c r="R403" s="9">
        <v>63.033858161865012</v>
      </c>
      <c r="S403" s="9">
        <v>26.989739643008381</v>
      </c>
      <c r="T403" s="9">
        <v>893.18408332090917</v>
      </c>
      <c r="U403" s="9">
        <v>1404.4962426275424</v>
      </c>
      <c r="V403" s="9">
        <v>4057.5110308872518</v>
      </c>
      <c r="W403" s="9">
        <v>143522.94326103476</v>
      </c>
      <c r="X403" s="9">
        <v>144129.4686157211</v>
      </c>
      <c r="Y403" s="9">
        <v>606.5253546863164</v>
      </c>
      <c r="Z403" s="9">
        <v>259735.44933220727</v>
      </c>
      <c r="AA403" s="9">
        <v>260918.61953074005</v>
      </c>
      <c r="AB403" s="9">
        <v>1183.1701985328421</v>
      </c>
      <c r="AC403" s="9">
        <v>1.20365880858435</v>
      </c>
      <c r="AD403" s="9">
        <v>13.790491934659771</v>
      </c>
      <c r="AE403" s="9">
        <v>18.861326515054898</v>
      </c>
      <c r="AF403" s="9">
        <v>29.488171424379757</v>
      </c>
      <c r="AG403" s="9">
        <v>423.65677877555783</v>
      </c>
      <c r="AH403" s="9">
        <v>21129.501157480925</v>
      </c>
      <c r="AI403" s="9">
        <v>2148.248326885252</v>
      </c>
      <c r="AJ403" s="9">
        <v>23764.749911824412</v>
      </c>
      <c r="AK403" s="9">
        <v>70480040.112872541</v>
      </c>
      <c r="AL403" s="9">
        <v>62384102.264643788</v>
      </c>
    </row>
    <row r="404" spans="1:38" x14ac:dyDescent="0.25">
      <c r="A404" s="9">
        <v>402</v>
      </c>
      <c r="B404" s="9">
        <v>78</v>
      </c>
      <c r="C404" s="9">
        <v>4.6933333333333332E-3</v>
      </c>
      <c r="D404" s="9">
        <v>0.21767316561584865</v>
      </c>
      <c r="E404" s="9">
        <v>2.5036370430017869</v>
      </c>
      <c r="F404" s="9">
        <v>3.428638944938184</v>
      </c>
      <c r="G404" s="9">
        <v>5.7445710285536755</v>
      </c>
      <c r="H404" s="9">
        <v>25.954901496669734</v>
      </c>
      <c r="I404" s="9">
        <v>5009.732409318447</v>
      </c>
      <c r="J404" s="9">
        <v>1903.2357055692603</v>
      </c>
      <c r="K404" s="9">
        <v>779.31935576234184</v>
      </c>
      <c r="L404" s="9">
        <v>1690.4399512472855</v>
      </c>
      <c r="M404" s="9">
        <v>1.2241870265720258</v>
      </c>
      <c r="N404" s="9">
        <v>1002.97918992911</v>
      </c>
      <c r="O404" s="9">
        <v>14.271326952501669</v>
      </c>
      <c r="P404" s="9">
        <v>0.91457243749833084</v>
      </c>
      <c r="Q404" s="9">
        <v>14.271326952501669</v>
      </c>
      <c r="R404" s="9">
        <v>62.66288761167683</v>
      </c>
      <c r="S404" s="9">
        <v>26.832774491586797</v>
      </c>
      <c r="T404" s="9">
        <v>894.37765358277284</v>
      </c>
      <c r="U404" s="9">
        <v>1406.5792332742956</v>
      </c>
      <c r="V404" s="9">
        <v>4078.8093434169127</v>
      </c>
      <c r="W404" s="9">
        <v>143522.94326103476</v>
      </c>
      <c r="X404" s="9">
        <v>144129.4686157211</v>
      </c>
      <c r="Y404" s="9">
        <v>606.5253546863164</v>
      </c>
      <c r="Z404" s="9">
        <v>259735.44933220727</v>
      </c>
      <c r="AA404" s="9">
        <v>260918.61953074005</v>
      </c>
      <c r="AB404" s="9">
        <v>1183.1701985328421</v>
      </c>
      <c r="AC404" s="9">
        <v>1.1855931753876556</v>
      </c>
      <c r="AD404" s="9">
        <v>13.636476427549733</v>
      </c>
      <c r="AE404" s="9">
        <v>18.674653453429976</v>
      </c>
      <c r="AF404" s="9">
        <v>29.235079392814413</v>
      </c>
      <c r="AG404" s="9">
        <v>420.72895326101639</v>
      </c>
      <c r="AH404" s="9">
        <v>21006.37439198518</v>
      </c>
      <c r="AI404" s="9">
        <v>2135.754685657851</v>
      </c>
      <c r="AJ404" s="9">
        <v>23625.589833353231</v>
      </c>
      <c r="AK404" s="9">
        <v>70503665.70270589</v>
      </c>
      <c r="AL404" s="9">
        <v>62388542.957263887</v>
      </c>
    </row>
    <row r="405" spans="1:38" x14ac:dyDescent="0.25">
      <c r="A405" s="9">
        <v>403</v>
      </c>
      <c r="B405" s="9">
        <v>78</v>
      </c>
      <c r="C405" s="9">
        <v>4.6933333333333332E-3</v>
      </c>
      <c r="D405" s="9">
        <v>0.21440612387716507</v>
      </c>
      <c r="E405" s="9">
        <v>2.4756670712210984</v>
      </c>
      <c r="F405" s="9">
        <v>3.3946815124132206</v>
      </c>
      <c r="G405" s="9">
        <v>5.6952181117501572</v>
      </c>
      <c r="H405" s="9">
        <v>25.77543221224153</v>
      </c>
      <c r="I405" s="9">
        <v>5009.79113173324</v>
      </c>
      <c r="J405" s="9">
        <v>1894.3031859911218</v>
      </c>
      <c r="K405" s="9">
        <v>775.66175025263055</v>
      </c>
      <c r="L405" s="9">
        <v>1680.6690703878153</v>
      </c>
      <c r="M405" s="9">
        <v>1.2170133174071276</v>
      </c>
      <c r="N405" s="9">
        <v>1004.1962032465171</v>
      </c>
      <c r="O405" s="9">
        <v>14.191382115081961</v>
      </c>
      <c r="P405" s="9">
        <v>0.90954284491804038</v>
      </c>
      <c r="Q405" s="9">
        <v>14.191382115081961</v>
      </c>
      <c r="R405" s="9">
        <v>62.294453221717077</v>
      </c>
      <c r="S405" s="9">
        <v>26.676708704195022</v>
      </c>
      <c r="T405" s="9">
        <v>895.56426885369842</v>
      </c>
      <c r="U405" s="9">
        <v>1408.6501246033201</v>
      </c>
      <c r="V405" s="9">
        <v>4099.9979196969971</v>
      </c>
      <c r="W405" s="9">
        <v>143522.94326103476</v>
      </c>
      <c r="X405" s="9">
        <v>144129.4686157211</v>
      </c>
      <c r="Y405" s="9">
        <v>606.5253546863164</v>
      </c>
      <c r="Z405" s="9">
        <v>259735.44933220727</v>
      </c>
      <c r="AA405" s="9">
        <v>260918.61953074005</v>
      </c>
      <c r="AB405" s="9">
        <v>1183.1701985328421</v>
      </c>
      <c r="AC405" s="9">
        <v>1.167798688050959</v>
      </c>
      <c r="AD405" s="9">
        <v>13.484133314584248</v>
      </c>
      <c r="AE405" s="9">
        <v>18.489698637610672</v>
      </c>
      <c r="AF405" s="9">
        <v>28.983914173715174</v>
      </c>
      <c r="AG405" s="9">
        <v>417.81975616043519</v>
      </c>
      <c r="AH405" s="9">
        <v>20883.947433144065</v>
      </c>
      <c r="AI405" s="9">
        <v>2123.3326293104028</v>
      </c>
      <c r="AJ405" s="9">
        <v>23487.225363428865</v>
      </c>
      <c r="AK405" s="9">
        <v>70527152.928069323</v>
      </c>
      <c r="AL405" s="9">
        <v>62392939.324544527</v>
      </c>
    </row>
    <row r="406" spans="1:38" x14ac:dyDescent="0.25">
      <c r="A406" s="9">
        <v>404</v>
      </c>
      <c r="B406" s="9">
        <v>78</v>
      </c>
      <c r="C406" s="9">
        <v>4.6933333333333332E-3</v>
      </c>
      <c r="D406" s="9">
        <v>0.21118811694574446</v>
      </c>
      <c r="E406" s="9">
        <v>2.4480009564261977</v>
      </c>
      <c r="F406" s="9">
        <v>3.36103698850195</v>
      </c>
      <c r="G406" s="9">
        <v>5.6462415011231517</v>
      </c>
      <c r="H406" s="9">
        <v>25.597105444482356</v>
      </c>
      <c r="I406" s="9">
        <v>5009.8493496504061</v>
      </c>
      <c r="J406" s="9">
        <v>1885.4125897048702</v>
      </c>
      <c r="K406" s="9">
        <v>772.02131110477819</v>
      </c>
      <c r="L406" s="9">
        <v>1670.9546660170247</v>
      </c>
      <c r="M406" s="9">
        <v>1.2098814210453193</v>
      </c>
      <c r="N406" s="9">
        <v>1005.4060846675625</v>
      </c>
      <c r="O406" s="9">
        <v>14.111477702687994</v>
      </c>
      <c r="P406" s="9">
        <v>0.90454073931200585</v>
      </c>
      <c r="Q406" s="9">
        <v>14.111477702687994</v>
      </c>
      <c r="R406" s="9">
        <v>61.928530755281784</v>
      </c>
      <c r="S406" s="9">
        <v>26.521537347135926</v>
      </c>
      <c r="T406" s="9">
        <v>896.74396920312665</v>
      </c>
      <c r="U406" s="9">
        <v>1410.7089828227836</v>
      </c>
      <c r="V406" s="9">
        <v>4121.0773315424349</v>
      </c>
      <c r="W406" s="9">
        <v>143522.94326103476</v>
      </c>
      <c r="X406" s="9">
        <v>144129.4686157211</v>
      </c>
      <c r="Y406" s="9">
        <v>606.5253546863164</v>
      </c>
      <c r="Z406" s="9">
        <v>259735.44933220727</v>
      </c>
      <c r="AA406" s="9">
        <v>260918.61953074005</v>
      </c>
      <c r="AB406" s="9">
        <v>1183.1701985328421</v>
      </c>
      <c r="AC406" s="9">
        <v>1.1502712769644881</v>
      </c>
      <c r="AD406" s="9">
        <v>13.333445209334689</v>
      </c>
      <c r="AE406" s="9">
        <v>18.306448130707288</v>
      </c>
      <c r="AF406" s="9">
        <v>28.734664039465905</v>
      </c>
      <c r="AG406" s="9">
        <v>414.92907925505904</v>
      </c>
      <c r="AH406" s="9">
        <v>20762.217376058928</v>
      </c>
      <c r="AI406" s="9">
        <v>2110.981765145284</v>
      </c>
      <c r="AJ406" s="9">
        <v>23349.653049115743</v>
      </c>
      <c r="AK406" s="9">
        <v>70550502.581118435</v>
      </c>
      <c r="AL406" s="9">
        <v>62397291.805535346</v>
      </c>
    </row>
    <row r="407" spans="1:38" x14ac:dyDescent="0.25">
      <c r="A407" s="9">
        <v>405</v>
      </c>
      <c r="B407" s="9">
        <v>78</v>
      </c>
      <c r="C407" s="9">
        <v>4.6933333333333332E-3</v>
      </c>
      <c r="D407" s="9">
        <v>0.20801840886149955</v>
      </c>
      <c r="E407" s="9">
        <v>2.4206355373112354</v>
      </c>
      <c r="F407" s="9">
        <v>3.3277028299919733</v>
      </c>
      <c r="G407" s="9">
        <v>5.5976388995033464</v>
      </c>
      <c r="H407" s="9">
        <v>25.419914555053758</v>
      </c>
      <c r="I407" s="9">
        <v>5009.9070669166395</v>
      </c>
      <c r="J407" s="9">
        <v>1876.563719950522</v>
      </c>
      <c r="K407" s="9">
        <v>768.39795775132643</v>
      </c>
      <c r="L407" s="9">
        <v>1661.2964116962005</v>
      </c>
      <c r="M407" s="9">
        <v>1.2027910956939147</v>
      </c>
      <c r="N407" s="9">
        <v>1006.6088757632564</v>
      </c>
      <c r="O407" s="9">
        <v>14.03162685024625</v>
      </c>
      <c r="P407" s="9">
        <v>0.89956597175374953</v>
      </c>
      <c r="Q407" s="9">
        <v>14.03162685024625</v>
      </c>
      <c r="R407" s="9">
        <v>61.565096321035547</v>
      </c>
      <c r="S407" s="9">
        <v>26.367255526375992</v>
      </c>
      <c r="T407" s="9">
        <v>897.91679449328524</v>
      </c>
      <c r="U407" s="9">
        <v>1412.7558739041517</v>
      </c>
      <c r="V407" s="9">
        <v>4142.0481477737012</v>
      </c>
      <c r="W407" s="9">
        <v>143522.94326103476</v>
      </c>
      <c r="X407" s="9">
        <v>144129.4686157211</v>
      </c>
      <c r="Y407" s="9">
        <v>606.5253546863164</v>
      </c>
      <c r="Z407" s="9">
        <v>259735.44933220727</v>
      </c>
      <c r="AA407" s="9">
        <v>260918.61953074005</v>
      </c>
      <c r="AB407" s="9">
        <v>1183.1701985328421</v>
      </c>
      <c r="AC407" s="9">
        <v>1.1330069335989674</v>
      </c>
      <c r="AD407" s="9">
        <v>13.184394893221862</v>
      </c>
      <c r="AE407" s="9">
        <v>18.124888080689612</v>
      </c>
      <c r="AF407" s="9">
        <v>28.487317299389112</v>
      </c>
      <c r="AG407" s="9">
        <v>412.05681493742145</v>
      </c>
      <c r="AH407" s="9">
        <v>20641.181283764021</v>
      </c>
      <c r="AI407" s="9">
        <v>2098.7017036218972</v>
      </c>
      <c r="AJ407" s="9">
        <v>23212.869409530238</v>
      </c>
      <c r="AK407" s="9">
        <v>70573715.450527966</v>
      </c>
      <c r="AL407" s="9">
        <v>62401600.835146725</v>
      </c>
    </row>
    <row r="408" spans="1:38" x14ac:dyDescent="0.25">
      <c r="A408" s="9">
        <v>406</v>
      </c>
      <c r="B408" s="9">
        <v>78</v>
      </c>
      <c r="C408" s="9">
        <v>4.6933333333333332E-3</v>
      </c>
      <c r="D408" s="9">
        <v>0.20489627471031788</v>
      </c>
      <c r="E408" s="9">
        <v>2.3935676831310371</v>
      </c>
      <c r="F408" s="9">
        <v>3.2946765092400456</v>
      </c>
      <c r="G408" s="9">
        <v>5.549408017036547</v>
      </c>
      <c r="H408" s="9">
        <v>25.243852943055991</v>
      </c>
      <c r="I408" s="9">
        <v>5009.964287355152</v>
      </c>
      <c r="J408" s="9">
        <v>1867.7563808915543</v>
      </c>
      <c r="K408" s="9">
        <v>764.79161000294687</v>
      </c>
      <c r="L408" s="9">
        <v>1651.6939828734719</v>
      </c>
      <c r="M408" s="9">
        <v>1.1957421009549043</v>
      </c>
      <c r="N408" s="9">
        <v>1007.8046178642113</v>
      </c>
      <c r="O408" s="9">
        <v>13.951842244875987</v>
      </c>
      <c r="P408" s="9">
        <v>0.89461839412401201</v>
      </c>
      <c r="Q408" s="9">
        <v>13.951842244875987</v>
      </c>
      <c r="R408" s="9">
        <v>61.204126366775171</v>
      </c>
      <c r="S408" s="9">
        <v>26.213858385710243</v>
      </c>
      <c r="T408" s="9">
        <v>899.08278437933859</v>
      </c>
      <c r="U408" s="9">
        <v>1414.790863579705</v>
      </c>
      <c r="V408" s="9">
        <v>4162.9109342319798</v>
      </c>
      <c r="W408" s="9">
        <v>143522.94326103476</v>
      </c>
      <c r="X408" s="9">
        <v>144129.4686157211</v>
      </c>
      <c r="Y408" s="9">
        <v>606.5253546863164</v>
      </c>
      <c r="Z408" s="9">
        <v>259735.44933220727</v>
      </c>
      <c r="AA408" s="9">
        <v>260918.61953074005</v>
      </c>
      <c r="AB408" s="9">
        <v>1183.1701985328421</v>
      </c>
      <c r="AC408" s="9">
        <v>1.1160017095888646</v>
      </c>
      <c r="AD408" s="9">
        <v>13.036965314120382</v>
      </c>
      <c r="AE408" s="9">
        <v>17.945004720327447</v>
      </c>
      <c r="AF408" s="9">
        <v>28.241862300035159</v>
      </c>
      <c r="AG408" s="9">
        <v>409.20285620693761</v>
      </c>
      <c r="AH408" s="9">
        <v>20520.836189620604</v>
      </c>
      <c r="AI408" s="9">
        <v>2086.4920582106065</v>
      </c>
      <c r="AJ408" s="9">
        <v>23076.870938082222</v>
      </c>
      <c r="AK408" s="9">
        <v>70596792.321466044</v>
      </c>
      <c r="AL408" s="9">
        <v>62405866.844179712</v>
      </c>
    </row>
    <row r="409" spans="1:38" x14ac:dyDescent="0.25">
      <c r="A409" s="9">
        <v>407</v>
      </c>
      <c r="B409" s="9">
        <v>78</v>
      </c>
      <c r="C409" s="9">
        <v>4.6933333333333332E-3</v>
      </c>
      <c r="D409" s="9">
        <v>0.20182100045827361</v>
      </c>
      <c r="E409" s="9">
        <v>2.366794293446226</v>
      </c>
      <c r="F409" s="9">
        <v>3.2619555141594216</v>
      </c>
      <c r="G409" s="9">
        <v>5.501546571239543</v>
      </c>
      <c r="H409" s="9">
        <v>25.068914044759229</v>
      </c>
      <c r="I409" s="9">
        <v>5010.0210147657481</v>
      </c>
      <c r="J409" s="9">
        <v>1858.99037761057</v>
      </c>
      <c r="K409" s="9">
        <v>761.20218804666638</v>
      </c>
      <c r="L409" s="9">
        <v>1642.1470568729046</v>
      </c>
      <c r="M409" s="9">
        <v>1.1887341978167163</v>
      </c>
      <c r="N409" s="9">
        <v>1008.9933520620281</v>
      </c>
      <c r="O409" s="9">
        <v>13.872136136893793</v>
      </c>
      <c r="P409" s="9">
        <v>0.88969785910620747</v>
      </c>
      <c r="Q409" s="9">
        <v>13.872136136893793</v>
      </c>
      <c r="R409" s="9">
        <v>60.845597673315886</v>
      </c>
      <c r="S409" s="9">
        <v>26.061341105065402</v>
      </c>
      <c r="T409" s="9">
        <v>900.24197830958417</v>
      </c>
      <c r="U409" s="9">
        <v>1416.8140173401612</v>
      </c>
      <c r="V409" s="9">
        <v>4183.6662537942702</v>
      </c>
      <c r="W409" s="9">
        <v>143522.94326103476</v>
      </c>
      <c r="X409" s="9">
        <v>144129.4686157211</v>
      </c>
      <c r="Y409" s="9">
        <v>606.5253546863164</v>
      </c>
      <c r="Z409" s="9">
        <v>259735.44933220727</v>
      </c>
      <c r="AA409" s="9">
        <v>260918.61953074005</v>
      </c>
      <c r="AB409" s="9">
        <v>1183.1701985328421</v>
      </c>
      <c r="AC409" s="9">
        <v>1.0992517158293968</v>
      </c>
      <c r="AD409" s="9">
        <v>12.891139584970444</v>
      </c>
      <c r="AE409" s="9">
        <v>17.766784367121648</v>
      </c>
      <c r="AF409" s="9">
        <v>27.998287425466572</v>
      </c>
      <c r="AG409" s="9">
        <v>406.36709666554714</v>
      </c>
      <c r="AH409" s="9">
        <v>20401.179098652352</v>
      </c>
      <c r="AI409" s="9">
        <v>2074.3524452576808</v>
      </c>
      <c r="AJ409" s="9">
        <v>22941.654103668967</v>
      </c>
      <c r="AK409" s="9">
        <v>70619733.97556971</v>
      </c>
      <c r="AL409" s="9">
        <v>62410090.259356052</v>
      </c>
    </row>
    <row r="410" spans="1:38" x14ac:dyDescent="0.25">
      <c r="A410" s="9">
        <v>408</v>
      </c>
      <c r="B410" s="9">
        <v>79</v>
      </c>
      <c r="C410" s="9">
        <v>4.6933333333333332E-3</v>
      </c>
      <c r="D410" s="9">
        <v>0.19879188278832757</v>
      </c>
      <c r="E410" s="9">
        <v>2.3403122978697084</v>
      </c>
      <c r="F410" s="9">
        <v>3.2295373482055179</v>
      </c>
      <c r="G410" s="9">
        <v>5.4540522870550054</v>
      </c>
      <c r="H410" s="9">
        <v>24.895091333337792</v>
      </c>
      <c r="I410" s="9">
        <v>5010.0772529248998</v>
      </c>
      <c r="J410" s="9">
        <v>1850.2655161049845</v>
      </c>
      <c r="K410" s="9">
        <v>757.62961244410064</v>
      </c>
      <c r="L410" s="9">
        <v>1632.6553128836574</v>
      </c>
      <c r="M410" s="9">
        <v>1.1817671486460291</v>
      </c>
      <c r="N410" s="9">
        <v>1010.1751192106741</v>
      </c>
      <c r="O410" s="9">
        <v>13.797971309643165</v>
      </c>
      <c r="P410" s="9">
        <v>0.87935326435683447</v>
      </c>
      <c r="Q410" s="9">
        <v>13.797971309643165</v>
      </c>
      <c r="R410" s="9">
        <v>60.484036392672714</v>
      </c>
      <c r="S410" s="9">
        <v>25.909698898911714</v>
      </c>
      <c r="T410" s="9">
        <v>901.39441552567177</v>
      </c>
      <c r="U410" s="9">
        <v>1418.8254004323405</v>
      </c>
      <c r="V410" s="9">
        <v>4204.3146663884309</v>
      </c>
      <c r="W410" s="9">
        <v>144393.62316964331</v>
      </c>
      <c r="X410" s="9">
        <v>145004.28272604523</v>
      </c>
      <c r="Y410" s="9">
        <v>610.65955640190691</v>
      </c>
      <c r="Z410" s="9">
        <v>264091.6250747366</v>
      </c>
      <c r="AA410" s="9">
        <v>265295.47946392326</v>
      </c>
      <c r="AB410" s="9">
        <v>1203.8543891867409</v>
      </c>
      <c r="AC410" s="9">
        <v>1.0827531215870907</v>
      </c>
      <c r="AD410" s="9">
        <v>12.74690098239701</v>
      </c>
      <c r="AE410" s="9">
        <v>17.590213423226054</v>
      </c>
      <c r="AF410" s="9">
        <v>27.756581097537431</v>
      </c>
      <c r="AG410" s="9">
        <v>403.54943051340564</v>
      </c>
      <c r="AH410" s="9">
        <v>20282.206989732669</v>
      </c>
      <c r="AI410" s="9">
        <v>2062.2824838588776</v>
      </c>
      <c r="AJ410" s="9">
        <v>22807.215352729701</v>
      </c>
      <c r="AK410" s="9">
        <v>70642541.190922439</v>
      </c>
      <c r="AL410" s="9">
        <v>62414271.50334838</v>
      </c>
    </row>
    <row r="411" spans="1:38" x14ac:dyDescent="0.25">
      <c r="A411" s="9">
        <v>409</v>
      </c>
      <c r="B411" s="9">
        <v>79</v>
      </c>
      <c r="C411" s="9">
        <v>5.0808333333333339E-3</v>
      </c>
      <c r="D411" s="9">
        <v>0.19573119708489767</v>
      </c>
      <c r="E411" s="9">
        <v>2.3132117847991114</v>
      </c>
      <c r="F411" s="9">
        <v>3.1961680846374931</v>
      </c>
      <c r="G411" s="9">
        <v>5.4048094516441791</v>
      </c>
      <c r="H411" s="9">
        <v>24.712731470715713</v>
      </c>
      <c r="I411" s="9">
        <v>5010.1330055858225</v>
      </c>
      <c r="J411" s="9">
        <v>1840.8646253952411</v>
      </c>
      <c r="K411" s="9">
        <v>753.78022265487425</v>
      </c>
      <c r="L411" s="9">
        <v>1622.5857780154597</v>
      </c>
      <c r="M411" s="9">
        <v>1.1748407171796367</v>
      </c>
      <c r="N411" s="9">
        <v>1011.3499599278538</v>
      </c>
      <c r="O411" s="9">
        <v>13.718383551074878</v>
      </c>
      <c r="P411" s="9">
        <v>0.8745163589251217</v>
      </c>
      <c r="Q411" s="9">
        <v>13.718383551074878</v>
      </c>
      <c r="R411" s="9">
        <v>60.101574498110786</v>
      </c>
      <c r="S411" s="9">
        <v>25.74888700647293</v>
      </c>
      <c r="T411" s="9">
        <v>902.54013506286583</v>
      </c>
      <c r="U411" s="9">
        <v>1420.8251146613948</v>
      </c>
      <c r="V411" s="9">
        <v>4226.5527622322788</v>
      </c>
      <c r="W411" s="9">
        <v>144393.62316964331</v>
      </c>
      <c r="X411" s="9">
        <v>145004.28272604523</v>
      </c>
      <c r="Y411" s="9">
        <v>610.65955640190691</v>
      </c>
      <c r="Z411" s="9">
        <v>264091.6250747366</v>
      </c>
      <c r="AA411" s="9">
        <v>265295.47946392326</v>
      </c>
      <c r="AB411" s="9">
        <v>1203.8543891867409</v>
      </c>
      <c r="AC411" s="9">
        <v>1.066082586789076</v>
      </c>
      <c r="AD411" s="9">
        <v>12.599293521205826</v>
      </c>
      <c r="AE411" s="9">
        <v>17.408462167658879</v>
      </c>
      <c r="AF411" s="9">
        <v>27.505976100992502</v>
      </c>
      <c r="AG411" s="9">
        <v>400.59337714030175</v>
      </c>
      <c r="AH411" s="9">
        <v>20156.047412276486</v>
      </c>
      <c r="AI411" s="9">
        <v>2049.4826612802131</v>
      </c>
      <c r="AJ411" s="9">
        <v>22664.703265073647</v>
      </c>
      <c r="AK411" s="9">
        <v>70665205.89418751</v>
      </c>
      <c r="AL411" s="9">
        <v>62418409.379466668</v>
      </c>
    </row>
    <row r="412" spans="1:38" x14ac:dyDescent="0.25">
      <c r="A412" s="9">
        <v>410</v>
      </c>
      <c r="B412" s="9">
        <v>79</v>
      </c>
      <c r="C412" s="9">
        <v>5.0808333333333339E-3</v>
      </c>
      <c r="D412" s="9">
        <v>0.1927176350207421</v>
      </c>
      <c r="E412" s="9">
        <v>2.2864172656974144</v>
      </c>
      <c r="F412" s="9">
        <v>3.1631220799119819</v>
      </c>
      <c r="G412" s="9">
        <v>5.355966594460944</v>
      </c>
      <c r="H412" s="9">
        <v>24.531612441721915</v>
      </c>
      <c r="I412" s="9">
        <v>5010.1882548743979</v>
      </c>
      <c r="J412" s="9">
        <v>1831.5114990443788</v>
      </c>
      <c r="K412" s="9">
        <v>749.950390973602</v>
      </c>
      <c r="L412" s="9">
        <v>1612.5783478252436</v>
      </c>
      <c r="M412" s="9">
        <v>1.1674994177384586</v>
      </c>
      <c r="N412" s="9">
        <v>1012.5174593455922</v>
      </c>
      <c r="O412" s="9">
        <v>13.63876968734173</v>
      </c>
      <c r="P412" s="9">
        <v>0.8693925266582696</v>
      </c>
      <c r="Q412" s="9">
        <v>13.63876968734173</v>
      </c>
      <c r="R412" s="9">
        <v>59.721937088109456</v>
      </c>
      <c r="S412" s="9">
        <v>25.589061238679598</v>
      </c>
      <c r="T412" s="9">
        <v>903.6787315686496</v>
      </c>
      <c r="U412" s="9">
        <v>1422.8124483263643</v>
      </c>
      <c r="V412" s="9">
        <v>4248.6677098027812</v>
      </c>
      <c r="W412" s="9">
        <v>144393.62316964331</v>
      </c>
      <c r="X412" s="9">
        <v>145004.28272604523</v>
      </c>
      <c r="Y412" s="9">
        <v>610.65955640190691</v>
      </c>
      <c r="Z412" s="9">
        <v>264091.6250747366</v>
      </c>
      <c r="AA412" s="9">
        <v>265295.47946392326</v>
      </c>
      <c r="AB412" s="9">
        <v>1203.8543891867409</v>
      </c>
      <c r="AC412" s="9">
        <v>1.0496687187463085</v>
      </c>
      <c r="AD412" s="9">
        <v>12.45335270716525</v>
      </c>
      <c r="AE412" s="9">
        <v>17.228471595253929</v>
      </c>
      <c r="AF412" s="9">
        <v>27.257406660310821</v>
      </c>
      <c r="AG412" s="9">
        <v>397.65743768031228</v>
      </c>
      <c r="AH412" s="9">
        <v>20030.651913658447</v>
      </c>
      <c r="AI412" s="9">
        <v>2036.7613292927026</v>
      </c>
      <c r="AJ412" s="9">
        <v>22523.059580312936</v>
      </c>
      <c r="AK412" s="9">
        <v>70687728.953767821</v>
      </c>
      <c r="AL412" s="9">
        <v>62422504.333506152</v>
      </c>
    </row>
    <row r="413" spans="1:38" x14ac:dyDescent="0.25">
      <c r="A413" s="9">
        <v>411</v>
      </c>
      <c r="B413" s="9">
        <v>79</v>
      </c>
      <c r="C413" s="9">
        <v>5.0808333333333339E-3</v>
      </c>
      <c r="D413" s="9">
        <v>0.18975047105995366</v>
      </c>
      <c r="E413" s="9">
        <v>2.259925415180863</v>
      </c>
      <c r="F413" s="9">
        <v>3.1303965230640167</v>
      </c>
      <c r="G413" s="9">
        <v>5.3075210199356029</v>
      </c>
      <c r="H413" s="9">
        <v>24.351726466908172</v>
      </c>
      <c r="I413" s="9">
        <v>5010.2430048793012</v>
      </c>
      <c r="J413" s="9">
        <v>1822.2058943696509</v>
      </c>
      <c r="K413" s="9">
        <v>746.14001802879693</v>
      </c>
      <c r="L413" s="9">
        <v>1602.6326392773401</v>
      </c>
      <c r="M413" s="9">
        <v>1.1602037806506191</v>
      </c>
      <c r="N413" s="9">
        <v>1013.6776631262428</v>
      </c>
      <c r="O413" s="9">
        <v>13.559146242555046</v>
      </c>
      <c r="P413" s="9">
        <v>0.86429855244495368</v>
      </c>
      <c r="Q413" s="9">
        <v>13.559146242555046</v>
      </c>
      <c r="R413" s="9">
        <v>59.345095322330387</v>
      </c>
      <c r="S413" s="9">
        <v>25.430215636626563</v>
      </c>
      <c r="T413" s="9">
        <v>904.81024881077997</v>
      </c>
      <c r="U413" s="9">
        <v>1424.7874735307873</v>
      </c>
      <c r="V413" s="9">
        <v>4270.6601976993707</v>
      </c>
      <c r="W413" s="9">
        <v>144393.62316964331</v>
      </c>
      <c r="X413" s="9">
        <v>145004.28272604523</v>
      </c>
      <c r="Y413" s="9">
        <v>610.65955640190691</v>
      </c>
      <c r="Z413" s="9">
        <v>264091.6250747366</v>
      </c>
      <c r="AA413" s="9">
        <v>265295.47946392326</v>
      </c>
      <c r="AB413" s="9">
        <v>1203.8543891867409</v>
      </c>
      <c r="AC413" s="9">
        <v>1.0335075657065476</v>
      </c>
      <c r="AD413" s="9">
        <v>12.309060428018434</v>
      </c>
      <c r="AE413" s="9">
        <v>17.050226395622008</v>
      </c>
      <c r="AF413" s="9">
        <v>27.010859057288936</v>
      </c>
      <c r="AG413" s="9">
        <v>394.74148602858151</v>
      </c>
      <c r="AH413" s="9">
        <v>19906.017131014869</v>
      </c>
      <c r="AI413" s="9">
        <v>2024.1180135972913</v>
      </c>
      <c r="AJ413" s="9">
        <v>22382.280284087377</v>
      </c>
      <c r="AK413" s="9">
        <v>70710111.234051913</v>
      </c>
      <c r="AL413" s="9">
        <v>62426556.806927249</v>
      </c>
    </row>
    <row r="414" spans="1:38" x14ac:dyDescent="0.25">
      <c r="A414" s="9">
        <v>412</v>
      </c>
      <c r="B414" s="9">
        <v>79</v>
      </c>
      <c r="C414" s="9">
        <v>5.0808333333333339E-3</v>
      </c>
      <c r="D414" s="9">
        <v>0.1868289908372894</v>
      </c>
      <c r="E414" s="9">
        <v>2.2337329418026868</v>
      </c>
      <c r="F414" s="9">
        <v>3.0979886226707367</v>
      </c>
      <c r="G414" s="9">
        <v>5.2594700439633097</v>
      </c>
      <c r="H414" s="9">
        <v>24.173065813679088</v>
      </c>
      <c r="I414" s="9">
        <v>5010.2972596616528</v>
      </c>
      <c r="J414" s="9">
        <v>1812.947569921341</v>
      </c>
      <c r="K414" s="9">
        <v>742.34900495386228</v>
      </c>
      <c r="L414" s="9">
        <v>1592.7482716984837</v>
      </c>
      <c r="M414" s="9">
        <v>1.1529535238711472</v>
      </c>
      <c r="N414" s="9">
        <v>1014.8306166501139</v>
      </c>
      <c r="O414" s="9">
        <v>13.479529174365908</v>
      </c>
      <c r="P414" s="9">
        <v>0.85923426363409239</v>
      </c>
      <c r="Q414" s="9">
        <v>13.479529174365908</v>
      </c>
      <c r="R414" s="9">
        <v>58.971020787143608</v>
      </c>
      <c r="S414" s="9">
        <v>25.272344300727998</v>
      </c>
      <c r="T414" s="9">
        <v>905.93473031584745</v>
      </c>
      <c r="U414" s="9">
        <v>1426.7502620982496</v>
      </c>
      <c r="V414" s="9">
        <v>4292.53091065648</v>
      </c>
      <c r="W414" s="9">
        <v>144393.62316964331</v>
      </c>
      <c r="X414" s="9">
        <v>145004.28272604523</v>
      </c>
      <c r="Y414" s="9">
        <v>610.65955640190691</v>
      </c>
      <c r="Z414" s="9">
        <v>264091.6250747366</v>
      </c>
      <c r="AA414" s="9">
        <v>265295.47946392326</v>
      </c>
      <c r="AB414" s="9">
        <v>1203.8543891867409</v>
      </c>
      <c r="AC414" s="9">
        <v>1.0175952367604362</v>
      </c>
      <c r="AD414" s="9">
        <v>12.166398756351967</v>
      </c>
      <c r="AE414" s="9">
        <v>16.873711364813278</v>
      </c>
      <c r="AF414" s="9">
        <v>26.766319632069944</v>
      </c>
      <c r="AG414" s="9">
        <v>391.84539683973804</v>
      </c>
      <c r="AH414" s="9">
        <v>19782.139663323764</v>
      </c>
      <c r="AI414" s="9">
        <v>2011.552244616445</v>
      </c>
      <c r="AJ414" s="9">
        <v>22242.361329769941</v>
      </c>
      <c r="AK414" s="9">
        <v>70732353.595381677</v>
      </c>
      <c r="AL414" s="9">
        <v>62430567.23688677</v>
      </c>
    </row>
    <row r="415" spans="1:38" x14ac:dyDescent="0.25">
      <c r="A415" s="9">
        <v>413</v>
      </c>
      <c r="B415" s="9">
        <v>79</v>
      </c>
      <c r="C415" s="9">
        <v>5.0808333333333339E-3</v>
      </c>
      <c r="D415" s="9">
        <v>0.1839524909861823</v>
      </c>
      <c r="E415" s="9">
        <v>2.2078365877456099</v>
      </c>
      <c r="F415" s="9">
        <v>3.0658956067953178</v>
      </c>
      <c r="G415" s="9">
        <v>5.2118109939356989</v>
      </c>
      <c r="H415" s="9">
        <v>23.995622795961157</v>
      </c>
      <c r="I415" s="9">
        <v>5010.3510232551362</v>
      </c>
      <c r="J415" s="9">
        <v>1803.736285476499</v>
      </c>
      <c r="K415" s="9">
        <v>738.57725338452587</v>
      </c>
      <c r="L415" s="9">
        <v>1582.9248667632421</v>
      </c>
      <c r="M415" s="9">
        <v>1.1457483670908757</v>
      </c>
      <c r="N415" s="9">
        <v>1015.9763650172048</v>
      </c>
      <c r="O415" s="9">
        <v>13.399933893428798</v>
      </c>
      <c r="P415" s="9">
        <v>0.85419948857120009</v>
      </c>
      <c r="Q415" s="9">
        <v>13.399933893428798</v>
      </c>
      <c r="R415" s="9">
        <v>58.599685487756247</v>
      </c>
      <c r="S415" s="9">
        <v>25.115441387950014</v>
      </c>
      <c r="T415" s="9">
        <v>907.05221936949988</v>
      </c>
      <c r="U415" s="9">
        <v>1428.7008855698734</v>
      </c>
      <c r="V415" s="9">
        <v>4314.2805295645931</v>
      </c>
      <c r="W415" s="9">
        <v>144393.62316964331</v>
      </c>
      <c r="X415" s="9">
        <v>145004.28272604523</v>
      </c>
      <c r="Y415" s="9">
        <v>610.65955640190691</v>
      </c>
      <c r="Z415" s="9">
        <v>264091.6250747366</v>
      </c>
      <c r="AA415" s="9">
        <v>265295.47946392326</v>
      </c>
      <c r="AB415" s="9">
        <v>1203.8543891867409</v>
      </c>
      <c r="AC415" s="9">
        <v>1.0019279009047395</v>
      </c>
      <c r="AD415" s="9">
        <v>12.025349947921088</v>
      </c>
      <c r="AE415" s="9">
        <v>16.698911405011831</v>
      </c>
      <c r="AF415" s="9">
        <v>26.523774783304425</v>
      </c>
      <c r="AG415" s="9">
        <v>388.96904552253039</v>
      </c>
      <c r="AH415" s="9">
        <v>19659.016074570038</v>
      </c>
      <c r="AI415" s="9">
        <v>1999.0635572738813</v>
      </c>
      <c r="AJ415" s="9">
        <v>22103.298641403591</v>
      </c>
      <c r="AK415" s="9">
        <v>70754456.894023076</v>
      </c>
      <c r="AL415" s="9">
        <v>62434536.056269541</v>
      </c>
    </row>
    <row r="416" spans="1:38" x14ac:dyDescent="0.25">
      <c r="A416" s="9">
        <v>414</v>
      </c>
      <c r="B416" s="9">
        <v>79</v>
      </c>
      <c r="C416" s="9">
        <v>5.0808333333333339E-3</v>
      </c>
      <c r="D416" s="9">
        <v>0.18112027896940078</v>
      </c>
      <c r="E416" s="9">
        <v>2.1822331285164154</v>
      </c>
      <c r="F416" s="9">
        <v>3.0341147229295165</v>
      </c>
      <c r="G416" s="9">
        <v>5.1645412087714284</v>
      </c>
      <c r="H416" s="9">
        <v>23.819389773875326</v>
      </c>
      <c r="I416" s="9">
        <v>5010.4042996661137</v>
      </c>
      <c r="J416" s="9">
        <v>1794.5718020327072</v>
      </c>
      <c r="K416" s="9">
        <v>734.82466545628802</v>
      </c>
      <c r="L416" s="9">
        <v>1573.1620484795365</v>
      </c>
      <c r="M416" s="9">
        <v>1.1385880317255959</v>
      </c>
      <c r="N416" s="9">
        <v>1017.1149530489304</v>
      </c>
      <c r="O416" s="9">
        <v>13.320375278407518</v>
      </c>
      <c r="P416" s="9">
        <v>0.84919405659248293</v>
      </c>
      <c r="Q416" s="9">
        <v>13.320375278407518</v>
      </c>
      <c r="R416" s="9">
        <v>58.231061840498967</v>
      </c>
      <c r="S416" s="9">
        <v>24.959501109244197</v>
      </c>
      <c r="T416" s="9">
        <v>908.16275901672782</v>
      </c>
      <c r="U416" s="9">
        <v>1430.6394152019261</v>
      </c>
      <c r="V416" s="9">
        <v>4335.9097314912133</v>
      </c>
      <c r="W416" s="9">
        <v>144393.62316964331</v>
      </c>
      <c r="X416" s="9">
        <v>145004.28272604523</v>
      </c>
      <c r="Y416" s="9">
        <v>610.65955640190691</v>
      </c>
      <c r="Z416" s="9">
        <v>264091.6250747366</v>
      </c>
      <c r="AA416" s="9">
        <v>265295.47946392326</v>
      </c>
      <c r="AB416" s="9">
        <v>1203.8543891867409</v>
      </c>
      <c r="AC416" s="9">
        <v>0.98650178612000283</v>
      </c>
      <c r="AD416" s="9">
        <v>11.885896439986075</v>
      </c>
      <c r="AE416" s="9">
        <v>16.525811524222764</v>
      </c>
      <c r="AF416" s="9">
        <v>26.283210968305927</v>
      </c>
      <c r="AG416" s="9">
        <v>386.11230823451905</v>
      </c>
      <c r="AH416" s="9">
        <v>19536.642895736622</v>
      </c>
      <c r="AI416" s="9">
        <v>1986.6514907902917</v>
      </c>
      <c r="AJ416" s="9">
        <v>21965.088115480066</v>
      </c>
      <c r="AK416" s="9">
        <v>70776421.982138559</v>
      </c>
      <c r="AL416" s="9">
        <v>62438463.69372014</v>
      </c>
    </row>
    <row r="417" spans="1:38" x14ac:dyDescent="0.25">
      <c r="A417" s="9">
        <v>415</v>
      </c>
      <c r="B417" s="9">
        <v>79</v>
      </c>
      <c r="C417" s="9">
        <v>5.0808333333333339E-3</v>
      </c>
      <c r="D417" s="9">
        <v>0.17833167291231569</v>
      </c>
      <c r="E417" s="9">
        <v>2.1569193726425686</v>
      </c>
      <c r="F417" s="9">
        <v>3.0026432379348584</v>
      </c>
      <c r="G417" s="9">
        <v>5.1176580389456543</v>
      </c>
      <c r="H417" s="9">
        <v>23.644359153412985</v>
      </c>
      <c r="I417" s="9">
        <v>5010.4570928737476</v>
      </c>
      <c r="J417" s="9">
        <v>1785.4538818018793</v>
      </c>
      <c r="K417" s="9">
        <v>731.09114380188214</v>
      </c>
      <c r="L417" s="9">
        <v>1563.4594431742494</v>
      </c>
      <c r="M417" s="9">
        <v>1.1314722409052855</v>
      </c>
      <c r="N417" s="9">
        <v>1018.2464252898357</v>
      </c>
      <c r="O417" s="9">
        <v>13.240867690981025</v>
      </c>
      <c r="P417" s="9">
        <v>0.84421779801897623</v>
      </c>
      <c r="Q417" s="9">
        <v>13.240867690981025</v>
      </c>
      <c r="R417" s="9">
        <v>57.865122665266838</v>
      </c>
      <c r="S417" s="9">
        <v>24.804517727146777</v>
      </c>
      <c r="T417" s="9">
        <v>909.26639206218579</v>
      </c>
      <c r="U417" s="9">
        <v>1432.5659219634854</v>
      </c>
      <c r="V417" s="9">
        <v>4357.4191897017381</v>
      </c>
      <c r="W417" s="9">
        <v>144393.62316964331</v>
      </c>
      <c r="X417" s="9">
        <v>145004.28272604523</v>
      </c>
      <c r="Y417" s="9">
        <v>610.65955640190691</v>
      </c>
      <c r="Z417" s="9">
        <v>264091.6250747366</v>
      </c>
      <c r="AA417" s="9">
        <v>265295.47946392326</v>
      </c>
      <c r="AB417" s="9">
        <v>1203.8543891867409</v>
      </c>
      <c r="AC417" s="9">
        <v>0.97131317846241272</v>
      </c>
      <c r="AD417" s="9">
        <v>11.748020849659856</v>
      </c>
      <c r="AE417" s="9">
        <v>16.35439683595186</v>
      </c>
      <c r="AF417" s="9">
        <v>26.044614703200924</v>
      </c>
      <c r="AG417" s="9">
        <v>383.27506187682451</v>
      </c>
      <c r="AH417" s="9">
        <v>19415.016626837772</v>
      </c>
      <c r="AI417" s="9">
        <v>1974.3155884922478</v>
      </c>
      <c r="AJ417" s="9">
        <v>21827.72562277412</v>
      </c>
      <c r="AK417" s="9">
        <v>70798249.707761332</v>
      </c>
      <c r="AL417" s="9">
        <v>62442350.573674768</v>
      </c>
    </row>
    <row r="418" spans="1:38" x14ac:dyDescent="0.25">
      <c r="A418" s="9">
        <v>416</v>
      </c>
      <c r="B418" s="9">
        <v>79</v>
      </c>
      <c r="C418" s="9">
        <v>5.0808333333333339E-3</v>
      </c>
      <c r="D418" s="9">
        <v>0.17558600143873423</v>
      </c>
      <c r="E418" s="9">
        <v>2.1318921613709003</v>
      </c>
      <c r="F418" s="9">
        <v>2.9714784379825154</v>
      </c>
      <c r="G418" s="9">
        <v>5.0711588465184256</v>
      </c>
      <c r="H418" s="9">
        <v>23.470523386115371</v>
      </c>
      <c r="I418" s="9">
        <v>5010.5094068301141</v>
      </c>
      <c r="J418" s="9">
        <v>1776.3822882040909</v>
      </c>
      <c r="K418" s="9">
        <v>727.37659154874871</v>
      </c>
      <c r="L418" s="9">
        <v>1553.8166794789231</v>
      </c>
      <c r="M418" s="9">
        <v>1.1244007194634069</v>
      </c>
      <c r="N418" s="9">
        <v>1019.3708260092991</v>
      </c>
      <c r="O418" s="9">
        <v>13.161424990849284</v>
      </c>
      <c r="P418" s="9">
        <v>0.83927054415071711</v>
      </c>
      <c r="Q418" s="9">
        <v>13.161424990849284</v>
      </c>
      <c r="R418" s="9">
        <v>57.501841178111455</v>
      </c>
      <c r="S418" s="9">
        <v>24.650485553536068</v>
      </c>
      <c r="T418" s="9">
        <v>910.3631610705512</v>
      </c>
      <c r="U418" s="9">
        <v>1434.480476534171</v>
      </c>
      <c r="V418" s="9">
        <v>4378.8095736802316</v>
      </c>
      <c r="W418" s="9">
        <v>144393.62316964331</v>
      </c>
      <c r="X418" s="9">
        <v>145004.28272604523</v>
      </c>
      <c r="Y418" s="9">
        <v>610.65955640190691</v>
      </c>
      <c r="Z418" s="9">
        <v>264091.6250747366</v>
      </c>
      <c r="AA418" s="9">
        <v>265295.47946392326</v>
      </c>
      <c r="AB418" s="9">
        <v>1203.8543891867409</v>
      </c>
      <c r="AC418" s="9">
        <v>0.95635842116963909</v>
      </c>
      <c r="AD418" s="9">
        <v>11.611705972266837</v>
      </c>
      <c r="AE418" s="9">
        <v>16.184652558878099</v>
      </c>
      <c r="AF418" s="9">
        <v>25.807972563073353</v>
      </c>
      <c r="AG418" s="9">
        <v>380.45718408893021</v>
      </c>
      <c r="AH418" s="9">
        <v>19294.133738993605</v>
      </c>
      <c r="AI418" s="9">
        <v>1962.0553976337033</v>
      </c>
      <c r="AJ418" s="9">
        <v>21691.207010231628</v>
      </c>
      <c r="AK418" s="9">
        <v>70819940.914771557</v>
      </c>
      <c r="AL418" s="9">
        <v>62446197.116393328</v>
      </c>
    </row>
    <row r="419" spans="1:38" x14ac:dyDescent="0.25">
      <c r="A419" s="9">
        <v>417</v>
      </c>
      <c r="B419" s="9">
        <v>79</v>
      </c>
      <c r="C419" s="9">
        <v>5.0808333333333339E-3</v>
      </c>
      <c r="D419" s="9">
        <v>0.17288260350926149</v>
      </c>
      <c r="E419" s="9">
        <v>2.1071483683683474</v>
      </c>
      <c r="F419" s="9">
        <v>2.9406176284919003</v>
      </c>
      <c r="G419" s="9">
        <v>5.0250410051620094</v>
      </c>
      <c r="H419" s="9">
        <v>23.297874968756322</v>
      </c>
      <c r="I419" s="9">
        <v>5010.5612454603242</v>
      </c>
      <c r="J419" s="9">
        <v>1767.3567858614406</v>
      </c>
      <c r="K419" s="9">
        <v>723.68091231652147</v>
      </c>
      <c r="L419" s="9">
        <v>1544.233388315545</v>
      </c>
      <c r="M419" s="9">
        <v>1.1173731939262752</v>
      </c>
      <c r="N419" s="9">
        <v>1020.4881992032253</v>
      </c>
      <c r="O419" s="9">
        <v>13.082060550739046</v>
      </c>
      <c r="P419" s="9">
        <v>0.83435212726095476</v>
      </c>
      <c r="Q419" s="9">
        <v>13.082060550739046</v>
      </c>
      <c r="R419" s="9">
        <v>57.14119098398124</v>
      </c>
      <c r="S419" s="9">
        <v>24.49739894754109</v>
      </c>
      <c r="T419" s="9">
        <v>911.45310836692079</v>
      </c>
      <c r="U419" s="9">
        <v>1436.3831493019504</v>
      </c>
      <c r="V419" s="9">
        <v>4400.0815491501107</v>
      </c>
      <c r="W419" s="9">
        <v>144393.62316964331</v>
      </c>
      <c r="X419" s="9">
        <v>145004.28272604523</v>
      </c>
      <c r="Y419" s="9">
        <v>610.65955640190691</v>
      </c>
      <c r="Z419" s="9">
        <v>264091.6250747366</v>
      </c>
      <c r="AA419" s="9">
        <v>265295.47946392326</v>
      </c>
      <c r="AB419" s="9">
        <v>1203.8543891867409</v>
      </c>
      <c r="AC419" s="9">
        <v>0.94163391378044414</v>
      </c>
      <c r="AD419" s="9">
        <v>11.476934779712931</v>
      </c>
      <c r="AE419" s="9">
        <v>16.016564016519215</v>
      </c>
      <c r="AF419" s="9">
        <v>25.573271182103657</v>
      </c>
      <c r="AG419" s="9">
        <v>377.65855324353998</v>
      </c>
      <c r="AH419" s="9">
        <v>19173.990676545145</v>
      </c>
      <c r="AI419" s="9">
        <v>1949.870469229533</v>
      </c>
      <c r="AJ419" s="9">
        <v>21555.528102910335</v>
      </c>
      <c r="AK419" s="9">
        <v>70841496.442874461</v>
      </c>
      <c r="AL419" s="9">
        <v>62450003.737991601</v>
      </c>
    </row>
    <row r="420" spans="1:38" x14ac:dyDescent="0.25">
      <c r="A420" s="9">
        <v>418</v>
      </c>
      <c r="B420" s="9">
        <v>79</v>
      </c>
      <c r="C420" s="9">
        <v>5.0808333333333339E-3</v>
      </c>
      <c r="D420" s="9">
        <v>0.17022082826215063</v>
      </c>
      <c r="E420" s="9">
        <v>2.0826848994247555</v>
      </c>
      <c r="F420" s="9">
        <v>2.9100581340680174</v>
      </c>
      <c r="G420" s="9">
        <v>4.9793019001871466</v>
      </c>
      <c r="H420" s="9">
        <v>23.126406443028348</v>
      </c>
      <c r="I420" s="9">
        <v>5010.6126126626432</v>
      </c>
      <c r="J420" s="9">
        <v>1758.3771405919429</v>
      </c>
      <c r="K420" s="9">
        <v>720.0040102145266</v>
      </c>
      <c r="L420" s="9">
        <v>1534.7092028824213</v>
      </c>
      <c r="M420" s="9">
        <v>1.1103893925024981</v>
      </c>
      <c r="N420" s="9">
        <v>1021.5985885957278</v>
      </c>
      <c r="O420" s="9">
        <v>13.002787269409602</v>
      </c>
      <c r="P420" s="9">
        <v>0.82946238059039801</v>
      </c>
      <c r="Q420" s="9">
        <v>13.002787269409602</v>
      </c>
      <c r="R420" s="9">
        <v>56.78314606960685</v>
      </c>
      <c r="S420" s="9">
        <v>24.345252313594656</v>
      </c>
      <c r="T420" s="9">
        <v>912.53627603724681</v>
      </c>
      <c r="U420" s="9">
        <v>1438.274010361027</v>
      </c>
      <c r="V420" s="9">
        <v>4421.2357780947359</v>
      </c>
      <c r="W420" s="9">
        <v>144393.62316964331</v>
      </c>
      <c r="X420" s="9">
        <v>145004.28272604523</v>
      </c>
      <c r="Y420" s="9">
        <v>610.65955640190691</v>
      </c>
      <c r="Z420" s="9">
        <v>264091.6250747366</v>
      </c>
      <c r="AA420" s="9">
        <v>265295.47946392326</v>
      </c>
      <c r="AB420" s="9">
        <v>1203.8543891867409</v>
      </c>
      <c r="AC420" s="9">
        <v>0.92713611126784701</v>
      </c>
      <c r="AD420" s="9">
        <v>11.343690418866835</v>
      </c>
      <c r="AE420" s="9">
        <v>15.850116636890467</v>
      </c>
      <c r="AF420" s="9">
        <v>25.34049725370242</v>
      </c>
      <c r="AG420" s="9">
        <v>374.87904844148954</v>
      </c>
      <c r="AH420" s="9">
        <v>19054.583858662849</v>
      </c>
      <c r="AI420" s="9">
        <v>1937.7603579005665</v>
      </c>
      <c r="AJ420" s="9">
        <v>21420.684705425632</v>
      </c>
      <c r="AK420" s="9">
        <v>70862917.127579883</v>
      </c>
      <c r="AL420" s="9">
        <v>62453770.850473501</v>
      </c>
    </row>
    <row r="421" spans="1:38" x14ac:dyDescent="0.25">
      <c r="A421" s="9">
        <v>419</v>
      </c>
      <c r="B421" s="9">
        <v>79</v>
      </c>
      <c r="C421" s="9">
        <v>5.0808333333333339E-3</v>
      </c>
      <c r="D421" s="9">
        <v>0.16760003485660344</v>
      </c>
      <c r="E421" s="9">
        <v>2.0584986921577411</v>
      </c>
      <c r="F421" s="9">
        <v>2.8797972984376043</v>
      </c>
      <c r="G421" s="9">
        <v>4.9339389285682449</v>
      </c>
      <c r="H421" s="9">
        <v>22.956110395231974</v>
      </c>
      <c r="I421" s="9">
        <v>5010.6635123086062</v>
      </c>
      <c r="J421" s="9">
        <v>1749.4431194034519</v>
      </c>
      <c r="K421" s="9">
        <v>716.34578983929498</v>
      </c>
      <c r="L421" s="9">
        <v>1525.2437586401375</v>
      </c>
      <c r="M421" s="9">
        <v>1.1034490450724836</v>
      </c>
      <c r="N421" s="9">
        <v>1022.7020376408003</v>
      </c>
      <c r="O421" s="9">
        <v>12.9236175866585</v>
      </c>
      <c r="P421" s="9">
        <v>0.82460113834149973</v>
      </c>
      <c r="Q421" s="9">
        <v>12.9236175866585</v>
      </c>
      <c r="R421" s="9">
        <v>56.42768079652874</v>
      </c>
      <c r="S421" s="9">
        <v>24.19404009961287</v>
      </c>
      <c r="T421" s="9">
        <v>913.61270592880066</v>
      </c>
      <c r="U421" s="9">
        <v>1440.1531295097868</v>
      </c>
      <c r="V421" s="9">
        <v>4442.2729187779014</v>
      </c>
      <c r="W421" s="9">
        <v>144393.62316964331</v>
      </c>
      <c r="X421" s="9">
        <v>145004.28272604523</v>
      </c>
      <c r="Y421" s="9">
        <v>610.65955640190691</v>
      </c>
      <c r="Z421" s="9">
        <v>264091.6250747366</v>
      </c>
      <c r="AA421" s="9">
        <v>265295.47946392326</v>
      </c>
      <c r="AB421" s="9">
        <v>1203.8543891867409</v>
      </c>
      <c r="AC421" s="9">
        <v>0.91286152318563329</v>
      </c>
      <c r="AD421" s="9">
        <v>11.211956209952495</v>
      </c>
      <c r="AE421" s="9">
        <v>15.685295952156817</v>
      </c>
      <c r="AF421" s="9">
        <v>25.109637530638558</v>
      </c>
      <c r="AG421" s="9">
        <v>372.11854950671034</v>
      </c>
      <c r="AH421" s="9">
        <v>18935.909681540055</v>
      </c>
      <c r="AI421" s="9">
        <v>1925.7246217286863</v>
      </c>
      <c r="AJ421" s="9">
        <v>21286.672603991385</v>
      </c>
      <c r="AK421" s="9">
        <v>70884203.800183877</v>
      </c>
      <c r="AL421" s="9">
        <v>62457498.861763492</v>
      </c>
    </row>
    <row r="422" spans="1:38" x14ac:dyDescent="0.25">
      <c r="A422" s="9">
        <v>420</v>
      </c>
      <c r="B422" s="9">
        <v>80</v>
      </c>
      <c r="C422" s="9">
        <v>5.0808333333333339E-3</v>
      </c>
      <c r="D422" s="9">
        <v>0.16501959231848348</v>
      </c>
      <c r="E422" s="9">
        <v>2.0345867157196134</v>
      </c>
      <c r="F422" s="9">
        <v>2.8498324843840965</v>
      </c>
      <c r="G422" s="9">
        <v>4.8889494989675057</v>
      </c>
      <c r="H422" s="9">
        <v>22.786979455968307</v>
      </c>
      <c r="I422" s="9">
        <v>5010.7139482431412</v>
      </c>
      <c r="J422" s="9">
        <v>1740.5544904876162</v>
      </c>
      <c r="K422" s="9">
        <v>712.70615627208645</v>
      </c>
      <c r="L422" s="9">
        <v>1515.836693297606</v>
      </c>
      <c r="M422" s="9">
        <v>1.0965518831780194</v>
      </c>
      <c r="N422" s="9">
        <v>1023.7985895239783</v>
      </c>
      <c r="O422" s="9">
        <v>12.850058712568428</v>
      </c>
      <c r="P422" s="9">
        <v>0.8142730184315734</v>
      </c>
      <c r="Q422" s="9">
        <v>12.850058712568428</v>
      </c>
      <c r="R422" s="9">
        <v>56.069274677022726</v>
      </c>
      <c r="S422" s="9">
        <v>24.043756795307164</v>
      </c>
      <c r="T422" s="9">
        <v>914.68243965067779</v>
      </c>
      <c r="U422" s="9">
        <v>1442.0205762488422</v>
      </c>
      <c r="V422" s="9">
        <v>4463.1936257642392</v>
      </c>
      <c r="W422" s="9">
        <v>145169.43196407956</v>
      </c>
      <c r="X422" s="9">
        <v>145783.7448561092</v>
      </c>
      <c r="Y422" s="9">
        <v>614.31289202961602</v>
      </c>
      <c r="Z422" s="9">
        <v>268167.21862942574</v>
      </c>
      <c r="AA422" s="9">
        <v>269390.26526191283</v>
      </c>
      <c r="AB422" s="9">
        <v>1223.0466324871365</v>
      </c>
      <c r="AC422" s="9">
        <v>0.89880671282800662</v>
      </c>
      <c r="AD422" s="9">
        <v>11.081715644952826</v>
      </c>
      <c r="AE422" s="9">
        <v>15.522087598278711</v>
      </c>
      <c r="AF422" s="9">
        <v>24.880678825162128</v>
      </c>
      <c r="AG422" s="9">
        <v>369.37693698124627</v>
      </c>
      <c r="AH422" s="9">
        <v>18817.964519805268</v>
      </c>
      <c r="AI422" s="9">
        <v>1913.7628221224736</v>
      </c>
      <c r="AJ422" s="9">
        <v>21153.487567690208</v>
      </c>
      <c r="AK422" s="9">
        <v>70905357.28775157</v>
      </c>
      <c r="AL422" s="9">
        <v>62461188.17573902</v>
      </c>
    </row>
    <row r="423" spans="1:38" x14ac:dyDescent="0.25">
      <c r="A423" s="9">
        <v>421</v>
      </c>
      <c r="B423" s="9">
        <v>80</v>
      </c>
      <c r="C423" s="9">
        <v>5.5008333333333333E-3</v>
      </c>
      <c r="D423" s="9">
        <v>0.16240957115963092</v>
      </c>
      <c r="E423" s="9">
        <v>2.010091444085754</v>
      </c>
      <c r="F423" s="9">
        <v>2.8189641440380102</v>
      </c>
      <c r="G423" s="9">
        <v>4.8422776729684269</v>
      </c>
      <c r="H423" s="9">
        <v>22.609435768463278</v>
      </c>
      <c r="I423" s="9">
        <v>5010.7639242846863</v>
      </c>
      <c r="J423" s="9">
        <v>1730.979990327859</v>
      </c>
      <c r="K423" s="9">
        <v>708.78567849079309</v>
      </c>
      <c r="L423" s="9">
        <v>1505.8509953870134</v>
      </c>
      <c r="M423" s="9">
        <v>1.0896976400119172</v>
      </c>
      <c r="N423" s="9">
        <v>1024.8882871639903</v>
      </c>
      <c r="O423" s="9">
        <v>12.771046453641716</v>
      </c>
      <c r="P423" s="9">
        <v>0.80950049935828505</v>
      </c>
      <c r="Q423" s="9">
        <v>12.771046453641716</v>
      </c>
      <c r="R423" s="9">
        <v>55.689995333183376</v>
      </c>
      <c r="S423" s="9">
        <v>23.884298552751535</v>
      </c>
      <c r="T423" s="9">
        <v>915.74551857432652</v>
      </c>
      <c r="U423" s="9">
        <v>1443.8764568824399</v>
      </c>
      <c r="V423" s="9">
        <v>4485.7183599746804</v>
      </c>
      <c r="W423" s="9">
        <v>145169.43196407956</v>
      </c>
      <c r="X423" s="9">
        <v>145783.7448561092</v>
      </c>
      <c r="Y423" s="9">
        <v>614.31289202961602</v>
      </c>
      <c r="Z423" s="9">
        <v>268167.21862942574</v>
      </c>
      <c r="AA423" s="9">
        <v>269390.26526191283</v>
      </c>
      <c r="AB423" s="9">
        <v>1223.0466324871365</v>
      </c>
      <c r="AC423" s="9">
        <v>0.88459079758278969</v>
      </c>
      <c r="AD423" s="9">
        <v>10.94829806545374</v>
      </c>
      <c r="AE423" s="9">
        <v>15.353958037860361</v>
      </c>
      <c r="AF423" s="9">
        <v>24.643158124015152</v>
      </c>
      <c r="AG423" s="9">
        <v>366.49895380678976</v>
      </c>
      <c r="AH423" s="9">
        <v>18692.831052947346</v>
      </c>
      <c r="AI423" s="9">
        <v>1901.0707433062585</v>
      </c>
      <c r="AJ423" s="9">
        <v>21012.230755085307</v>
      </c>
      <c r="AK423" s="9">
        <v>70926369.518506661</v>
      </c>
      <c r="AL423" s="9">
        <v>62464837.647421189</v>
      </c>
    </row>
    <row r="424" spans="1:38" x14ac:dyDescent="0.25">
      <c r="A424" s="9">
        <v>422</v>
      </c>
      <c r="B424" s="9">
        <v>80</v>
      </c>
      <c r="C424" s="9">
        <v>5.5008333333333333E-3</v>
      </c>
      <c r="D424" s="9">
        <v>0.15984083122292872</v>
      </c>
      <c r="E424" s="9">
        <v>1.9858846521545377</v>
      </c>
      <c r="F424" s="9">
        <v>2.7884120344354222</v>
      </c>
      <c r="G424" s="9">
        <v>4.7960125833896683</v>
      </c>
      <c r="H424" s="9">
        <v>22.433187699455406</v>
      </c>
      <c r="I424" s="9">
        <v>5010.8134232353723</v>
      </c>
      <c r="J424" s="9">
        <v>1721.4581578977304</v>
      </c>
      <c r="K424" s="9">
        <v>704.8867666043617</v>
      </c>
      <c r="L424" s="9">
        <v>1495.9310790762481</v>
      </c>
      <c r="M424" s="9">
        <v>1.0824283773989238</v>
      </c>
      <c r="N424" s="9">
        <v>1025.9707155413892</v>
      </c>
      <c r="O424" s="9">
        <v>12.692032009195669</v>
      </c>
      <c r="P424" s="9">
        <v>0.80444212380433011</v>
      </c>
      <c r="Q424" s="9">
        <v>12.692032009195669</v>
      </c>
      <c r="R424" s="9">
        <v>55.313699088224951</v>
      </c>
      <c r="S424" s="9">
        <v>23.725887804989885</v>
      </c>
      <c r="T424" s="9">
        <v>916.80153712386834</v>
      </c>
      <c r="U424" s="9">
        <v>1445.7200592356685</v>
      </c>
      <c r="V424" s="9">
        <v>4508.1089804863032</v>
      </c>
      <c r="W424" s="9">
        <v>145169.43196407956</v>
      </c>
      <c r="X424" s="9">
        <v>145783.7448561092</v>
      </c>
      <c r="Y424" s="9">
        <v>614.31289202961602</v>
      </c>
      <c r="Z424" s="9">
        <v>268167.21862942574</v>
      </c>
      <c r="AA424" s="9">
        <v>269390.26526191283</v>
      </c>
      <c r="AB424" s="9">
        <v>1223.0466324871365</v>
      </c>
      <c r="AC424" s="9">
        <v>0.87059972739421843</v>
      </c>
      <c r="AD424" s="9">
        <v>10.816451738735047</v>
      </c>
      <c r="AE424" s="9">
        <v>15.187550880891598</v>
      </c>
      <c r="AF424" s="9">
        <v>24.407707372300585</v>
      </c>
      <c r="AG424" s="9">
        <v>363.64197260817213</v>
      </c>
      <c r="AH424" s="9">
        <v>18568.511504610051</v>
      </c>
      <c r="AI424" s="9">
        <v>1888.4620398381699</v>
      </c>
      <c r="AJ424" s="9">
        <v>20871.897826775716</v>
      </c>
      <c r="AK424" s="9">
        <v>70947241.416333437</v>
      </c>
      <c r="AL424" s="9">
        <v>62468447.703728646</v>
      </c>
    </row>
    <row r="425" spans="1:38" x14ac:dyDescent="0.25">
      <c r="A425" s="9">
        <v>423</v>
      </c>
      <c r="B425" s="9">
        <v>80</v>
      </c>
      <c r="C425" s="9">
        <v>5.5008333333333333E-3</v>
      </c>
      <c r="D425" s="9">
        <v>0.15731271958673426</v>
      </c>
      <c r="E425" s="9">
        <v>1.9619630512722042</v>
      </c>
      <c r="F425" s="9">
        <v>2.7581731928020528</v>
      </c>
      <c r="G425" s="9">
        <v>4.7501511859396484</v>
      </c>
      <c r="H425" s="9">
        <v>22.258226470423192</v>
      </c>
      <c r="I425" s="9">
        <v>5010.8624492529589</v>
      </c>
      <c r="J425" s="9">
        <v>1711.988703480828</v>
      </c>
      <c r="K425" s="9">
        <v>701.00930198239882</v>
      </c>
      <c r="L425" s="9">
        <v>1486.076511023653</v>
      </c>
      <c r="M425" s="9">
        <v>1.075207418769849</v>
      </c>
      <c r="N425" s="9">
        <v>1027.045922960159</v>
      </c>
      <c r="O425" s="9">
        <v>12.613032281018304</v>
      </c>
      <c r="P425" s="9">
        <v>0.7994152109816961</v>
      </c>
      <c r="Q425" s="9">
        <v>12.613032281018304</v>
      </c>
      <c r="R425" s="9">
        <v>54.940354157265162</v>
      </c>
      <c r="S425" s="9">
        <v>23.568517726469985</v>
      </c>
      <c r="T425" s="9">
        <v>917.85054173503318</v>
      </c>
      <c r="U425" s="9">
        <v>1447.5514601543532</v>
      </c>
      <c r="V425" s="9">
        <v>4530.3662925769841</v>
      </c>
      <c r="W425" s="9">
        <v>145169.43196407956</v>
      </c>
      <c r="X425" s="9">
        <v>145783.7448561092</v>
      </c>
      <c r="Y425" s="9">
        <v>614.31289202961602</v>
      </c>
      <c r="Z425" s="9">
        <v>268167.21862942574</v>
      </c>
      <c r="AA425" s="9">
        <v>269390.26526191283</v>
      </c>
      <c r="AB425" s="9">
        <v>1223.0466324871365</v>
      </c>
      <c r="AC425" s="9">
        <v>0.85682994601574591</v>
      </c>
      <c r="AD425" s="9">
        <v>10.686158752595938</v>
      </c>
      <c r="AE425" s="9">
        <v>15.022849990128513</v>
      </c>
      <c r="AF425" s="9">
        <v>24.174311077111192</v>
      </c>
      <c r="AG425" s="9">
        <v>360.80585108555999</v>
      </c>
      <c r="AH425" s="9">
        <v>18445.001811063714</v>
      </c>
      <c r="AI425" s="9">
        <v>1875.9361684383784</v>
      </c>
      <c r="AJ425" s="9">
        <v>20732.483980353503</v>
      </c>
      <c r="AK425" s="9">
        <v>70967973.900313795</v>
      </c>
      <c r="AL425" s="9">
        <v>62472018.767232887</v>
      </c>
    </row>
    <row r="426" spans="1:38" x14ac:dyDescent="0.25">
      <c r="A426" s="9">
        <v>424</v>
      </c>
      <c r="B426" s="9">
        <v>80</v>
      </c>
      <c r="C426" s="9">
        <v>5.5008333333333333E-3</v>
      </c>
      <c r="D426" s="9">
        <v>0.15482459365629572</v>
      </c>
      <c r="E426" s="9">
        <v>1.9383233883947588</v>
      </c>
      <c r="F426" s="9">
        <v>2.7282446798009121</v>
      </c>
      <c r="G426" s="9">
        <v>4.7046904527981512</v>
      </c>
      <c r="H426" s="9">
        <v>22.084543359375999</v>
      </c>
      <c r="I426" s="9">
        <v>5010.9110064640863</v>
      </c>
      <c r="J426" s="9">
        <v>1702.5713389544305</v>
      </c>
      <c r="K426" s="9">
        <v>697.15316664707734</v>
      </c>
      <c r="L426" s="9">
        <v>1476.2868607422452</v>
      </c>
      <c r="M426" s="9">
        <v>1.0680344451122774</v>
      </c>
      <c r="N426" s="9">
        <v>1028.1139574052713</v>
      </c>
      <c r="O426" s="9">
        <v>12.534063575447064</v>
      </c>
      <c r="P426" s="9">
        <v>0.79441956655293655</v>
      </c>
      <c r="Q426" s="9">
        <v>12.534063575447064</v>
      </c>
      <c r="R426" s="9">
        <v>54.569929234986837</v>
      </c>
      <c r="S426" s="9">
        <v>23.412181560325717</v>
      </c>
      <c r="T426" s="9">
        <v>918.89257856518293</v>
      </c>
      <c r="U426" s="9">
        <v>1449.3707361423355</v>
      </c>
      <c r="V426" s="9">
        <v>4552.4910966721845</v>
      </c>
      <c r="W426" s="9">
        <v>145169.43196407956</v>
      </c>
      <c r="X426" s="9">
        <v>145783.7448561092</v>
      </c>
      <c r="Y426" s="9">
        <v>614.31289202961602</v>
      </c>
      <c r="Z426" s="9">
        <v>268167.21862942574</v>
      </c>
      <c r="AA426" s="9">
        <v>269390.26526191283</v>
      </c>
      <c r="AB426" s="9">
        <v>1223.0466324871365</v>
      </c>
      <c r="AC426" s="9">
        <v>0.84327795344795731</v>
      </c>
      <c r="AD426" s="9">
        <v>10.557401388790119</v>
      </c>
      <c r="AE426" s="9">
        <v>14.859839355982301</v>
      </c>
      <c r="AF426" s="9">
        <v>23.942953829365258</v>
      </c>
      <c r="AG426" s="9">
        <v>357.99044785548494</v>
      </c>
      <c r="AH426" s="9">
        <v>18322.297876936907</v>
      </c>
      <c r="AI426" s="9">
        <v>1863.4925912941253</v>
      </c>
      <c r="AJ426" s="9">
        <v>20593.984388614102</v>
      </c>
      <c r="AK426" s="9">
        <v>70988567.884702414</v>
      </c>
      <c r="AL426" s="9">
        <v>62475551.256192319</v>
      </c>
    </row>
    <row r="427" spans="1:38" x14ac:dyDescent="0.25">
      <c r="A427" s="9">
        <v>425</v>
      </c>
      <c r="B427" s="9">
        <v>80</v>
      </c>
      <c r="C427" s="9">
        <v>5.5008333333333333E-3</v>
      </c>
      <c r="D427" s="9">
        <v>0.15237582100041747</v>
      </c>
      <c r="E427" s="9">
        <v>1.9149624457359862</v>
      </c>
      <c r="F427" s="9">
        <v>2.6986235794176618</v>
      </c>
      <c r="G427" s="9">
        <v>4.6596273726056952</v>
      </c>
      <c r="H427" s="9">
        <v>21.912129700457978</v>
      </c>
      <c r="I427" s="9">
        <v>5010.9590989644439</v>
      </c>
      <c r="J427" s="9">
        <v>1693.205777780732</v>
      </c>
      <c r="K427" s="9">
        <v>693.3182432695462</v>
      </c>
      <c r="L427" s="9">
        <v>1466.5617005809092</v>
      </c>
      <c r="M427" s="9">
        <v>1.0609091395110173</v>
      </c>
      <c r="N427" s="9">
        <v>1029.1748665447824</v>
      </c>
      <c r="O427" s="9">
        <v>12.455141617623374</v>
      </c>
      <c r="P427" s="9">
        <v>0.78945499737662606</v>
      </c>
      <c r="Q427" s="9">
        <v>12.455141617623374</v>
      </c>
      <c r="R427" s="9">
        <v>54.202393486666196</v>
      </c>
      <c r="S427" s="9">
        <v>23.256872615465102</v>
      </c>
      <c r="T427" s="9">
        <v>919.92769349389141</v>
      </c>
      <c r="U427" s="9">
        <v>1451.1779633594258</v>
      </c>
      <c r="V427" s="9">
        <v>4574.4841883735271</v>
      </c>
      <c r="W427" s="9">
        <v>145169.43196407956</v>
      </c>
      <c r="X427" s="9">
        <v>145783.7448561092</v>
      </c>
      <c r="Y427" s="9">
        <v>614.31289202961602</v>
      </c>
      <c r="Z427" s="9">
        <v>268167.21862942574</v>
      </c>
      <c r="AA427" s="9">
        <v>269390.26526191283</v>
      </c>
      <c r="AB427" s="9">
        <v>1223.0466324871365</v>
      </c>
      <c r="AC427" s="9">
        <v>0.82994030504894045</v>
      </c>
      <c r="AD427" s="9">
        <v>10.430162121108671</v>
      </c>
      <c r="AE427" s="9">
        <v>14.698503095894864</v>
      </c>
      <c r="AF427" s="9">
        <v>23.713620303752482</v>
      </c>
      <c r="AG427" s="9">
        <v>355.19562244442386</v>
      </c>
      <c r="AH427" s="9">
        <v>18200.395576658906</v>
      </c>
      <c r="AI427" s="9">
        <v>1851.1307758279447</v>
      </c>
      <c r="AJ427" s="9">
        <v>20456.39420075708</v>
      </c>
      <c r="AK427" s="9">
        <v>71009024.278903171</v>
      </c>
      <c r="AL427" s="9">
        <v>62479045.584586367</v>
      </c>
    </row>
    <row r="428" spans="1:38" x14ac:dyDescent="0.25">
      <c r="A428" s="9">
        <v>426</v>
      </c>
      <c r="B428" s="9">
        <v>80</v>
      </c>
      <c r="C428" s="9">
        <v>5.5008333333333333E-3</v>
      </c>
      <c r="D428" s="9">
        <v>0.14996577919070883</v>
      </c>
      <c r="E428" s="9">
        <v>1.8918770404183101</v>
      </c>
      <c r="F428" s="9">
        <v>2.6693069988452227</v>
      </c>
      <c r="G428" s="9">
        <v>4.6149589504518485</v>
      </c>
      <c r="H428" s="9">
        <v>21.740976883555856</v>
      </c>
      <c r="I428" s="9">
        <v>5011.0067308189364</v>
      </c>
      <c r="J428" s="9">
        <v>1683.8917349981232</v>
      </c>
      <c r="K428" s="9">
        <v>689.50441516636101</v>
      </c>
      <c r="L428" s="9">
        <v>1456.9006057057172</v>
      </c>
      <c r="M428" s="9">
        <v>1.0538311871342063</v>
      </c>
      <c r="N428" s="9">
        <v>1030.2286977319166</v>
      </c>
      <c r="O428" s="9">
        <v>12.376281570500113</v>
      </c>
      <c r="P428" s="9">
        <v>0.78452131149988735</v>
      </c>
      <c r="Q428" s="9">
        <v>12.376281570500113</v>
      </c>
      <c r="R428" s="9">
        <v>53.837716539383884</v>
      </c>
      <c r="S428" s="9">
        <v>23.102584263829002</v>
      </c>
      <c r="T428" s="9">
        <v>920.95593212354788</v>
      </c>
      <c r="U428" s="9">
        <v>1452.9732176193718</v>
      </c>
      <c r="V428" s="9">
        <v>4596.3463584872197</v>
      </c>
      <c r="W428" s="9">
        <v>145169.43196407956</v>
      </c>
      <c r="X428" s="9">
        <v>145783.7448561092</v>
      </c>
      <c r="Y428" s="9">
        <v>614.31289202961602</v>
      </c>
      <c r="Z428" s="9">
        <v>268167.21862942574</v>
      </c>
      <c r="AA428" s="9">
        <v>269390.26526191283</v>
      </c>
      <c r="AB428" s="9">
        <v>1223.0466324871365</v>
      </c>
      <c r="AC428" s="9">
        <v>0.81681361065872737</v>
      </c>
      <c r="AD428" s="9">
        <v>10.304423613478395</v>
      </c>
      <c r="AE428" s="9">
        <v>14.538825453710313</v>
      </c>
      <c r="AF428" s="9">
        <v>23.486295258674531</v>
      </c>
      <c r="AG428" s="9">
        <v>352.42123528244042</v>
      </c>
      <c r="AH428" s="9">
        <v>18079.290757249761</v>
      </c>
      <c r="AI428" s="9">
        <v>1838.8501944794693</v>
      </c>
      <c r="AJ428" s="9">
        <v>20319.708544948193</v>
      </c>
      <c r="AK428" s="9">
        <v>71029343.987448126</v>
      </c>
      <c r="AL428" s="9">
        <v>62482502.162149757</v>
      </c>
    </row>
    <row r="429" spans="1:38" x14ac:dyDescent="0.25">
      <c r="A429" s="9">
        <v>427</v>
      </c>
      <c r="B429" s="9">
        <v>80</v>
      </c>
      <c r="C429" s="9">
        <v>5.5008333333333333E-3</v>
      </c>
      <c r="D429" s="9">
        <v>0.14759385564337549</v>
      </c>
      <c r="E429" s="9">
        <v>1.8690640241264918</v>
      </c>
      <c r="F429" s="9">
        <v>2.6402920683676663</v>
      </c>
      <c r="G429" s="9">
        <v>4.5706822078625109</v>
      </c>
      <c r="H429" s="9">
        <v>21.571076353910513</v>
      </c>
      <c r="I429" s="9">
        <v>5011.0539060618557</v>
      </c>
      <c r="J429" s="9">
        <v>1674.6289272125209</v>
      </c>
      <c r="K429" s="9">
        <v>685.71156629593338</v>
      </c>
      <c r="L429" s="9">
        <v>1447.3031540813686</v>
      </c>
      <c r="M429" s="9">
        <v>1.0468002752195129</v>
      </c>
      <c r="N429" s="9">
        <v>1031.2754980071361</v>
      </c>
      <c r="O429" s="9">
        <v>12.297498051849031</v>
      </c>
      <c r="P429" s="9">
        <v>0.77961831815096894</v>
      </c>
      <c r="Q429" s="9">
        <v>12.297498051849031</v>
      </c>
      <c r="R429" s="9">
        <v>53.475868473414941</v>
      </c>
      <c r="S429" s="9">
        <v>22.949309937840717</v>
      </c>
      <c r="T429" s="9">
        <v>921.97733978001133</v>
      </c>
      <c r="U429" s="9">
        <v>1454.7565743879329</v>
      </c>
      <c r="V429" s="9">
        <v>4618.0783930523367</v>
      </c>
      <c r="W429" s="9">
        <v>145169.43196407956</v>
      </c>
      <c r="X429" s="9">
        <v>145783.7448561092</v>
      </c>
      <c r="Y429" s="9">
        <v>614.31289202961602</v>
      </c>
      <c r="Z429" s="9">
        <v>268167.21862942574</v>
      </c>
      <c r="AA429" s="9">
        <v>269390.26526191283</v>
      </c>
      <c r="AB429" s="9">
        <v>1223.0466324871365</v>
      </c>
      <c r="AC429" s="9">
        <v>0.80389453373758513</v>
      </c>
      <c r="AD429" s="9">
        <v>10.180168718075624</v>
      </c>
      <c r="AE429" s="9">
        <v>14.380790799042554</v>
      </c>
      <c r="AF429" s="9">
        <v>23.260963536180295</v>
      </c>
      <c r="AG429" s="9">
        <v>349.66714769688946</v>
      </c>
      <c r="AH429" s="9">
        <v>17958.97924061316</v>
      </c>
      <c r="AI429" s="9">
        <v>1826.6503245024319</v>
      </c>
      <c r="AJ429" s="9">
        <v>20183.922530399519</v>
      </c>
      <c r="AK429" s="9">
        <v>71049527.909978524</v>
      </c>
      <c r="AL429" s="9">
        <v>62485921.394406982</v>
      </c>
    </row>
    <row r="430" spans="1:38" x14ac:dyDescent="0.25">
      <c r="A430" s="9">
        <v>428</v>
      </c>
      <c r="B430" s="9">
        <v>80</v>
      </c>
      <c r="C430" s="9">
        <v>5.5008333333333333E-3</v>
      </c>
      <c r="D430" s="9">
        <v>0.14525944746351302</v>
      </c>
      <c r="E430" s="9">
        <v>1.846520282764154</v>
      </c>
      <c r="F430" s="9">
        <v>2.6115759412434221</v>
      </c>
      <c r="G430" s="9">
        <v>4.5267941827861637</v>
      </c>
      <c r="H430" s="9">
        <v>21.402419611732299</v>
      </c>
      <c r="I430" s="9">
        <v>5011.1006286970469</v>
      </c>
      <c r="J430" s="9">
        <v>1665.4170725887461</v>
      </c>
      <c r="K430" s="9">
        <v>681.93958125500046</v>
      </c>
      <c r="L430" s="9">
        <v>1437.7689264527551</v>
      </c>
      <c r="M430" s="9">
        <v>1.039816093060433</v>
      </c>
      <c r="N430" s="9">
        <v>1032.3153141001965</v>
      </c>
      <c r="O430" s="9">
        <v>12.218805149268128</v>
      </c>
      <c r="P430" s="9">
        <v>0.77474582773187128</v>
      </c>
      <c r="Q430" s="9">
        <v>12.218805149268128</v>
      </c>
      <c r="R430" s="9">
        <v>53.116819813793924</v>
      </c>
      <c r="S430" s="9">
        <v>22.797043128026218</v>
      </c>
      <c r="T430" s="9">
        <v>922.99196151330625</v>
      </c>
      <c r="U430" s="9">
        <v>1456.5281087810351</v>
      </c>
      <c r="V430" s="9">
        <v>4639.681073368959</v>
      </c>
      <c r="W430" s="9">
        <v>145169.43196407956</v>
      </c>
      <c r="X430" s="9">
        <v>145783.7448561092</v>
      </c>
      <c r="Y430" s="9">
        <v>614.31289202961602</v>
      </c>
      <c r="Z430" s="9">
        <v>268167.21862942574</v>
      </c>
      <c r="AA430" s="9">
        <v>269390.26526191283</v>
      </c>
      <c r="AB430" s="9">
        <v>1223.0466324871365</v>
      </c>
      <c r="AC430" s="9">
        <v>0.79117979051793419</v>
      </c>
      <c r="AD430" s="9">
        <v>10.057380473455424</v>
      </c>
      <c r="AE430" s="9">
        <v>14.224383626639172</v>
      </c>
      <c r="AF430" s="9">
        <v>23.037610061895919</v>
      </c>
      <c r="AG430" s="9">
        <v>346.93322190618056</v>
      </c>
      <c r="AH430" s="9">
        <v>17839.456825331006</v>
      </c>
      <c r="AI430" s="9">
        <v>1814.5306477752467</v>
      </c>
      <c r="AJ430" s="9">
        <v>20049.03124896494</v>
      </c>
      <c r="AK430" s="9">
        <v>71069576.941227496</v>
      </c>
      <c r="AL430" s="9">
        <v>62489303.682706773</v>
      </c>
    </row>
    <row r="431" spans="1:38" x14ac:dyDescent="0.25">
      <c r="A431" s="9">
        <v>429</v>
      </c>
      <c r="B431" s="9">
        <v>80</v>
      </c>
      <c r="C431" s="9">
        <v>5.5008333333333333E-3</v>
      </c>
      <c r="D431" s="9">
        <v>0.14296196129186323</v>
      </c>
      <c r="E431" s="9">
        <v>1.8242427361131226</v>
      </c>
      <c r="F431" s="9">
        <v>2.5831557935878307</v>
      </c>
      <c r="G431" s="9">
        <v>4.4832919295790976</v>
      </c>
      <c r="H431" s="9">
        <v>21.23499821182007</v>
      </c>
      <c r="I431" s="9">
        <v>5011.1469026980758</v>
      </c>
      <c r="J431" s="9">
        <v>1656.2558908419476</v>
      </c>
      <c r="K431" s="9">
        <v>678.18834527511353</v>
      </c>
      <c r="L431" s="9">
        <v>1428.2975063266458</v>
      </c>
      <c r="M431" s="9">
        <v>1.0328783319926813</v>
      </c>
      <c r="N431" s="9">
        <v>1033.3481924321891</v>
      </c>
      <c r="O431" s="9">
        <v>12.140216435188979</v>
      </c>
      <c r="P431" s="9">
        <v>0.76990365181102138</v>
      </c>
      <c r="Q431" s="9">
        <v>12.140216435188979</v>
      </c>
      <c r="R431" s="9">
        <v>52.760541522051547</v>
      </c>
      <c r="S431" s="9">
        <v>22.645777380785653</v>
      </c>
      <c r="T431" s="9">
        <v>923.99984209834827</v>
      </c>
      <c r="U431" s="9">
        <v>1458.2878955629851</v>
      </c>
      <c r="V431" s="9">
        <v>4661.1551760261682</v>
      </c>
      <c r="W431" s="9">
        <v>145169.43196407956</v>
      </c>
      <c r="X431" s="9">
        <v>145783.7448561092</v>
      </c>
      <c r="Y431" s="9">
        <v>614.31289202961602</v>
      </c>
      <c r="Z431" s="9">
        <v>268167.21862942574</v>
      </c>
      <c r="AA431" s="9">
        <v>269390.26526191283</v>
      </c>
      <c r="AB431" s="9">
        <v>1223.0466324871365</v>
      </c>
      <c r="AC431" s="9">
        <v>0.77866614916968169</v>
      </c>
      <c r="AD431" s="9">
        <v>9.9360421026961401</v>
      </c>
      <c r="AE431" s="9">
        <v>14.069588555741717</v>
      </c>
      <c r="AF431" s="9">
        <v>22.816219844949622</v>
      </c>
      <c r="AG431" s="9">
        <v>344.21932101360335</v>
      </c>
      <c r="AH431" s="9">
        <v>17720.71928850481</v>
      </c>
      <c r="AI431" s="9">
        <v>1802.4906506236339</v>
      </c>
      <c r="AJ431" s="9">
        <v>19915.029776794603</v>
      </c>
      <c r="AK431" s="9">
        <v>71089491.971004292</v>
      </c>
      <c r="AL431" s="9">
        <v>62492649.424256608</v>
      </c>
    </row>
    <row r="432" spans="1:38" x14ac:dyDescent="0.25">
      <c r="A432" s="9">
        <v>430</v>
      </c>
      <c r="B432" s="9">
        <v>80</v>
      </c>
      <c r="C432" s="9">
        <v>5.5008333333333333E-3</v>
      </c>
      <c r="D432" s="9">
        <v>0.14070081315399433</v>
      </c>
      <c r="E432" s="9">
        <v>1.8022283374955728</v>
      </c>
      <c r="F432" s="9">
        <v>2.5550288242550758</v>
      </c>
      <c r="G432" s="9">
        <v>4.4401725189896286</v>
      </c>
      <c r="H432" s="9">
        <v>21.068803763183858</v>
      </c>
      <c r="I432" s="9">
        <v>5011.1927320083969</v>
      </c>
      <c r="J432" s="9">
        <v>1647.1451032290745</v>
      </c>
      <c r="K432" s="9">
        <v>674.45774421914598</v>
      </c>
      <c r="L432" s="9">
        <v>1418.8884799534926</v>
      </c>
      <c r="M432" s="9">
        <v>1.0259866853806745</v>
      </c>
      <c r="N432" s="9">
        <v>1034.3741791175698</v>
      </c>
      <c r="O432" s="9">
        <v>12.061744985884003</v>
      </c>
      <c r="P432" s="9">
        <v>0.76509160311599633</v>
      </c>
      <c r="Q432" s="9">
        <v>12.061744985884003</v>
      </c>
      <c r="R432" s="9">
        <v>52.407004988119255</v>
      </c>
      <c r="S432" s="9">
        <v>22.495506296309568</v>
      </c>
      <c r="T432" s="9">
        <v>925.00102603570156</v>
      </c>
      <c r="U432" s="9">
        <v>1460.0360091447503</v>
      </c>
      <c r="V432" s="9">
        <v>4682.5014729298855</v>
      </c>
      <c r="W432" s="9">
        <v>145169.43196407956</v>
      </c>
      <c r="X432" s="9">
        <v>145783.7448561092</v>
      </c>
      <c r="Y432" s="9">
        <v>614.31289202961602</v>
      </c>
      <c r="Z432" s="9">
        <v>268167.21862942574</v>
      </c>
      <c r="AA432" s="9">
        <v>269390.26526191283</v>
      </c>
      <c r="AB432" s="9">
        <v>1223.0466324871365</v>
      </c>
      <c r="AC432" s="9">
        <v>0.76635042897875572</v>
      </c>
      <c r="AD432" s="9">
        <v>9.8161370115592188</v>
      </c>
      <c r="AE432" s="9">
        <v>13.916390329442645</v>
      </c>
      <c r="AF432" s="9">
        <v>22.596777977891385</v>
      </c>
      <c r="AG432" s="9">
        <v>341.52530900121036</v>
      </c>
      <c r="AH432" s="9">
        <v>17602.762388735096</v>
      </c>
      <c r="AI432" s="9">
        <v>1790.5298236547601</v>
      </c>
      <c r="AJ432" s="9">
        <v>19781.91317713894</v>
      </c>
      <c r="AK432" s="9">
        <v>71109273.884181425</v>
      </c>
      <c r="AL432" s="9">
        <v>62495959.012157507</v>
      </c>
    </row>
    <row r="433" spans="1:38" x14ac:dyDescent="0.25">
      <c r="A433" s="9">
        <v>431</v>
      </c>
      <c r="B433" s="9">
        <v>80</v>
      </c>
      <c r="C433" s="9">
        <v>5.5008333333333333E-3</v>
      </c>
      <c r="D433" s="9">
        <v>0.13847542831186638</v>
      </c>
      <c r="E433" s="9">
        <v>1.7804740734389706</v>
      </c>
      <c r="F433" s="9">
        <v>2.5271922547195236</v>
      </c>
      <c r="G433" s="9">
        <v>4.3974330381413118</v>
      </c>
      <c r="H433" s="9">
        <v>20.903827928671156</v>
      </c>
      <c r="I433" s="9">
        <v>5011.2381205415213</v>
      </c>
      <c r="J433" s="9">
        <v>1638.0844325403953</v>
      </c>
      <c r="K433" s="9">
        <v>670.7476645778205</v>
      </c>
      <c r="L433" s="9">
        <v>1409.5414363093569</v>
      </c>
      <c r="M433" s="9">
        <v>1.0191408486041096</v>
      </c>
      <c r="N433" s="9">
        <v>1035.393319966174</v>
      </c>
      <c r="O433" s="9">
        <v>11.983403390473708</v>
      </c>
      <c r="P433" s="9">
        <v>0.76030949552629346</v>
      </c>
      <c r="Q433" s="9">
        <v>11.983403390473708</v>
      </c>
      <c r="R433" s="9">
        <v>52.056182022398197</v>
      </c>
      <c r="S433" s="9">
        <v>22.346223526656846</v>
      </c>
      <c r="T433" s="9">
        <v>925.99555755239157</v>
      </c>
      <c r="U433" s="9">
        <v>1461.7725235823812</v>
      </c>
      <c r="V433" s="9">
        <v>4703.7207313305935</v>
      </c>
      <c r="W433" s="9">
        <v>145169.43196407956</v>
      </c>
      <c r="X433" s="9">
        <v>145783.7448561092</v>
      </c>
      <c r="Y433" s="9">
        <v>614.31289202961602</v>
      </c>
      <c r="Z433" s="9">
        <v>268167.21862942574</v>
      </c>
      <c r="AA433" s="9">
        <v>269390.26526191283</v>
      </c>
      <c r="AB433" s="9">
        <v>1223.0466324871365</v>
      </c>
      <c r="AC433" s="9">
        <v>0.75422949953863216</v>
      </c>
      <c r="AD433" s="9">
        <v>9.6976487866642582</v>
      </c>
      <c r="AE433" s="9">
        <v>13.764773814039005</v>
      </c>
      <c r="AF433" s="9">
        <v>22.379269636607493</v>
      </c>
      <c r="AG433" s="9">
        <v>338.85105072375944</v>
      </c>
      <c r="AH433" s="9">
        <v>17485.581866415254</v>
      </c>
      <c r="AI433" s="9">
        <v>1778.6476616042517</v>
      </c>
      <c r="AJ433" s="9">
        <v>19649.676500480113</v>
      </c>
      <c r="AK433" s="9">
        <v>71128923.560681909</v>
      </c>
      <c r="AL433" s="9">
        <v>62499232.835438557</v>
      </c>
    </row>
    <row r="434" spans="1:38" x14ac:dyDescent="0.25">
      <c r="A434" s="9">
        <v>432</v>
      </c>
      <c r="B434" s="9">
        <v>81</v>
      </c>
      <c r="C434" s="9">
        <v>5.5008333333333333E-3</v>
      </c>
      <c r="D434" s="9">
        <v>0.13628524111774459</v>
      </c>
      <c r="E434" s="9">
        <v>1.7589769633437973</v>
      </c>
      <c r="F434" s="9">
        <v>2.4996433289565019</v>
      </c>
      <c r="G434" s="9">
        <v>4.3550705905151599</v>
      </c>
      <c r="H434" s="9">
        <v>20.740062424596768</v>
      </c>
      <c r="I434" s="9">
        <v>5011.2830721811833</v>
      </c>
      <c r="J434" s="9">
        <v>1629.0736030910625</v>
      </c>
      <c r="K434" s="9">
        <v>667.05799346625531</v>
      </c>
      <c r="L434" s="9">
        <v>1400.2559670779531</v>
      </c>
      <c r="M434" s="9">
        <v>1.0123405190446328</v>
      </c>
      <c r="N434" s="9">
        <v>1036.4056604852185</v>
      </c>
      <c r="O434" s="9">
        <v>11.910730392425066</v>
      </c>
      <c r="P434" s="9">
        <v>0.75003052257493352</v>
      </c>
      <c r="Q434" s="9">
        <v>11.910730392425066</v>
      </c>
      <c r="R434" s="9">
        <v>51.702518226497958</v>
      </c>
      <c r="S434" s="9">
        <v>22.197922773928735</v>
      </c>
      <c r="T434" s="9">
        <v>926.98348060271655</v>
      </c>
      <c r="U434" s="9">
        <v>1463.4975125754165</v>
      </c>
      <c r="V434" s="9">
        <v>4724.8137138508782</v>
      </c>
      <c r="W434" s="9">
        <v>145857.24234181235</v>
      </c>
      <c r="X434" s="9">
        <v>146474.76700154613</v>
      </c>
      <c r="Y434" s="9">
        <v>617.52465973373558</v>
      </c>
      <c r="Z434" s="9">
        <v>271961.19124298933</v>
      </c>
      <c r="AA434" s="9">
        <v>273201.95403548947</v>
      </c>
      <c r="AB434" s="9">
        <v>1240.7627925001964</v>
      </c>
      <c r="AC434" s="9">
        <v>0.74230027995464887</v>
      </c>
      <c r="AD434" s="9">
        <v>9.5805611936792143</v>
      </c>
      <c r="AE434" s="9">
        <v>13.614723998383079</v>
      </c>
      <c r="AF434" s="9">
        <v>22.163680080230066</v>
      </c>
      <c r="AG434" s="9">
        <v>336.19641190271363</v>
      </c>
      <c r="AH434" s="9">
        <v>17369.173447072808</v>
      </c>
      <c r="AI434" s="9">
        <v>1766.8436631908576</v>
      </c>
      <c r="AJ434" s="9">
        <v>19518.314787718627</v>
      </c>
      <c r="AK434" s="9">
        <v>71148441.875469625</v>
      </c>
      <c r="AL434" s="9">
        <v>62502471.279091731</v>
      </c>
    </row>
    <row r="435" spans="1:38" x14ac:dyDescent="0.25">
      <c r="A435" s="9">
        <v>433</v>
      </c>
      <c r="B435" s="9">
        <v>81</v>
      </c>
      <c r="C435" s="9">
        <v>5.9566666666666665E-3</v>
      </c>
      <c r="D435" s="9">
        <v>0.13406757151468021</v>
      </c>
      <c r="E435" s="9">
        <v>1.7369322588215865</v>
      </c>
      <c r="F435" s="9">
        <v>2.4712398925717665</v>
      </c>
      <c r="G435" s="9">
        <v>4.3110971095867043</v>
      </c>
      <c r="H435" s="9">
        <v>20.568045008587621</v>
      </c>
      <c r="I435" s="9">
        <v>5011.3275907815105</v>
      </c>
      <c r="J435" s="9">
        <v>1619.3697546619835</v>
      </c>
      <c r="K435" s="9">
        <v>663.08455135184136</v>
      </c>
      <c r="L435" s="9">
        <v>1390.3933832878199</v>
      </c>
      <c r="M435" s="9">
        <v>1.0055853960725996</v>
      </c>
      <c r="N435" s="9">
        <v>1037.4112458812911</v>
      </c>
      <c r="O435" s="9">
        <v>11.83259269220825</v>
      </c>
      <c r="P435" s="9">
        <v>0.74534228879175124</v>
      </c>
      <c r="Q435" s="9">
        <v>11.83259269220825</v>
      </c>
      <c r="R435" s="9">
        <v>51.328096839596718</v>
      </c>
      <c r="S435" s="9">
        <v>22.040479235468229</v>
      </c>
      <c r="T435" s="9">
        <v>927.96483886912256</v>
      </c>
      <c r="U435" s="9">
        <v>1465.2110867808108</v>
      </c>
      <c r="V435" s="9">
        <v>4747.5186733121491</v>
      </c>
      <c r="W435" s="9">
        <v>145857.24234181235</v>
      </c>
      <c r="X435" s="9">
        <v>146474.76700154613</v>
      </c>
      <c r="Y435" s="9">
        <v>617.52465973373558</v>
      </c>
      <c r="Z435" s="9">
        <v>271961.19124298933</v>
      </c>
      <c r="AA435" s="9">
        <v>273201.95403548947</v>
      </c>
      <c r="AB435" s="9">
        <v>1240.7627925001964</v>
      </c>
      <c r="AC435" s="9">
        <v>0.73022137284995814</v>
      </c>
      <c r="AD435" s="9">
        <v>9.4604910363815744</v>
      </c>
      <c r="AE435" s="9">
        <v>13.460019948207554</v>
      </c>
      <c r="AF435" s="9">
        <v>21.93989170687167</v>
      </c>
      <c r="AG435" s="9">
        <v>333.40800958920534</v>
      </c>
      <c r="AH435" s="9">
        <v>17245.605205395801</v>
      </c>
      <c r="AI435" s="9">
        <v>1754.3119447470938</v>
      </c>
      <c r="AJ435" s="9">
        <v>19378.915783796412</v>
      </c>
      <c r="AK435" s="9">
        <v>71167820.791253418</v>
      </c>
      <c r="AL435" s="9">
        <v>62505673.252357841</v>
      </c>
    </row>
    <row r="436" spans="1:38" x14ac:dyDescent="0.25">
      <c r="A436" s="9">
        <v>434</v>
      </c>
      <c r="B436" s="9">
        <v>81</v>
      </c>
      <c r="C436" s="9">
        <v>5.9566666666666665E-3</v>
      </c>
      <c r="D436" s="9">
        <v>0.13188598841979546</v>
      </c>
      <c r="E436" s="9">
        <v>1.7151585763005246</v>
      </c>
      <c r="F436" s="9">
        <v>2.443144030013805</v>
      </c>
      <c r="G436" s="9">
        <v>4.2675341020814566</v>
      </c>
      <c r="H436" s="9">
        <v>20.397374027675777</v>
      </c>
      <c r="I436" s="9">
        <v>5011.3716598741239</v>
      </c>
      <c r="J436" s="9">
        <v>1609.7237088233803</v>
      </c>
      <c r="K436" s="9">
        <v>659.13477770762222</v>
      </c>
      <c r="L436" s="9">
        <v>1380.6002657676434</v>
      </c>
      <c r="M436" s="9">
        <v>0.99841680169088365</v>
      </c>
      <c r="N436" s="9">
        <v>1038.4096626829819</v>
      </c>
      <c r="O436" s="9">
        <v>11.754478372142909</v>
      </c>
      <c r="P436" s="9">
        <v>0.74037018585708991</v>
      </c>
      <c r="Q436" s="9">
        <v>11.754478372142909</v>
      </c>
      <c r="R436" s="9">
        <v>50.956812499621137</v>
      </c>
      <c r="S436" s="9">
        <v>21.884143966988425</v>
      </c>
      <c r="T436" s="9">
        <v>928.93922820893602</v>
      </c>
      <c r="U436" s="9">
        <v>1466.9125364327022</v>
      </c>
      <c r="V436" s="9">
        <v>4770.0781797078798</v>
      </c>
      <c r="W436" s="9">
        <v>145857.24234181235</v>
      </c>
      <c r="X436" s="9">
        <v>146474.76700154613</v>
      </c>
      <c r="Y436" s="9">
        <v>617.52465973373558</v>
      </c>
      <c r="Z436" s="9">
        <v>271961.19124298933</v>
      </c>
      <c r="AA436" s="9">
        <v>273201.95403548947</v>
      </c>
      <c r="AB436" s="9">
        <v>1240.7627925001964</v>
      </c>
      <c r="AC436" s="9">
        <v>0.71833901692648583</v>
      </c>
      <c r="AD436" s="9">
        <v>9.341897045583524</v>
      </c>
      <c r="AE436" s="9">
        <v>13.306991150141856</v>
      </c>
      <c r="AF436" s="9">
        <v>21.718192301176213</v>
      </c>
      <c r="AG436" s="9">
        <v>330.64143298862439</v>
      </c>
      <c r="AH436" s="9">
        <v>17122.899897262694</v>
      </c>
      <c r="AI436" s="9">
        <v>1741.8684390524436</v>
      </c>
      <c r="AJ436" s="9">
        <v>19240.495188817589</v>
      </c>
      <c r="AK436" s="9">
        <v>71187061.286442235</v>
      </c>
      <c r="AL436" s="9">
        <v>62508839.163129792</v>
      </c>
    </row>
    <row r="437" spans="1:38" x14ac:dyDescent="0.25">
      <c r="A437" s="9">
        <v>435</v>
      </c>
      <c r="B437" s="9">
        <v>81</v>
      </c>
      <c r="C437" s="9">
        <v>5.9566666666666665E-3</v>
      </c>
      <c r="D437" s="9">
        <v>0.12973990462385462</v>
      </c>
      <c r="E437" s="9">
        <v>1.6936526747865617</v>
      </c>
      <c r="F437" s="9">
        <v>2.4153526489017154</v>
      </c>
      <c r="G437" s="9">
        <v>4.224378186112399</v>
      </c>
      <c r="H437" s="9">
        <v>20.228039620404967</v>
      </c>
      <c r="I437" s="9">
        <v>5011.4152836549847</v>
      </c>
      <c r="J437" s="9">
        <v>1600.135121264489</v>
      </c>
      <c r="K437" s="9">
        <v>655.20853154841052</v>
      </c>
      <c r="L437" s="9">
        <v>1370.8761252376601</v>
      </c>
      <c r="M437" s="9">
        <v>0.9912991449749089</v>
      </c>
      <c r="N437" s="9">
        <v>1039.4009618279567</v>
      </c>
      <c r="O437" s="9">
        <v>11.676404667635611</v>
      </c>
      <c r="P437" s="9">
        <v>0.73543112236438901</v>
      </c>
      <c r="Q437" s="9">
        <v>11.676404667635611</v>
      </c>
      <c r="R437" s="9">
        <v>50.588630304425088</v>
      </c>
      <c r="S437" s="9">
        <v>21.72890919643131</v>
      </c>
      <c r="T437" s="9">
        <v>929.90669770676368</v>
      </c>
      <c r="U437" s="9">
        <v>1468.6019430735894</v>
      </c>
      <c r="V437" s="9">
        <v>4792.4931716754172</v>
      </c>
      <c r="W437" s="9">
        <v>145857.24234181235</v>
      </c>
      <c r="X437" s="9">
        <v>146474.76700154613</v>
      </c>
      <c r="Y437" s="9">
        <v>617.52465973373558</v>
      </c>
      <c r="Z437" s="9">
        <v>271961.19124298933</v>
      </c>
      <c r="AA437" s="9">
        <v>273201.95403548947</v>
      </c>
      <c r="AB437" s="9">
        <v>1240.7627925001964</v>
      </c>
      <c r="AC437" s="9">
        <v>0.70665001385126147</v>
      </c>
      <c r="AD437" s="9">
        <v>9.2247615686708055</v>
      </c>
      <c r="AE437" s="9">
        <v>13.155620761018008</v>
      </c>
      <c r="AF437" s="9">
        <v>21.498564652157015</v>
      </c>
      <c r="AG437" s="9">
        <v>327.89652224676456</v>
      </c>
      <c r="AH437" s="9">
        <v>17001.052698888026</v>
      </c>
      <c r="AI437" s="9">
        <v>1729.5125274899501</v>
      </c>
      <c r="AJ437" s="9">
        <v>19103.047345620438</v>
      </c>
      <c r="AK437" s="9">
        <v>71206164.333787858</v>
      </c>
      <c r="AL437" s="9">
        <v>62511969.414948411</v>
      </c>
    </row>
    <row r="438" spans="1:38" x14ac:dyDescent="0.25">
      <c r="A438" s="9">
        <v>436</v>
      </c>
      <c r="B438" s="9">
        <v>81</v>
      </c>
      <c r="C438" s="9">
        <v>5.9566666666666665E-3</v>
      </c>
      <c r="D438" s="9">
        <v>0.12762874247284653</v>
      </c>
      <c r="E438" s="9">
        <v>1.6724113504369589</v>
      </c>
      <c r="F438" s="9">
        <v>2.3878626841392885</v>
      </c>
      <c r="G438" s="9">
        <v>4.1816260017401552</v>
      </c>
      <c r="H438" s="9">
        <v>20.060031993706691</v>
      </c>
      <c r="I438" s="9">
        <v>5011.4584662854813</v>
      </c>
      <c r="J438" s="9">
        <v>1590.6036497254902</v>
      </c>
      <c r="K438" s="9">
        <v>651.30567272882047</v>
      </c>
      <c r="L438" s="9">
        <v>1361.2204758643074</v>
      </c>
      <c r="M438" s="9">
        <v>0.98423206589868517</v>
      </c>
      <c r="N438" s="9">
        <v>1040.3851938938553</v>
      </c>
      <c r="O438" s="9">
        <v>11.598388179887653</v>
      </c>
      <c r="P438" s="9">
        <v>0.73052488011234662</v>
      </c>
      <c r="Q438" s="9">
        <v>11.598388179887653</v>
      </c>
      <c r="R438" s="9">
        <v>50.223515889565441</v>
      </c>
      <c r="S438" s="9">
        <v>21.574767231173279</v>
      </c>
      <c r="T438" s="9">
        <v>930.86729612792317</v>
      </c>
      <c r="U438" s="9">
        <v>1470.2793878359018</v>
      </c>
      <c r="V438" s="9">
        <v>4814.7645817752464</v>
      </c>
      <c r="W438" s="9">
        <v>145857.24234181235</v>
      </c>
      <c r="X438" s="9">
        <v>146474.76700154613</v>
      </c>
      <c r="Y438" s="9">
        <v>617.52465973373558</v>
      </c>
      <c r="Z438" s="9">
        <v>271961.19124298933</v>
      </c>
      <c r="AA438" s="9">
        <v>273201.95403548947</v>
      </c>
      <c r="AB438" s="9">
        <v>1240.7627925001964</v>
      </c>
      <c r="AC438" s="9">
        <v>0.69515121733543739</v>
      </c>
      <c r="AD438" s="9">
        <v>9.109067155379968</v>
      </c>
      <c r="AE438" s="9">
        <v>13.005892086278656</v>
      </c>
      <c r="AF438" s="9">
        <v>21.280991660522606</v>
      </c>
      <c r="AG438" s="9">
        <v>325.17311861798549</v>
      </c>
      <c r="AH438" s="9">
        <v>16880.058760137039</v>
      </c>
      <c r="AI438" s="9">
        <v>1717.2435977652372</v>
      </c>
      <c r="AJ438" s="9">
        <v>18966.566578639777</v>
      </c>
      <c r="AK438" s="9">
        <v>71225130.9003665</v>
      </c>
      <c r="AL438" s="9">
        <v>62515064.407038987</v>
      </c>
    </row>
    <row r="439" spans="1:38" x14ac:dyDescent="0.25">
      <c r="A439" s="9">
        <v>437</v>
      </c>
      <c r="B439" s="9">
        <v>81</v>
      </c>
      <c r="C439" s="9">
        <v>5.9566666666666665E-3</v>
      </c>
      <c r="D439" s="9">
        <v>0.12555193371249934</v>
      </c>
      <c r="E439" s="9">
        <v>1.6514314361635565</v>
      </c>
      <c r="F439" s="9">
        <v>2.3606710977373653</v>
      </c>
      <c r="G439" s="9">
        <v>4.1392742109070131</v>
      </c>
      <c r="H439" s="9">
        <v>19.893341422410572</v>
      </c>
      <c r="I439" s="9">
        <v>5011.5012118926579</v>
      </c>
      <c r="J439" s="9">
        <v>1581.1289539852921</v>
      </c>
      <c r="K439" s="9">
        <v>647.42606193826578</v>
      </c>
      <c r="L439" s="9">
        <v>1351.6328352359499</v>
      </c>
      <c r="M439" s="9">
        <v>0.97721520696849207</v>
      </c>
      <c r="N439" s="9">
        <v>1041.3624091008239</v>
      </c>
      <c r="O439" s="9">
        <v>11.520444899665859</v>
      </c>
      <c r="P439" s="9">
        <v>0.72565124233414069</v>
      </c>
      <c r="Q439" s="9">
        <v>11.520444899665859</v>
      </c>
      <c r="R439" s="9">
        <v>49.861435418091055</v>
      </c>
      <c r="S439" s="9">
        <v>21.421710454904829</v>
      </c>
      <c r="T439" s="9">
        <v>931.82107191939804</v>
      </c>
      <c r="U439" s="9">
        <v>1471.9449514403684</v>
      </c>
      <c r="V439" s="9">
        <v>4836.8933365296134</v>
      </c>
      <c r="W439" s="9">
        <v>145857.24234181235</v>
      </c>
      <c r="X439" s="9">
        <v>146474.76700154613</v>
      </c>
      <c r="Y439" s="9">
        <v>617.52465973373558</v>
      </c>
      <c r="Z439" s="9">
        <v>271961.19124298933</v>
      </c>
      <c r="AA439" s="9">
        <v>273201.95403548947</v>
      </c>
      <c r="AB439" s="9">
        <v>1240.7627925001964</v>
      </c>
      <c r="AC439" s="9">
        <v>0.68383953228741301</v>
      </c>
      <c r="AD439" s="9">
        <v>8.9947965556375031</v>
      </c>
      <c r="AE439" s="9">
        <v>12.857788579009515</v>
      </c>
      <c r="AF439" s="9">
        <v>21.06545633834094</v>
      </c>
      <c r="AG439" s="9">
        <v>322.47106445727536</v>
      </c>
      <c r="AH439" s="9">
        <v>16759.913208228074</v>
      </c>
      <c r="AI439" s="9">
        <v>1705.0610436581499</v>
      </c>
      <c r="AJ439" s="9">
        <v>18831.047197348773</v>
      </c>
      <c r="AK439" s="9">
        <v>71243961.947563842</v>
      </c>
      <c r="AL439" s="9">
        <v>62518124.534348145</v>
      </c>
    </row>
    <row r="440" spans="1:38" x14ac:dyDescent="0.25">
      <c r="A440" s="9">
        <v>438</v>
      </c>
      <c r="B440" s="9">
        <v>81</v>
      </c>
      <c r="C440" s="9">
        <v>5.9566666666666665E-3</v>
      </c>
      <c r="D440" s="9">
        <v>0.12350891933532546</v>
      </c>
      <c r="E440" s="9">
        <v>1.6307098012397288</v>
      </c>
      <c r="F440" s="9">
        <v>2.3337748786362136</v>
      </c>
      <c r="G440" s="9">
        <v>4.0973194973701377</v>
      </c>
      <c r="H440" s="9">
        <v>19.727958248759144</v>
      </c>
      <c r="I440" s="9">
        <v>5011.5435245694352</v>
      </c>
      <c r="J440" s="9">
        <v>1571.7106958493864</v>
      </c>
      <c r="K440" s="9">
        <v>643.56956069598687</v>
      </c>
      <c r="L440" s="9">
        <v>1342.1127243387773</v>
      </c>
      <c r="M440" s="9">
        <v>0.97024821320501586</v>
      </c>
      <c r="N440" s="9">
        <v>1042.3326573140289</v>
      </c>
      <c r="O440" s="9">
        <v>11.442590222312074</v>
      </c>
      <c r="P440" s="9">
        <v>0.72080999368792575</v>
      </c>
      <c r="Q440" s="9">
        <v>11.442590222312074</v>
      </c>
      <c r="R440" s="9">
        <v>49.502355570543443</v>
      </c>
      <c r="S440" s="9">
        <v>21.269731324738959</v>
      </c>
      <c r="T440" s="9">
        <v>932.76807321086085</v>
      </c>
      <c r="U440" s="9">
        <v>1473.59871419454</v>
      </c>
      <c r="V440" s="9">
        <v>4858.880356460957</v>
      </c>
      <c r="W440" s="9">
        <v>145857.24234181235</v>
      </c>
      <c r="X440" s="9">
        <v>146474.76700154613</v>
      </c>
      <c r="Y440" s="9">
        <v>617.52465973373558</v>
      </c>
      <c r="Z440" s="9">
        <v>271961.19124298933</v>
      </c>
      <c r="AA440" s="9">
        <v>273201.95403548947</v>
      </c>
      <c r="AB440" s="9">
        <v>1240.7627925001964</v>
      </c>
      <c r="AC440" s="9">
        <v>0.67271191397973928</v>
      </c>
      <c r="AD440" s="9">
        <v>8.8819327174190548</v>
      </c>
      <c r="AE440" s="9">
        <v>12.711293838971908</v>
      </c>
      <c r="AF440" s="9">
        <v>20.851941808699525</v>
      </c>
      <c r="AG440" s="9">
        <v>319.79020321238573</v>
      </c>
      <c r="AH440" s="9">
        <v>16640.611149100579</v>
      </c>
      <c r="AI440" s="9">
        <v>1692.9642647925975</v>
      </c>
      <c r="AJ440" s="9">
        <v>18696.483497384634</v>
      </c>
      <c r="AK440" s="9">
        <v>71262658.431061223</v>
      </c>
      <c r="AL440" s="9">
        <v>62521150.18758063</v>
      </c>
    </row>
    <row r="441" spans="1:38" x14ac:dyDescent="0.25">
      <c r="A441" s="9">
        <v>439</v>
      </c>
      <c r="B441" s="9">
        <v>81</v>
      </c>
      <c r="C441" s="9">
        <v>5.9566666666666665E-3</v>
      </c>
      <c r="D441" s="9">
        <v>0.12149914943015545</v>
      </c>
      <c r="E441" s="9">
        <v>1.6102433509110001</v>
      </c>
      <c r="F441" s="9">
        <v>2.3071710425279419</v>
      </c>
      <c r="G441" s="9">
        <v>4.0557585666339806</v>
      </c>
      <c r="H441" s="9">
        <v>19.563872881927026</v>
      </c>
      <c r="I441" s="9">
        <v>5011.5854083748345</v>
      </c>
      <c r="J441" s="9">
        <v>1562.3485391377769</v>
      </c>
      <c r="K441" s="9">
        <v>639.73603134610778</v>
      </c>
      <c r="L441" s="9">
        <v>1332.6596675328724</v>
      </c>
      <c r="M441" s="9">
        <v>0.96333073212561748</v>
      </c>
      <c r="N441" s="9">
        <v>1043.2959880461544</v>
      </c>
      <c r="O441" s="9">
        <v>11.364838969752606</v>
      </c>
      <c r="P441" s="9">
        <v>0.71600092024739459</v>
      </c>
      <c r="Q441" s="9">
        <v>11.364838969752606</v>
      </c>
      <c r="R441" s="9">
        <v>49.146243535164544</v>
      </c>
      <c r="S441" s="9">
        <v>21.118822368486601</v>
      </c>
      <c r="T441" s="9">
        <v>933.70834781571568</v>
      </c>
      <c r="U441" s="9">
        <v>1475.2407559913306</v>
      </c>
      <c r="V441" s="9">
        <v>4880.726556130101</v>
      </c>
      <c r="W441" s="9">
        <v>145857.24234181235</v>
      </c>
      <c r="X441" s="9">
        <v>146474.76700154613</v>
      </c>
      <c r="Y441" s="9">
        <v>617.52465973373558</v>
      </c>
      <c r="Z441" s="9">
        <v>271961.19124298933</v>
      </c>
      <c r="AA441" s="9">
        <v>273201.95403548947</v>
      </c>
      <c r="AB441" s="9">
        <v>1240.7627925001964</v>
      </c>
      <c r="AC441" s="9">
        <v>0.66176536722958001</v>
      </c>
      <c r="AD441" s="9">
        <v>8.7704587846285804</v>
      </c>
      <c r="AE441" s="9">
        <v>12.566391611635522</v>
      </c>
      <c r="AF441" s="9">
        <v>20.640431305361432</v>
      </c>
      <c r="AG441" s="9">
        <v>317.1303794160371</v>
      </c>
      <c r="AH441" s="9">
        <v>16522.147670750928</v>
      </c>
      <c r="AI441" s="9">
        <v>1680.952666419691</v>
      </c>
      <c r="AJ441" s="9">
        <v>18562.869763655512</v>
      </c>
      <c r="AK441" s="9">
        <v>71281221.300824881</v>
      </c>
      <c r="AL441" s="9">
        <v>62524141.753236338</v>
      </c>
    </row>
    <row r="442" spans="1:38" x14ac:dyDescent="0.25">
      <c r="A442" s="9">
        <v>440</v>
      </c>
      <c r="B442" s="9">
        <v>81</v>
      </c>
      <c r="C442" s="9">
        <v>5.9566666666666665E-3</v>
      </c>
      <c r="D442" s="9">
        <v>0.11952208303412037</v>
      </c>
      <c r="E442" s="9">
        <v>1.5900290260093011</v>
      </c>
      <c r="F442" s="9">
        <v>2.2808566316789851</v>
      </c>
      <c r="G442" s="9">
        <v>4.014588145881901</v>
      </c>
      <c r="H442" s="9">
        <v>19.401075797544429</v>
      </c>
      <c r="I442" s="9">
        <v>5011.6268673342011</v>
      </c>
      <c r="J442" s="9">
        <v>1553.0421496729796</v>
      </c>
      <c r="K442" s="9">
        <v>635.92533705272285</v>
      </c>
      <c r="L442" s="9">
        <v>1323.2731925284475</v>
      </c>
      <c r="M442" s="9">
        <v>0.95646241372672614</v>
      </c>
      <c r="N442" s="9">
        <v>1044.2524504598812</v>
      </c>
      <c r="O442" s="9">
        <v>11.287205402507594</v>
      </c>
      <c r="P442" s="9">
        <v>0.7112238094924056</v>
      </c>
      <c r="Q442" s="9">
        <v>11.287205402507594</v>
      </c>
      <c r="R442" s="9">
        <v>48.793066998307197</v>
      </c>
      <c r="S442" s="9">
        <v>20.968976182132749</v>
      </c>
      <c r="T442" s="9">
        <v>934.64194323220113</v>
      </c>
      <c r="U442" s="9">
        <v>1476.8711563077045</v>
      </c>
      <c r="V442" s="9">
        <v>4902.4328441742491</v>
      </c>
      <c r="W442" s="9">
        <v>145857.24234181235</v>
      </c>
      <c r="X442" s="9">
        <v>146474.76700154613</v>
      </c>
      <c r="Y442" s="9">
        <v>617.52465973373558</v>
      </c>
      <c r="Z442" s="9">
        <v>271961.19124298933</v>
      </c>
      <c r="AA442" s="9">
        <v>273201.95403548947</v>
      </c>
      <c r="AB442" s="9">
        <v>1240.7627925001964</v>
      </c>
      <c r="AC442" s="9">
        <v>0.65099694559250898</v>
      </c>
      <c r="AD442" s="9">
        <v>8.660358094997326</v>
      </c>
      <c r="AE442" s="9">
        <v>12.423065787211538</v>
      </c>
      <c r="AF442" s="9">
        <v>20.430908172417308</v>
      </c>
      <c r="AG442" s="9">
        <v>314.49143867819521</v>
      </c>
      <c r="AH442" s="9">
        <v>16404.51784389314</v>
      </c>
      <c r="AI442" s="9">
        <v>1669.0256592168562</v>
      </c>
      <c r="AJ442" s="9">
        <v>18430.200270788409</v>
      </c>
      <c r="AK442" s="9">
        <v>71299651.501095667</v>
      </c>
      <c r="AL442" s="9">
        <v>62527099.613647133</v>
      </c>
    </row>
    <row r="443" spans="1:38" x14ac:dyDescent="0.25">
      <c r="A443" s="9">
        <v>441</v>
      </c>
      <c r="B443" s="9">
        <v>81</v>
      </c>
      <c r="C443" s="9">
        <v>5.9566666666666665E-3</v>
      </c>
      <c r="D443" s="9">
        <v>0.11757718798704259</v>
      </c>
      <c r="E443" s="9">
        <v>1.5700638025708389</v>
      </c>
      <c r="F443" s="9">
        <v>2.2548287147526791</v>
      </c>
      <c r="G443" s="9">
        <v>3.9738049839070135</v>
      </c>
      <c r="H443" s="9">
        <v>19.239557537224936</v>
      </c>
      <c r="I443" s="9">
        <v>5011.6679054394235</v>
      </c>
      <c r="J443" s="9">
        <v>1543.7911952680943</v>
      </c>
      <c r="K443" s="9">
        <v>632.13734179501216</v>
      </c>
      <c r="L443" s="9">
        <v>1313.9528303622476</v>
      </c>
      <c r="M443" s="9">
        <v>0.94964291046636284</v>
      </c>
      <c r="N443" s="9">
        <v>1045.2020933703475</v>
      </c>
      <c r="O443" s="9">
        <v>11.209703240700327</v>
      </c>
      <c r="P443" s="9">
        <v>0.70647845029967404</v>
      </c>
      <c r="Q443" s="9">
        <v>11.209703240700327</v>
      </c>
      <c r="R443" s="9">
        <v>48.442794135044025</v>
      </c>
      <c r="S443" s="9">
        <v>20.820185427445757</v>
      </c>
      <c r="T443" s="9">
        <v>935.56890664449691</v>
      </c>
      <c r="U443" s="9">
        <v>1478.4899942033533</v>
      </c>
      <c r="V443" s="9">
        <v>4924.000123344731</v>
      </c>
      <c r="W443" s="9">
        <v>145857.24234181235</v>
      </c>
      <c r="X443" s="9">
        <v>146474.76700154613</v>
      </c>
      <c r="Y443" s="9">
        <v>617.52465973373558</v>
      </c>
      <c r="Z443" s="9">
        <v>271961.19124298933</v>
      </c>
      <c r="AA443" s="9">
        <v>273201.95403548947</v>
      </c>
      <c r="AB443" s="9">
        <v>1240.7627925001964</v>
      </c>
      <c r="AC443" s="9">
        <v>0.64040375056942522</v>
      </c>
      <c r="AD443" s="9">
        <v>8.5516141780025023</v>
      </c>
      <c r="AE443" s="9">
        <v>12.281300399686257</v>
      </c>
      <c r="AF443" s="9">
        <v>20.223355863933442</v>
      </c>
      <c r="AG443" s="9">
        <v>311.87322767841624</v>
      </c>
      <c r="AH443" s="9">
        <v>16287.716725131158</v>
      </c>
      <c r="AI443" s="9">
        <v>1657.182659097545</v>
      </c>
      <c r="AJ443" s="9">
        <v>18298.469286099313</v>
      </c>
      <c r="AK443" s="9">
        <v>71317949.970381767</v>
      </c>
      <c r="AL443" s="9">
        <v>62530024.14701388</v>
      </c>
    </row>
    <row r="444" spans="1:38" x14ac:dyDescent="0.25">
      <c r="A444" s="9">
        <v>442</v>
      </c>
      <c r="B444" s="9">
        <v>81</v>
      </c>
      <c r="C444" s="9">
        <v>5.9566666666666665E-3</v>
      </c>
      <c r="D444" s="9">
        <v>0.11566394078819606</v>
      </c>
      <c r="E444" s="9">
        <v>1.5503446914575623</v>
      </c>
      <c r="F444" s="9">
        <v>2.2290843866319578</v>
      </c>
      <c r="G444" s="9">
        <v>3.9334058510422731</v>
      </c>
      <c r="H444" s="9">
        <v>19.0793087080975</v>
      </c>
      <c r="I444" s="9">
        <v>5011.7085266491558</v>
      </c>
      <c r="J444" s="9">
        <v>1534.5953457149474</v>
      </c>
      <c r="K444" s="9">
        <v>628.37191036238653</v>
      </c>
      <c r="L444" s="9">
        <v>1304.6981153741208</v>
      </c>
      <c r="M444" s="9">
        <v>0.94287187724678778</v>
      </c>
      <c r="N444" s="9">
        <v>1046.1449652475942</v>
      </c>
      <c r="O444" s="9">
        <v>11.132345680066473</v>
      </c>
      <c r="P444" s="9">
        <v>0.70176463293352753</v>
      </c>
      <c r="Q444" s="9">
        <v>11.132345680066473</v>
      </c>
      <c r="R444" s="9">
        <v>48.095393599970414</v>
      </c>
      <c r="S444" s="9">
        <v>20.672442829766844</v>
      </c>
      <c r="T444" s="9">
        <v>936.48928492388836</v>
      </c>
      <c r="U444" s="9">
        <v>1480.0973483195214</v>
      </c>
      <c r="V444" s="9">
        <v>4945.4292905445545</v>
      </c>
      <c r="W444" s="9">
        <v>145857.24234181235</v>
      </c>
      <c r="X444" s="9">
        <v>146474.76700154613</v>
      </c>
      <c r="Y444" s="9">
        <v>617.52465973373558</v>
      </c>
      <c r="Z444" s="9">
        <v>271961.19124298933</v>
      </c>
      <c r="AA444" s="9">
        <v>273201.95403548947</v>
      </c>
      <c r="AB444" s="9">
        <v>1240.7627925001964</v>
      </c>
      <c r="AC444" s="9">
        <v>0.62998293082637447</v>
      </c>
      <c r="AD444" s="9">
        <v>8.4442107528055228</v>
      </c>
      <c r="AE444" s="9">
        <v>12.141079625855395</v>
      </c>
      <c r="AF444" s="9">
        <v>20.017757943595967</v>
      </c>
      <c r="AG444" s="9">
        <v>309.2755941582605</v>
      </c>
      <c r="AH444" s="9">
        <v>16171.739358818873</v>
      </c>
      <c r="AI444" s="9">
        <v>1645.4230870352919</v>
      </c>
      <c r="AJ444" s="9">
        <v>18167.671071265508</v>
      </c>
      <c r="AK444" s="9">
        <v>71336117.641453028</v>
      </c>
      <c r="AL444" s="9">
        <v>62532915.727443442</v>
      </c>
    </row>
    <row r="445" spans="1:38" x14ac:dyDescent="0.25">
      <c r="A445" s="9">
        <v>443</v>
      </c>
      <c r="B445" s="9">
        <v>81</v>
      </c>
      <c r="C445" s="9">
        <v>5.9566666666666665E-3</v>
      </c>
      <c r="D445" s="9">
        <v>0.11378182645539746</v>
      </c>
      <c r="E445" s="9">
        <v>1.5308687379821937</v>
      </c>
      <c r="F445" s="9">
        <v>2.2036207682421916</v>
      </c>
      <c r="G445" s="9">
        <v>3.8933875390898129</v>
      </c>
      <c r="H445" s="9">
        <v>18.920319982342619</v>
      </c>
      <c r="I445" s="9">
        <v>5011.7487348890381</v>
      </c>
      <c r="J445" s="9">
        <v>1525.4542727723053</v>
      </c>
      <c r="K445" s="9">
        <v>624.62890834966129</v>
      </c>
      <c r="L445" s="9">
        <v>1295.5085851837525</v>
      </c>
      <c r="M445" s="9">
        <v>0.93614897139727427</v>
      </c>
      <c r="N445" s="9">
        <v>1047.0811142189914</v>
      </c>
      <c r="O445" s="9">
        <v>11.055145405963275</v>
      </c>
      <c r="P445" s="9">
        <v>0.69708214903672494</v>
      </c>
      <c r="Q445" s="9">
        <v>11.055145405963275</v>
      </c>
      <c r="R445" s="9">
        <v>47.750834518197564</v>
      </c>
      <c r="S445" s="9">
        <v>20.525741175942532</v>
      </c>
      <c r="T445" s="9">
        <v>937.40312462996042</v>
      </c>
      <c r="U445" s="9">
        <v>1481.6932968779063</v>
      </c>
      <c r="V445" s="9">
        <v>4966.721236865741</v>
      </c>
      <c r="W445" s="9">
        <v>145857.24234181235</v>
      </c>
      <c r="X445" s="9">
        <v>146474.76700154613</v>
      </c>
      <c r="Y445" s="9">
        <v>617.52465973373558</v>
      </c>
      <c r="Z445" s="9">
        <v>271961.19124298933</v>
      </c>
      <c r="AA445" s="9">
        <v>273201.95403548947</v>
      </c>
      <c r="AB445" s="9">
        <v>1240.7627925001964</v>
      </c>
      <c r="AC445" s="9">
        <v>0.61973168142706481</v>
      </c>
      <c r="AD445" s="9">
        <v>8.3381317262096815</v>
      </c>
      <c r="AE445" s="9">
        <v>12.002387784359136</v>
      </c>
      <c r="AF445" s="9">
        <v>19.81409808435124</v>
      </c>
      <c r="AG445" s="9">
        <v>306.69838691377385</v>
      </c>
      <c r="AH445" s="9">
        <v>16056.580778425958</v>
      </c>
      <c r="AI445" s="9">
        <v>1633.7463688991459</v>
      </c>
      <c r="AJ445" s="9">
        <v>18037.799883515225</v>
      </c>
      <c r="AK445" s="9">
        <v>71354155.441336542</v>
      </c>
      <c r="AL445" s="9">
        <v>62535774.724985622</v>
      </c>
    </row>
    <row r="446" spans="1:38" x14ac:dyDescent="0.25">
      <c r="A446" s="9">
        <v>444</v>
      </c>
      <c r="B446" s="9">
        <v>82</v>
      </c>
      <c r="C446" s="9">
        <v>5.9566666666666665E-3</v>
      </c>
      <c r="D446" s="9">
        <v>0.11193033838639022</v>
      </c>
      <c r="E446" s="9">
        <v>1.5116330215368079</v>
      </c>
      <c r="F446" s="9">
        <v>2.1784350063741931</v>
      </c>
      <c r="G446" s="9">
        <v>3.8537468612495487</v>
      </c>
      <c r="H446" s="9">
        <v>18.762582096732636</v>
      </c>
      <c r="I446" s="9">
        <v>5011.7885340519142</v>
      </c>
      <c r="J446" s="9">
        <v>1516.3676501541584</v>
      </c>
      <c r="K446" s="9">
        <v>620.90820215225847</v>
      </c>
      <c r="L446" s="9">
        <v>1286.3837806675649</v>
      </c>
      <c r="M446" s="9">
        <v>0.92947385265700588</v>
      </c>
      <c r="N446" s="9">
        <v>1048.0105880716485</v>
      </c>
      <c r="O446" s="9">
        <v>10.983652113017836</v>
      </c>
      <c r="P446" s="9">
        <v>0.68689328898216429</v>
      </c>
      <c r="Q446" s="9">
        <v>10.983652113017836</v>
      </c>
      <c r="R446" s="9">
        <v>47.403548973892242</v>
      </c>
      <c r="S446" s="9">
        <v>20.380073312382169</v>
      </c>
      <c r="T446" s="9">
        <v>938.31047201181025</v>
      </c>
      <c r="U446" s="9">
        <v>1483.2779176796082</v>
      </c>
      <c r="V446" s="9">
        <v>4987.8768476264295</v>
      </c>
      <c r="W446" s="9">
        <v>146463.71581564625</v>
      </c>
      <c r="X446" s="9">
        <v>147084.04829636842</v>
      </c>
      <c r="Y446" s="9">
        <v>620.33248072211836</v>
      </c>
      <c r="Z446" s="9">
        <v>275473.77409477945</v>
      </c>
      <c r="AA446" s="9">
        <v>276730.79927018704</v>
      </c>
      <c r="AB446" s="9">
        <v>1257.0251754076323</v>
      </c>
      <c r="AC446" s="9">
        <v>0.60964724307787199</v>
      </c>
      <c r="AD446" s="9">
        <v>8.2333611906371473</v>
      </c>
      <c r="AE446" s="9">
        <v>11.865209334718104</v>
      </c>
      <c r="AF446" s="9">
        <v>19.612360068042495</v>
      </c>
      <c r="AG446" s="9">
        <v>304.14145578803607</v>
      </c>
      <c r="AH446" s="9">
        <v>15942.236008773552</v>
      </c>
      <c r="AI446" s="9">
        <v>1622.1519352990588</v>
      </c>
      <c r="AJ446" s="9">
        <v>17908.849977697122</v>
      </c>
      <c r="AK446" s="9">
        <v>71372064.291314244</v>
      </c>
      <c r="AL446" s="9">
        <v>62538601.505670123</v>
      </c>
    </row>
    <row r="447" spans="1:38" x14ac:dyDescent="0.25">
      <c r="A447" s="9">
        <v>445</v>
      </c>
      <c r="B447" s="9">
        <v>82</v>
      </c>
      <c r="C447" s="9">
        <v>6.45E-3</v>
      </c>
      <c r="D447" s="9">
        <v>0.11005375925554677</v>
      </c>
      <c r="E447" s="9">
        <v>1.4918889162676408</v>
      </c>
      <c r="F447" s="9">
        <v>2.1524495789042679</v>
      </c>
      <c r="G447" s="9">
        <v>3.8125794702621794</v>
      </c>
      <c r="H447" s="9">
        <v>18.596829645008381</v>
      </c>
      <c r="I447" s="9">
        <v>5011.8279279980543</v>
      </c>
      <c r="J447" s="9">
        <v>1506.587078810664</v>
      </c>
      <c r="K447" s="9">
        <v>616.90334424837636</v>
      </c>
      <c r="L447" s="9">
        <v>1276.688629937315</v>
      </c>
      <c r="M447" s="9">
        <v>0.92284618315809797</v>
      </c>
      <c r="N447" s="9">
        <v>1048.9334342548066</v>
      </c>
      <c r="O447" s="9">
        <v>10.90672714105682</v>
      </c>
      <c r="P447" s="9">
        <v>0.68230980294318022</v>
      </c>
      <c r="Q447" s="9">
        <v>10.90672714105682</v>
      </c>
      <c r="R447" s="9">
        <v>47.035815639469362</v>
      </c>
      <c r="S447" s="9">
        <v>20.22537797375205</v>
      </c>
      <c r="T447" s="9">
        <v>939.21137300929797</v>
      </c>
      <c r="U447" s="9">
        <v>1484.8513254930058</v>
      </c>
      <c r="V447" s="9">
        <v>5010.637899390229</v>
      </c>
      <c r="W447" s="9">
        <v>146463.71581564625</v>
      </c>
      <c r="X447" s="9">
        <v>147084.04829636842</v>
      </c>
      <c r="Y447" s="9">
        <v>620.33248072211836</v>
      </c>
      <c r="Z447" s="9">
        <v>275473.77409477945</v>
      </c>
      <c r="AA447" s="9">
        <v>276730.79927018704</v>
      </c>
      <c r="AB447" s="9">
        <v>1257.0251754076323</v>
      </c>
      <c r="AC447" s="9">
        <v>0.59942614207854472</v>
      </c>
      <c r="AD447" s="9">
        <v>8.1258216306044169</v>
      </c>
      <c r="AE447" s="9">
        <v>11.723675373098578</v>
      </c>
      <c r="AF447" s="9">
        <v>19.402852354075939</v>
      </c>
      <c r="AG447" s="9">
        <v>301.45460854558587</v>
      </c>
      <c r="AH447" s="9">
        <v>15820.825022604138</v>
      </c>
      <c r="AI447" s="9">
        <v>1609.8389598207943</v>
      </c>
      <c r="AJ447" s="9">
        <v>17771.970366470377</v>
      </c>
      <c r="AK447" s="9">
        <v>71389836.261680707</v>
      </c>
      <c r="AL447" s="9">
        <v>62541395.041180126</v>
      </c>
    </row>
    <row r="448" spans="1:38" x14ac:dyDescent="0.25">
      <c r="A448" s="9">
        <v>446</v>
      </c>
      <c r="B448" s="9">
        <v>82</v>
      </c>
      <c r="C448" s="9">
        <v>6.45E-3</v>
      </c>
      <c r="D448" s="9">
        <v>0.10820864209725771</v>
      </c>
      <c r="E448" s="9">
        <v>1.4723984205352085</v>
      </c>
      <c r="F448" s="9">
        <v>2.1267614871994915</v>
      </c>
      <c r="G448" s="9">
        <v>3.7718230842671066</v>
      </c>
      <c r="H448" s="9">
        <v>18.432468674954205</v>
      </c>
      <c r="I448" s="9">
        <v>5011.8669011210204</v>
      </c>
      <c r="J448" s="9">
        <v>1496.8695921523351</v>
      </c>
      <c r="K448" s="9">
        <v>612.92431767797427</v>
      </c>
      <c r="L448" s="9">
        <v>1267.0665491175341</v>
      </c>
      <c r="M448" s="9">
        <v>0.91581035662504939</v>
      </c>
      <c r="N448" s="9">
        <v>1049.8492446114317</v>
      </c>
      <c r="O448" s="9">
        <v>10.829853745716701</v>
      </c>
      <c r="P448" s="9">
        <v>0.67744576828329839</v>
      </c>
      <c r="Q448" s="9">
        <v>10.829853745716701</v>
      </c>
      <c r="R448" s="9">
        <v>46.671363986742229</v>
      </c>
      <c r="S448" s="9">
        <v>20.071849743695029</v>
      </c>
      <c r="T448" s="9">
        <v>940.10542859105783</v>
      </c>
      <c r="U448" s="9">
        <v>1486.4128193807758</v>
      </c>
      <c r="V448" s="9">
        <v>5033.2419938897547</v>
      </c>
      <c r="W448" s="9">
        <v>146463.71581564625</v>
      </c>
      <c r="X448" s="9">
        <v>147084.04829636842</v>
      </c>
      <c r="Y448" s="9">
        <v>620.33248072211836</v>
      </c>
      <c r="Z448" s="9">
        <v>275473.77409477945</v>
      </c>
      <c r="AA448" s="9">
        <v>276730.79927018704</v>
      </c>
      <c r="AB448" s="9">
        <v>1257.0251754076323</v>
      </c>
      <c r="AC448" s="9">
        <v>0.5893764039563969</v>
      </c>
      <c r="AD448" s="9">
        <v>8.0196633971817679</v>
      </c>
      <c r="AE448" s="9">
        <v>11.583760900279897</v>
      </c>
      <c r="AF448" s="9">
        <v>19.195436313016014</v>
      </c>
      <c r="AG448" s="9">
        <v>298.79031722100768</v>
      </c>
      <c r="AH448" s="9">
        <v>15700.324160396362</v>
      </c>
      <c r="AI448" s="9">
        <v>1597.6188803494058</v>
      </c>
      <c r="AJ448" s="9">
        <v>17636.12159498121</v>
      </c>
      <c r="AK448" s="9">
        <v>71407472.383275688</v>
      </c>
      <c r="AL448" s="9">
        <v>62544155.720102564</v>
      </c>
    </row>
    <row r="449" spans="1:38" x14ac:dyDescent="0.25">
      <c r="A449" s="9">
        <v>447</v>
      </c>
      <c r="B449" s="9">
        <v>82</v>
      </c>
      <c r="C449" s="9">
        <v>6.45E-3</v>
      </c>
      <c r="D449" s="9">
        <v>0.10639445943271827</v>
      </c>
      <c r="E449" s="9">
        <v>1.4531583526684317</v>
      </c>
      <c r="F449" s="9">
        <v>2.1013675332413921</v>
      </c>
      <c r="G449" s="9">
        <v>3.7314740015296723</v>
      </c>
      <c r="H449" s="9">
        <v>18.269488173775954</v>
      </c>
      <c r="I449" s="9">
        <v>5011.905457622207</v>
      </c>
      <c r="J449" s="9">
        <v>1487.2147832829526</v>
      </c>
      <c r="K449" s="9">
        <v>608.97095582895133</v>
      </c>
      <c r="L449" s="9">
        <v>1257.5169874987012</v>
      </c>
      <c r="M449" s="9">
        <v>0.90882802812434038</v>
      </c>
      <c r="N449" s="9">
        <v>1050.7580726395561</v>
      </c>
      <c r="O449" s="9">
        <v>10.753049372151626</v>
      </c>
      <c r="P449" s="9">
        <v>0.67261629584837523</v>
      </c>
      <c r="Q449" s="9">
        <v>10.753049372151626</v>
      </c>
      <c r="R449" s="9">
        <v>46.310155884911374</v>
      </c>
      <c r="S449" s="9">
        <v>19.919479824991537</v>
      </c>
      <c r="T449" s="9">
        <v>940.99269041085643</v>
      </c>
      <c r="U449" s="9">
        <v>1487.9624854462163</v>
      </c>
      <c r="V449" s="9">
        <v>5055.6902203441823</v>
      </c>
      <c r="W449" s="9">
        <v>146463.71581564625</v>
      </c>
      <c r="X449" s="9">
        <v>147084.04829636842</v>
      </c>
      <c r="Y449" s="9">
        <v>620.33248072211836</v>
      </c>
      <c r="Z449" s="9">
        <v>275473.77409477945</v>
      </c>
      <c r="AA449" s="9">
        <v>276730.79927018704</v>
      </c>
      <c r="AB449" s="9">
        <v>1257.0251754076323</v>
      </c>
      <c r="AC449" s="9">
        <v>0.57949515571020549</v>
      </c>
      <c r="AD449" s="9">
        <v>7.9148691608673909</v>
      </c>
      <c r="AE449" s="9">
        <v>11.445448497721449</v>
      </c>
      <c r="AF449" s="9">
        <v>18.990093106118088</v>
      </c>
      <c r="AG449" s="9">
        <v>296.14840329690821</v>
      </c>
      <c r="AH449" s="9">
        <v>15580.727774072673</v>
      </c>
      <c r="AI449" s="9">
        <v>1585.4909966702014</v>
      </c>
      <c r="AJ449" s="9">
        <v>17501.297079960201</v>
      </c>
      <c r="AK449" s="9">
        <v>71424973.680355653</v>
      </c>
      <c r="AL449" s="9">
        <v>62546883.926676191</v>
      </c>
    </row>
    <row r="450" spans="1:38" x14ac:dyDescent="0.25">
      <c r="A450" s="9">
        <v>448</v>
      </c>
      <c r="B450" s="9">
        <v>82</v>
      </c>
      <c r="C450" s="9">
        <v>6.45E-3</v>
      </c>
      <c r="D450" s="9">
        <v>0.10461069262662162</v>
      </c>
      <c r="E450" s="9">
        <v>1.4341655695424311</v>
      </c>
      <c r="F450" s="9">
        <v>2.0762645500600105</v>
      </c>
      <c r="G450" s="9">
        <v>3.6915285481444728</v>
      </c>
      <c r="H450" s="9">
        <v>18.107877211251168</v>
      </c>
      <c r="I450" s="9">
        <v>5011.943601665168</v>
      </c>
      <c r="J450" s="9">
        <v>1477.6222479307776</v>
      </c>
      <c r="K450" s="9">
        <v>605.04309316385456</v>
      </c>
      <c r="L450" s="9">
        <v>1248.0393985218541</v>
      </c>
      <c r="M450" s="9">
        <v>0.90189879271542639</v>
      </c>
      <c r="N450" s="9">
        <v>1051.6599714322715</v>
      </c>
      <c r="O450" s="9">
        <v>10.676330800646424</v>
      </c>
      <c r="P450" s="9">
        <v>0.66782114135357584</v>
      </c>
      <c r="Q450" s="9">
        <v>10.676330800646424</v>
      </c>
      <c r="R450" s="9">
        <v>45.952153803533555</v>
      </c>
      <c r="S450" s="9">
        <v>19.768259512118203</v>
      </c>
      <c r="T450" s="9">
        <v>941.87320975850037</v>
      </c>
      <c r="U450" s="9">
        <v>1489.5004093077503</v>
      </c>
      <c r="V450" s="9">
        <v>5077.9836603918584</v>
      </c>
      <c r="W450" s="9">
        <v>146463.71581564625</v>
      </c>
      <c r="X450" s="9">
        <v>147084.04829636842</v>
      </c>
      <c r="Y450" s="9">
        <v>620.33248072211836</v>
      </c>
      <c r="Z450" s="9">
        <v>275473.77409477945</v>
      </c>
      <c r="AA450" s="9">
        <v>276730.79927018704</v>
      </c>
      <c r="AB450" s="9">
        <v>1257.0251754076323</v>
      </c>
      <c r="AC450" s="9">
        <v>0.56977957250633238</v>
      </c>
      <c r="AD450" s="9">
        <v>7.8114218021077741</v>
      </c>
      <c r="AE450" s="9">
        <v>11.308720915993524</v>
      </c>
      <c r="AF450" s="9">
        <v>18.786804036265245</v>
      </c>
      <c r="AG450" s="9">
        <v>293.52868959438143</v>
      </c>
      <c r="AH450" s="9">
        <v>15462.03019794065</v>
      </c>
      <c r="AI450" s="9">
        <v>1573.4546158670482</v>
      </c>
      <c r="AJ450" s="9">
        <v>17367.490229728952</v>
      </c>
      <c r="AK450" s="9">
        <v>71442341.170585379</v>
      </c>
      <c r="AL450" s="9">
        <v>62549580.040830947</v>
      </c>
    </row>
    <row r="451" spans="1:38" x14ac:dyDescent="0.25">
      <c r="A451" s="9">
        <v>449</v>
      </c>
      <c r="B451" s="9">
        <v>82</v>
      </c>
      <c r="C451" s="9">
        <v>6.45E-3</v>
      </c>
      <c r="D451" s="9">
        <v>0.1028568317388923</v>
      </c>
      <c r="E451" s="9">
        <v>1.4154169661368421</v>
      </c>
      <c r="F451" s="9">
        <v>2.0514494014889277</v>
      </c>
      <c r="G451" s="9">
        <v>3.6519830779003803</v>
      </c>
      <c r="H451" s="9">
        <v>17.947624939110732</v>
      </c>
      <c r="I451" s="9">
        <v>5011.9813373759025</v>
      </c>
      <c r="J451" s="9">
        <v>1468.0915844316241</v>
      </c>
      <c r="K451" s="9">
        <v>601.14056521294765</v>
      </c>
      <c r="L451" s="9">
        <v>1238.6332397473082</v>
      </c>
      <c r="M451" s="9">
        <v>0.89502224850827816</v>
      </c>
      <c r="N451" s="9">
        <v>1052.5549936807797</v>
      </c>
      <c r="O451" s="9">
        <v>10.599714166767738</v>
      </c>
      <c r="P451" s="9">
        <v>0.66306006223226122</v>
      </c>
      <c r="Q451" s="9">
        <v>10.599714166767738</v>
      </c>
      <c r="R451" s="9">
        <v>45.59732080094139</v>
      </c>
      <c r="S451" s="9">
        <v>19.618180187951257</v>
      </c>
      <c r="T451" s="9">
        <v>942.74703756128872</v>
      </c>
      <c r="U451" s="9">
        <v>1491.0266760979582</v>
      </c>
      <c r="V451" s="9">
        <v>5100.1233881423223</v>
      </c>
      <c r="W451" s="9">
        <v>146463.71581564625</v>
      </c>
      <c r="X451" s="9">
        <v>147084.04829636842</v>
      </c>
      <c r="Y451" s="9">
        <v>620.33248072211836</v>
      </c>
      <c r="Z451" s="9">
        <v>275473.77409477945</v>
      </c>
      <c r="AA451" s="9">
        <v>276730.79927018704</v>
      </c>
      <c r="AB451" s="9">
        <v>1257.0251754076323</v>
      </c>
      <c r="AC451" s="9">
        <v>0.56022687687116668</v>
      </c>
      <c r="AD451" s="9">
        <v>7.7093044088919997</v>
      </c>
      <c r="AE451" s="9">
        <v>11.173561073443025</v>
      </c>
      <c r="AF451" s="9">
        <v>18.58555054728135</v>
      </c>
      <c r="AG451" s="9">
        <v>290.93100026298498</v>
      </c>
      <c r="AH451" s="9">
        <v>15344.225751033193</v>
      </c>
      <c r="AI451" s="9">
        <v>1561.5090520599804</v>
      </c>
      <c r="AJ451" s="9">
        <v>17234.694446262645</v>
      </c>
      <c r="AK451" s="9">
        <v>71459575.865031645</v>
      </c>
      <c r="AL451" s="9">
        <v>62552244.43822737</v>
      </c>
    </row>
    <row r="452" spans="1:38" x14ac:dyDescent="0.25">
      <c r="A452" s="9">
        <v>450</v>
      </c>
      <c r="B452" s="9">
        <v>82</v>
      </c>
      <c r="C452" s="9">
        <v>6.45E-3</v>
      </c>
      <c r="D452" s="9">
        <v>0.10113237537890554</v>
      </c>
      <c r="E452" s="9">
        <v>1.3969094750987052</v>
      </c>
      <c r="F452" s="9">
        <v>2.0269189819212117</v>
      </c>
      <c r="G452" s="9">
        <v>3.6128339721452174</v>
      </c>
      <c r="H452" s="9">
        <v>17.788720590425918</v>
      </c>
      <c r="I452" s="9">
        <v>5012.0186688431349</v>
      </c>
      <c r="J452" s="9">
        <v>1458.6223937120401</v>
      </c>
      <c r="K452" s="9">
        <v>597.26320856732411</v>
      </c>
      <c r="L452" s="9">
        <v>1229.2979728236098</v>
      </c>
      <c r="M452" s="9">
        <v>0.88819799664040366</v>
      </c>
      <c r="N452" s="9">
        <v>1053.4431916774201</v>
      </c>
      <c r="O452" s="9">
        <v>10.523214982376134</v>
      </c>
      <c r="P452" s="9">
        <v>0.65833281762386742</v>
      </c>
      <c r="Q452" s="9">
        <v>10.523214982376134</v>
      </c>
      <c r="R452" s="9">
        <v>45.245620512907351</v>
      </c>
      <c r="S452" s="9">
        <v>19.469233320677034</v>
      </c>
      <c r="T452" s="9">
        <v>943.61422438550221</v>
      </c>
      <c r="U452" s="9">
        <v>1492.5413704626835</v>
      </c>
      <c r="V452" s="9">
        <v>5122.1104702279999</v>
      </c>
      <c r="W452" s="9">
        <v>146463.71581564625</v>
      </c>
      <c r="X452" s="9">
        <v>147084.04829636842</v>
      </c>
      <c r="Y452" s="9">
        <v>620.33248072211836</v>
      </c>
      <c r="Z452" s="9">
        <v>275473.77409477945</v>
      </c>
      <c r="AA452" s="9">
        <v>276730.79927018704</v>
      </c>
      <c r="AB452" s="9">
        <v>1257.0251754076323</v>
      </c>
      <c r="AC452" s="9">
        <v>0.55083433789710545</v>
      </c>
      <c r="AD452" s="9">
        <v>7.6085002743709476</v>
      </c>
      <c r="AE452" s="9">
        <v>11.039952054864198</v>
      </c>
      <c r="AF452" s="9">
        <v>18.386314223242369</v>
      </c>
      <c r="AG452" s="9">
        <v>288.35516077080416</v>
      </c>
      <c r="AH452" s="9">
        <v>15227.308739750521</v>
      </c>
      <c r="AI452" s="9">
        <v>1549.6536261592885</v>
      </c>
      <c r="AJ452" s="9">
        <v>17102.903127570989</v>
      </c>
      <c r="AK452" s="9">
        <v>71476678.768159211</v>
      </c>
      <c r="AL452" s="9">
        <v>62554877.490296058</v>
      </c>
    </row>
    <row r="453" spans="1:38" x14ac:dyDescent="0.25">
      <c r="A453" s="9">
        <v>451</v>
      </c>
      <c r="B453" s="9">
        <v>82</v>
      </c>
      <c r="C453" s="9">
        <v>6.45E-3</v>
      </c>
      <c r="D453" s="9">
        <v>9.9436830562150511E-2</v>
      </c>
      <c r="E453" s="9">
        <v>1.3786400663098983</v>
      </c>
      <c r="F453" s="9">
        <v>2.0026702160663006</v>
      </c>
      <c r="G453" s="9">
        <v>3.5740776396501048</v>
      </c>
      <c r="H453" s="9">
        <v>17.631153479000741</v>
      </c>
      <c r="I453" s="9">
        <v>5012.0556001186014</v>
      </c>
      <c r="J453" s="9">
        <v>1449.2142792725974</v>
      </c>
      <c r="K453" s="9">
        <v>593.41086087206486</v>
      </c>
      <c r="L453" s="9">
        <v>1220.0330634567251</v>
      </c>
      <c r="M453" s="9">
        <v>0.8814256412540461</v>
      </c>
      <c r="N453" s="9">
        <v>1054.3246173186742</v>
      </c>
      <c r="O453" s="9">
        <v>10.446848153638125</v>
      </c>
      <c r="P453" s="9">
        <v>0.65363916836187397</v>
      </c>
      <c r="Q453" s="9">
        <v>10.446848153638125</v>
      </c>
      <c r="R453" s="9">
        <v>44.897017141546861</v>
      </c>
      <c r="S453" s="9">
        <v>19.321410460905422</v>
      </c>
      <c r="T453" s="9">
        <v>944.47482043793559</v>
      </c>
      <c r="U453" s="9">
        <v>1494.0445765602331</v>
      </c>
      <c r="V453" s="9">
        <v>5143.9459658555743</v>
      </c>
      <c r="W453" s="9">
        <v>146463.71581564625</v>
      </c>
      <c r="X453" s="9">
        <v>147084.04829636842</v>
      </c>
      <c r="Y453" s="9">
        <v>620.33248072211836</v>
      </c>
      <c r="Z453" s="9">
        <v>275473.77409477945</v>
      </c>
      <c r="AA453" s="9">
        <v>276730.79927018704</v>
      </c>
      <c r="AB453" s="9">
        <v>1257.0251754076323</v>
      </c>
      <c r="AC453" s="9">
        <v>0.54159927046184642</v>
      </c>
      <c r="AD453" s="9">
        <v>7.5089928945012456</v>
      </c>
      <c r="AE453" s="9">
        <v>10.90787711017445</v>
      </c>
      <c r="AF453" s="9">
        <v>18.189076787785989</v>
      </c>
      <c r="AG453" s="9">
        <v>285.80099789460201</v>
      </c>
      <c r="AH453" s="9">
        <v>15111.273459748294</v>
      </c>
      <c r="AI453" s="9">
        <v>1537.887665635767</v>
      </c>
      <c r="AJ453" s="9">
        <v>16972.109669341586</v>
      </c>
      <c r="AK453" s="9">
        <v>71493650.877828553</v>
      </c>
      <c r="AL453" s="9">
        <v>62557479.564277075</v>
      </c>
    </row>
    <row r="454" spans="1:38" x14ac:dyDescent="0.25">
      <c r="A454" s="9">
        <v>452</v>
      </c>
      <c r="B454" s="9">
        <v>82</v>
      </c>
      <c r="C454" s="9">
        <v>6.45E-3</v>
      </c>
      <c r="D454" s="9">
        <v>9.7769712569296868E-2</v>
      </c>
      <c r="E454" s="9">
        <v>1.3606057464590675</v>
      </c>
      <c r="F454" s="9">
        <v>1.9787000587078398</v>
      </c>
      <c r="G454" s="9">
        <v>3.5357105164734928</v>
      </c>
      <c r="H454" s="9">
        <v>17.474912998769561</v>
      </c>
      <c r="I454" s="9">
        <v>5012.0921352173264</v>
      </c>
      <c r="J454" s="9">
        <v>1439.8668471712892</v>
      </c>
      <c r="K454" s="9">
        <v>589.58336081944003</v>
      </c>
      <c r="L454" s="9">
        <v>1210.8379813794595</v>
      </c>
      <c r="M454" s="9">
        <v>0.87470478947355612</v>
      </c>
      <c r="N454" s="9">
        <v>1055.1993221081477</v>
      </c>
      <c r="O454" s="9">
        <v>10.370628001038142</v>
      </c>
      <c r="P454" s="9">
        <v>0.64897887696185819</v>
      </c>
      <c r="Q454" s="9">
        <v>10.370628001038142</v>
      </c>
      <c r="R454" s="9">
        <v>44.551475444455242</v>
      </c>
      <c r="S454" s="9">
        <v>19.174703238959722</v>
      </c>
      <c r="T454" s="9">
        <v>945.32887556745652</v>
      </c>
      <c r="U454" s="9">
        <v>1495.5363780606381</v>
      </c>
      <c r="V454" s="9">
        <v>5165.630926857024</v>
      </c>
      <c r="W454" s="9">
        <v>146463.71581564625</v>
      </c>
      <c r="X454" s="9">
        <v>147084.04829636842</v>
      </c>
      <c r="Y454" s="9">
        <v>620.33248072211836</v>
      </c>
      <c r="Z454" s="9">
        <v>275473.77409477945</v>
      </c>
      <c r="AA454" s="9">
        <v>276730.79927018704</v>
      </c>
      <c r="AB454" s="9">
        <v>1257.0251754076323</v>
      </c>
      <c r="AC454" s="9">
        <v>0.5325190344607702</v>
      </c>
      <c r="AD454" s="9">
        <v>7.4107659657137201</v>
      </c>
      <c r="AE454" s="9">
        <v>10.777319653095367</v>
      </c>
      <c r="AF454" s="9">
        <v>17.993820103419683</v>
      </c>
      <c r="AG454" s="9">
        <v>283.26833971005459</v>
      </c>
      <c r="AH454" s="9">
        <v>14996.114198435667</v>
      </c>
      <c r="AI454" s="9">
        <v>1526.2105043049992</v>
      </c>
      <c r="AJ454" s="9">
        <v>16842.307467207411</v>
      </c>
      <c r="AK454" s="9">
        <v>71510493.185295761</v>
      </c>
      <c r="AL454" s="9">
        <v>62560051.023259386</v>
      </c>
    </row>
    <row r="455" spans="1:38" x14ac:dyDescent="0.25">
      <c r="A455" s="9">
        <v>453</v>
      </c>
      <c r="B455" s="9">
        <v>82</v>
      </c>
      <c r="C455" s="9">
        <v>6.45E-3</v>
      </c>
      <c r="D455" s="9">
        <v>9.6130544807624008E-2</v>
      </c>
      <c r="E455" s="9">
        <v>1.3428035586180249</v>
      </c>
      <c r="F455" s="9">
        <v>1.9550054944624888</v>
      </c>
      <c r="G455" s="9">
        <v>3.4977290658248923</v>
      </c>
      <c r="H455" s="9">
        <v>17.319988623199897</v>
      </c>
      <c r="I455" s="9">
        <v>5012.1282781179025</v>
      </c>
      <c r="J455" s="9">
        <v>1430.5797060070345</v>
      </c>
      <c r="K455" s="9">
        <v>585.78054814215466</v>
      </c>
      <c r="L455" s="9">
        <v>1201.7122003211089</v>
      </c>
      <c r="M455" s="9">
        <v>0.8680350513829358</v>
      </c>
      <c r="N455" s="9">
        <v>1056.0673571595307</v>
      </c>
      <c r="O455" s="9">
        <v>10.294568276390363</v>
      </c>
      <c r="P455" s="9">
        <v>0.64435170760963656</v>
      </c>
      <c r="Q455" s="9">
        <v>10.294568276390363</v>
      </c>
      <c r="R455" s="9">
        <v>44.208960724073428</v>
      </c>
      <c r="S455" s="9">
        <v>19.029103362346913</v>
      </c>
      <c r="T455" s="9">
        <v>946.17643926660458</v>
      </c>
      <c r="U455" s="9">
        <v>1497.0168581450168</v>
      </c>
      <c r="V455" s="9">
        <v>5187.1663977403396</v>
      </c>
      <c r="W455" s="9">
        <v>146463.71581564625</v>
      </c>
      <c r="X455" s="9">
        <v>147084.04829636842</v>
      </c>
      <c r="Y455" s="9">
        <v>620.33248072211836</v>
      </c>
      <c r="Z455" s="9">
        <v>275473.77409477945</v>
      </c>
      <c r="AA455" s="9">
        <v>276730.79927018704</v>
      </c>
      <c r="AB455" s="9">
        <v>1257.0251754076323</v>
      </c>
      <c r="AC455" s="9">
        <v>0.52359103405219209</v>
      </c>
      <c r="AD455" s="9">
        <v>7.3138033826061752</v>
      </c>
      <c r="AE455" s="9">
        <v>10.648263259839021</v>
      </c>
      <c r="AF455" s="9">
        <v>17.80052617082718</v>
      </c>
      <c r="AG455" s="9">
        <v>280.75701558207032</v>
      </c>
      <c r="AH455" s="9">
        <v>14881.825236716637</v>
      </c>
      <c r="AI455" s="9">
        <v>1514.6214821260025</v>
      </c>
      <c r="AJ455" s="9">
        <v>16713.489918272033</v>
      </c>
      <c r="AK455" s="9">
        <v>71527206.675214037</v>
      </c>
      <c r="AL455" s="9">
        <v>62562592.226220205</v>
      </c>
    </row>
    <row r="456" spans="1:38" x14ac:dyDescent="0.25">
      <c r="A456" s="9">
        <v>454</v>
      </c>
      <c r="B456" s="9">
        <v>82</v>
      </c>
      <c r="C456" s="9">
        <v>6.45E-3</v>
      </c>
      <c r="D456" s="9">
        <v>9.4518858674773609E-2</v>
      </c>
      <c r="E456" s="9">
        <v>1.325230581822572</v>
      </c>
      <c r="F456" s="9">
        <v>1.9315835375397161</v>
      </c>
      <c r="G456" s="9">
        <v>3.4601297779283251</v>
      </c>
      <c r="H456" s="9">
        <v>17.166369904700382</v>
      </c>
      <c r="I456" s="9">
        <v>5012.1640327627692</v>
      </c>
      <c r="J456" s="9">
        <v>1421.352466903289</v>
      </c>
      <c r="K456" s="9">
        <v>582.00226360663771</v>
      </c>
      <c r="L456" s="9">
        <v>1192.6551979773392</v>
      </c>
      <c r="M456" s="9">
        <v>0.86141604000355543</v>
      </c>
      <c r="N456" s="9">
        <v>1056.9287731995344</v>
      </c>
      <c r="O456" s="9">
        <v>10.218682181850509</v>
      </c>
      <c r="P456" s="9">
        <v>0.63975742614949049</v>
      </c>
      <c r="Q456" s="9">
        <v>10.218682181850509</v>
      </c>
      <c r="R456" s="9">
        <v>43.869438817277498</v>
      </c>
      <c r="S456" s="9">
        <v>18.884602613382906</v>
      </c>
      <c r="T456" s="9">
        <v>947.01756067321435</v>
      </c>
      <c r="U456" s="9">
        <v>1498.4860995050001</v>
      </c>
      <c r="V456" s="9">
        <v>5208.5534157399134</v>
      </c>
      <c r="W456" s="9">
        <v>146463.71581564625</v>
      </c>
      <c r="X456" s="9">
        <v>147084.04829636842</v>
      </c>
      <c r="Y456" s="9">
        <v>620.33248072211836</v>
      </c>
      <c r="Z456" s="9">
        <v>275473.77409477945</v>
      </c>
      <c r="AA456" s="9">
        <v>276730.79927018704</v>
      </c>
      <c r="AB456" s="9">
        <v>1257.0251754076323</v>
      </c>
      <c r="AC456" s="9">
        <v>0.51481271691526687</v>
      </c>
      <c r="AD456" s="9">
        <v>7.2180892356602753</v>
      </c>
      <c r="AE456" s="9">
        <v>10.520691667799653</v>
      </c>
      <c r="AF456" s="9">
        <v>17.609177128173567</v>
      </c>
      <c r="AG456" s="9">
        <v>278.26685615519318</v>
      </c>
      <c r="AH456" s="9">
        <v>14768.400851338576</v>
      </c>
      <c r="AI456" s="9">
        <v>1503.1199450122124</v>
      </c>
      <c r="AJ456" s="9">
        <v>16585.65042325453</v>
      </c>
      <c r="AK456" s="9">
        <v>71543792.325637296</v>
      </c>
      <c r="AL456" s="9">
        <v>62565103.52806437</v>
      </c>
    </row>
    <row r="457" spans="1:38" x14ac:dyDescent="0.25">
      <c r="A457" s="9">
        <v>455</v>
      </c>
      <c r="B457" s="9">
        <v>82</v>
      </c>
      <c r="C457" s="9">
        <v>6.45E-3</v>
      </c>
      <c r="D457" s="9">
        <v>9.2934193424786399E-2</v>
      </c>
      <c r="E457" s="9">
        <v>1.3078839306577135</v>
      </c>
      <c r="F457" s="9">
        <v>1.908431231502598</v>
      </c>
      <c r="G457" s="9">
        <v>3.4229091698855032</v>
      </c>
      <c r="H457" s="9">
        <v>17.014046474033762</v>
      </c>
      <c r="I457" s="9">
        <v>5012.1994030584883</v>
      </c>
      <c r="J457" s="9">
        <v>1412.1847434917629</v>
      </c>
      <c r="K457" s="9">
        <v>578.24834900637495</v>
      </c>
      <c r="L457" s="9">
        <v>1183.6664559802923</v>
      </c>
      <c r="M457" s="9">
        <v>0.85484737127203947</v>
      </c>
      <c r="N457" s="9">
        <v>1057.7836205708063</v>
      </c>
      <c r="O457" s="9">
        <v>10.142982385927521</v>
      </c>
      <c r="P457" s="9">
        <v>0.63519580007247856</v>
      </c>
      <c r="Q457" s="9">
        <v>10.142982385927521</v>
      </c>
      <c r="R457" s="9">
        <v>43.532876085187063</v>
      </c>
      <c r="S457" s="9">
        <v>18.741192846977853</v>
      </c>
      <c r="T457" s="9">
        <v>947.85228857207551</v>
      </c>
      <c r="U457" s="9">
        <v>1499.9441843422624</v>
      </c>
      <c r="V457" s="9">
        <v>5229.7930108666187</v>
      </c>
      <c r="W457" s="9">
        <v>146463.71581564625</v>
      </c>
      <c r="X457" s="9">
        <v>147084.04829636842</v>
      </c>
      <c r="Y457" s="9">
        <v>620.33248072211836</v>
      </c>
      <c r="Z457" s="9">
        <v>275473.77409477945</v>
      </c>
      <c r="AA457" s="9">
        <v>276730.79927018704</v>
      </c>
      <c r="AB457" s="9">
        <v>1257.0251754076323</v>
      </c>
      <c r="AC457" s="9">
        <v>0.50618157352033655</v>
      </c>
      <c r="AD457" s="9">
        <v>7.1236078089823458</v>
      </c>
      <c r="AE457" s="9">
        <v>10.394588774250817</v>
      </c>
      <c r="AF457" s="9">
        <v>17.419755250408972</v>
      </c>
      <c r="AG457" s="9">
        <v>275.79769334408729</v>
      </c>
      <c r="AH457" s="9">
        <v>14655.835316481363</v>
      </c>
      <c r="AI457" s="9">
        <v>1491.7052446552023</v>
      </c>
      <c r="AJ457" s="9">
        <v>16458.782387887815</v>
      </c>
      <c r="AK457" s="9">
        <v>71560251.108025178</v>
      </c>
      <c r="AL457" s="9">
        <v>62567585.279663555</v>
      </c>
    </row>
    <row r="458" spans="1:38" x14ac:dyDescent="0.25">
      <c r="A458" s="9">
        <v>456</v>
      </c>
      <c r="B458" s="9">
        <v>83</v>
      </c>
      <c r="C458" s="9">
        <v>6.45E-3</v>
      </c>
      <c r="D458" s="9">
        <v>9.1376096036384968E-2</v>
      </c>
      <c r="E458" s="9">
        <v>1.2907607548472229</v>
      </c>
      <c r="F458" s="9">
        <v>1.8855456490296338</v>
      </c>
      <c r="G458" s="9">
        <v>3.3860637855387554</v>
      </c>
      <c r="H458" s="9">
        <v>16.863008039734961</v>
      </c>
      <c r="I458" s="9">
        <v>5012.2343928760174</v>
      </c>
      <c r="J458" s="9">
        <v>1403.0761518962411</v>
      </c>
      <c r="K458" s="9">
        <v>574.51864715528382</v>
      </c>
      <c r="L458" s="9">
        <v>1174.7454598689185</v>
      </c>
      <c r="M458" s="9">
        <v>0.84832866401832141</v>
      </c>
      <c r="N458" s="9">
        <v>1058.6319492348246</v>
      </c>
      <c r="O458" s="9">
        <v>10.072983526702899</v>
      </c>
      <c r="P458" s="9">
        <v>0.6251641132971022</v>
      </c>
      <c r="Q458" s="9">
        <v>10.072983526702899</v>
      </c>
      <c r="R458" s="9">
        <v>43.193736917980139</v>
      </c>
      <c r="S458" s="9">
        <v>18.598865988557034</v>
      </c>
      <c r="T458" s="9">
        <v>948.68067139661389</v>
      </c>
      <c r="U458" s="9">
        <v>1501.3911943681176</v>
      </c>
      <c r="V458" s="9">
        <v>5250.8862059575531</v>
      </c>
      <c r="W458" s="9">
        <v>146995.31724940302</v>
      </c>
      <c r="X458" s="9">
        <v>147618.08961776688</v>
      </c>
      <c r="Y458" s="9">
        <v>622.77236836382554</v>
      </c>
      <c r="Z458" s="9">
        <v>278706.65874481446</v>
      </c>
      <c r="AA458" s="9">
        <v>279978.52186986589</v>
      </c>
      <c r="AB458" s="9">
        <v>1271.8631250514904</v>
      </c>
      <c r="AC458" s="9">
        <v>0.49769513641151009</v>
      </c>
      <c r="AD458" s="9">
        <v>7.0303435780678738</v>
      </c>
      <c r="AE458" s="9">
        <v>10.269938635048071</v>
      </c>
      <c r="AF458" s="9">
        <v>17.232242948570981</v>
      </c>
      <c r="AG458" s="9">
        <v>273.34936032410371</v>
      </c>
      <c r="AH458" s="9">
        <v>14544.122905951073</v>
      </c>
      <c r="AI458" s="9">
        <v>1480.3767383591971</v>
      </c>
      <c r="AJ458" s="9">
        <v>16332.879224932472</v>
      </c>
      <c r="AK458" s="9">
        <v>71576583.987250105</v>
      </c>
      <c r="AL458" s="9">
        <v>62570037.827895515</v>
      </c>
    </row>
    <row r="459" spans="1:38" x14ac:dyDescent="0.25">
      <c r="A459" s="9">
        <v>457</v>
      </c>
      <c r="B459" s="9">
        <v>83</v>
      </c>
      <c r="C459" s="9">
        <v>7.0116666666666669E-3</v>
      </c>
      <c r="D459" s="9">
        <v>8.9792798176191041E-2</v>
      </c>
      <c r="E459" s="9">
        <v>1.2731332615568858</v>
      </c>
      <c r="F459" s="9">
        <v>1.861864843538058</v>
      </c>
      <c r="G459" s="9">
        <v>3.3476883561741704</v>
      </c>
      <c r="H459" s="9">
        <v>16.703772998018419</v>
      </c>
      <c r="I459" s="9">
        <v>5012.2690060509858</v>
      </c>
      <c r="J459" s="9">
        <v>1393.2382496111952</v>
      </c>
      <c r="K459" s="9">
        <v>570.49031390764674</v>
      </c>
      <c r="L459" s="9">
        <v>1165.2318836929048</v>
      </c>
      <c r="M459" s="9">
        <v>0.84185953994386598</v>
      </c>
      <c r="N459" s="9">
        <v>1059.4738087747685</v>
      </c>
      <c r="O459" s="9">
        <v>9.9973388372078631</v>
      </c>
      <c r="P459" s="9">
        <v>0.62070634279213666</v>
      </c>
      <c r="Q459" s="9">
        <v>9.9973388372078631</v>
      </c>
      <c r="R459" s="9">
        <v>42.833391820693002</v>
      </c>
      <c r="S459" s="9">
        <v>18.447167669059812</v>
      </c>
      <c r="T459" s="9">
        <v>949.50275723060611</v>
      </c>
      <c r="U459" s="9">
        <v>1502.8272479556033</v>
      </c>
      <c r="V459" s="9">
        <v>5273.6581542523018</v>
      </c>
      <c r="W459" s="9">
        <v>146995.31724940302</v>
      </c>
      <c r="X459" s="9">
        <v>147618.08961776688</v>
      </c>
      <c r="Y459" s="9">
        <v>622.77236836382554</v>
      </c>
      <c r="Z459" s="9">
        <v>278706.65874481446</v>
      </c>
      <c r="AA459" s="9">
        <v>279978.52186986589</v>
      </c>
      <c r="AB459" s="9">
        <v>1271.8631250514904</v>
      </c>
      <c r="AC459" s="9">
        <v>0.48907144073298719</v>
      </c>
      <c r="AD459" s="9">
        <v>6.934332497946504</v>
      </c>
      <c r="AE459" s="9">
        <v>10.140957181137289</v>
      </c>
      <c r="AF459" s="9">
        <v>17.036943992629716</v>
      </c>
      <c r="AG459" s="9">
        <v>270.76816029787858</v>
      </c>
      <c r="AH459" s="9">
        <v>14425.078801268779</v>
      </c>
      <c r="AI459" s="9">
        <v>1468.3023106188157</v>
      </c>
      <c r="AJ459" s="9">
        <v>16198.75057729792</v>
      </c>
      <c r="AK459" s="9">
        <v>71592782.737827405</v>
      </c>
      <c r="AL459" s="9">
        <v>62572460.142367423</v>
      </c>
    </row>
    <row r="460" spans="1:38" x14ac:dyDescent="0.25">
      <c r="A460" s="9">
        <v>458</v>
      </c>
      <c r="B460" s="9">
        <v>83</v>
      </c>
      <c r="C460" s="9">
        <v>7.0116666666666669E-3</v>
      </c>
      <c r="D460" s="9">
        <v>8.8236934538105896E-2</v>
      </c>
      <c r="E460" s="9">
        <v>1.2557430412197956</v>
      </c>
      <c r="F460" s="9">
        <v>1.8384709999724815</v>
      </c>
      <c r="G460" s="9">
        <v>3.30972335806202</v>
      </c>
      <c r="H460" s="9">
        <v>16.545976155019378</v>
      </c>
      <c r="I460" s="9">
        <v>5012.3032269428977</v>
      </c>
      <c r="J460" s="9">
        <v>1383.4693274176714</v>
      </c>
      <c r="K460" s="9">
        <v>566.4902259899643</v>
      </c>
      <c r="L460" s="9">
        <v>1155.7953524042721</v>
      </c>
      <c r="M460" s="9">
        <v>0.83496677915845563</v>
      </c>
      <c r="N460" s="9">
        <v>1060.308775553927</v>
      </c>
      <c r="O460" s="9">
        <v>9.9217625361339934</v>
      </c>
      <c r="P460" s="9">
        <v>0.61597404586600824</v>
      </c>
      <c r="Q460" s="9">
        <v>9.9217625361339934</v>
      </c>
      <c r="R460" s="9">
        <v>42.476498878713869</v>
      </c>
      <c r="S460" s="9">
        <v>18.296700635322082</v>
      </c>
      <c r="T460" s="9">
        <v>950.31813185430849</v>
      </c>
      <c r="U460" s="9">
        <v>1504.2516175463693</v>
      </c>
      <c r="V460" s="9">
        <v>5296.2603641071828</v>
      </c>
      <c r="W460" s="9">
        <v>146995.31724940302</v>
      </c>
      <c r="X460" s="9">
        <v>147618.08961776688</v>
      </c>
      <c r="Y460" s="9">
        <v>622.77236836382554</v>
      </c>
      <c r="Z460" s="9">
        <v>278706.65874481446</v>
      </c>
      <c r="AA460" s="9">
        <v>279978.52186986589</v>
      </c>
      <c r="AB460" s="9">
        <v>1271.8631250514904</v>
      </c>
      <c r="AC460" s="9">
        <v>0.4805971701175501</v>
      </c>
      <c r="AD460" s="9">
        <v>6.8396137645104869</v>
      </c>
      <c r="AE460" s="9">
        <v>10.013538713183449</v>
      </c>
      <c r="AF460" s="9">
        <v>16.843733789737296</v>
      </c>
      <c r="AG460" s="9">
        <v>268.21027347286412</v>
      </c>
      <c r="AH460" s="9">
        <v>14306.995957581445</v>
      </c>
      <c r="AI460" s="9">
        <v>1456.325887068461</v>
      </c>
      <c r="AJ460" s="9">
        <v>16065.709601560318</v>
      </c>
      <c r="AK460" s="9">
        <v>71608848.447428972</v>
      </c>
      <c r="AL460" s="9">
        <v>62574852.593727946</v>
      </c>
    </row>
    <row r="461" spans="1:38" x14ac:dyDescent="0.25">
      <c r="A461" s="9">
        <v>459</v>
      </c>
      <c r="B461" s="9">
        <v>83</v>
      </c>
      <c r="C461" s="9">
        <v>7.0116666666666669E-3</v>
      </c>
      <c r="D461" s="9">
        <v>8.670802976208411E-2</v>
      </c>
      <c r="E461" s="9">
        <v>1.2385869632055744</v>
      </c>
      <c r="F461" s="9">
        <v>1.8153608154857428</v>
      </c>
      <c r="G461" s="9">
        <v>3.2721647585839246</v>
      </c>
      <c r="H461" s="9">
        <v>16.389605173495443</v>
      </c>
      <c r="I461" s="9">
        <v>5012.3370597472822</v>
      </c>
      <c r="J461" s="9">
        <v>1373.7689016502611</v>
      </c>
      <c r="K461" s="9">
        <v>562.51818535539803</v>
      </c>
      <c r="L461" s="9">
        <v>1146.4352420615537</v>
      </c>
      <c r="M461" s="9">
        <v>0.82813033077053666</v>
      </c>
      <c r="N461" s="9">
        <v>1061.1369058846976</v>
      </c>
      <c r="O461" s="9">
        <v>9.8462729372835689</v>
      </c>
      <c r="P461" s="9">
        <v>0.61127773171643129</v>
      </c>
      <c r="Q461" s="9">
        <v>9.8462729372835689</v>
      </c>
      <c r="R461" s="9">
        <v>42.123015666647696</v>
      </c>
      <c r="S461" s="9">
        <v>18.147454885239028</v>
      </c>
      <c r="T461" s="9">
        <v>951.12684973226487</v>
      </c>
      <c r="U461" s="9">
        <v>1505.6643941120965</v>
      </c>
      <c r="V461" s="9">
        <v>5318.694107595853</v>
      </c>
      <c r="W461" s="9">
        <v>146995.31724940302</v>
      </c>
      <c r="X461" s="9">
        <v>147618.08961776688</v>
      </c>
      <c r="Y461" s="9">
        <v>622.77236836382554</v>
      </c>
      <c r="Z461" s="9">
        <v>278706.65874481446</v>
      </c>
      <c r="AA461" s="9">
        <v>279978.52186986589</v>
      </c>
      <c r="AB461" s="9">
        <v>1271.8631250514904</v>
      </c>
      <c r="AC461" s="9">
        <v>0.47226973543748474</v>
      </c>
      <c r="AD461" s="9">
        <v>6.746170326259695</v>
      </c>
      <c r="AE461" s="9">
        <v>9.8876652416790112</v>
      </c>
      <c r="AF461" s="9">
        <v>16.652591817226689</v>
      </c>
      <c r="AG461" s="9">
        <v>265.67549986236116</v>
      </c>
      <c r="AH461" s="9">
        <v>14189.867791379407</v>
      </c>
      <c r="AI461" s="9">
        <v>1444.4466715906005</v>
      </c>
      <c r="AJ461" s="9">
        <v>15933.748659952971</v>
      </c>
      <c r="AK461" s="9">
        <v>71624782.196088925</v>
      </c>
      <c r="AL461" s="9">
        <v>62577215.548265614</v>
      </c>
    </row>
    <row r="462" spans="1:38" x14ac:dyDescent="0.25">
      <c r="A462" s="9">
        <v>460</v>
      </c>
      <c r="B462" s="9">
        <v>83</v>
      </c>
      <c r="C462" s="9">
        <v>7.0116666666666669E-3</v>
      </c>
      <c r="D462" s="9">
        <v>8.5205616724769909E-2</v>
      </c>
      <c r="E462" s="9">
        <v>1.2216619370203998</v>
      </c>
      <c r="F462" s="9">
        <v>1.7925310222976656</v>
      </c>
      <c r="G462" s="9">
        <v>3.2350085596215306</v>
      </c>
      <c r="H462" s="9">
        <v>16.23464781680422</v>
      </c>
      <c r="I462" s="9">
        <v>5012.3705086184464</v>
      </c>
      <c r="J462" s="9">
        <v>1364.1364920348567</v>
      </c>
      <c r="K462" s="9">
        <v>558.57399534574779</v>
      </c>
      <c r="L462" s="9">
        <v>1137.15093377622</v>
      </c>
      <c r="M462" s="9">
        <v>0.82134973645496334</v>
      </c>
      <c r="N462" s="9">
        <v>1061.9582556211526</v>
      </c>
      <c r="O462" s="9">
        <v>9.7708876290196045</v>
      </c>
      <c r="P462" s="9">
        <v>0.6066171279803958</v>
      </c>
      <c r="Q462" s="9">
        <v>9.7708876290196045</v>
      </c>
      <c r="R462" s="9">
        <v>41.772900450336657</v>
      </c>
      <c r="S462" s="9">
        <v>17.999420524242456</v>
      </c>
      <c r="T462" s="9">
        <v>951.92896491287388</v>
      </c>
      <c r="U462" s="9">
        <v>1507.0656680570744</v>
      </c>
      <c r="V462" s="9">
        <v>5340.960647234745</v>
      </c>
      <c r="W462" s="9">
        <v>146995.31724940302</v>
      </c>
      <c r="X462" s="9">
        <v>147618.08961776688</v>
      </c>
      <c r="Y462" s="9">
        <v>622.77236836382554</v>
      </c>
      <c r="Z462" s="9">
        <v>278706.65874481446</v>
      </c>
      <c r="AA462" s="9">
        <v>279978.52186986589</v>
      </c>
      <c r="AB462" s="9">
        <v>1271.8631250514904</v>
      </c>
      <c r="AC462" s="9">
        <v>0.46408659242758005</v>
      </c>
      <c r="AD462" s="9">
        <v>6.6539853503044437</v>
      </c>
      <c r="AE462" s="9">
        <v>9.7633189681146177</v>
      </c>
      <c r="AF462" s="9">
        <v>16.463497728007237</v>
      </c>
      <c r="AG462" s="9">
        <v>263.16364111039644</v>
      </c>
      <c r="AH462" s="9">
        <v>14073.687709814365</v>
      </c>
      <c r="AI462" s="9">
        <v>1432.6638766270783</v>
      </c>
      <c r="AJ462" s="9">
        <v>15802.860116190694</v>
      </c>
      <c r="AK462" s="9">
        <v>71640585.056205109</v>
      </c>
      <c r="AL462" s="9">
        <v>62579549.367951035</v>
      </c>
    </row>
    <row r="463" spans="1:38" x14ac:dyDescent="0.25">
      <c r="A463" s="9">
        <v>461</v>
      </c>
      <c r="B463" s="9">
        <v>83</v>
      </c>
      <c r="C463" s="9">
        <v>7.0116666666666669E-3</v>
      </c>
      <c r="D463" s="9">
        <v>8.3729236396777845E-2</v>
      </c>
      <c r="E463" s="9">
        <v>1.2049649118145296</v>
      </c>
      <c r="F463" s="9">
        <v>1.7699783873736215</v>
      </c>
      <c r="G463" s="9">
        <v>3.1982507973335181</v>
      </c>
      <c r="H463" s="9">
        <v>16.08109194809953</v>
      </c>
      <c r="I463" s="9">
        <v>5012.4035776698256</v>
      </c>
      <c r="J463" s="9">
        <v>1354.5716216648723</v>
      </c>
      <c r="K463" s="9">
        <v>554.65746068171518</v>
      </c>
      <c r="L463" s="9">
        <v>1127.9418136717572</v>
      </c>
      <c r="M463" s="9">
        <v>0.81462454160057385</v>
      </c>
      <c r="N463" s="9">
        <v>1062.7728801627532</v>
      </c>
      <c r="O463" s="9">
        <v>9.6956234986533314</v>
      </c>
      <c r="P463" s="9">
        <v>0.60199196434666791</v>
      </c>
      <c r="Q463" s="9">
        <v>9.6956234986533314</v>
      </c>
      <c r="R463" s="9">
        <v>41.426112173211976</v>
      </c>
      <c r="S463" s="9">
        <v>17.852587761698715</v>
      </c>
      <c r="T463" s="9">
        <v>952.72453103041687</v>
      </c>
      <c r="U463" s="9">
        <v>1508.4555292178429</v>
      </c>
      <c r="V463" s="9">
        <v>5363.0612360540572</v>
      </c>
      <c r="W463" s="9">
        <v>146995.31724940302</v>
      </c>
      <c r="X463" s="9">
        <v>147618.08961776688</v>
      </c>
      <c r="Y463" s="9">
        <v>622.77236836382554</v>
      </c>
      <c r="Z463" s="9">
        <v>278706.65874481446</v>
      </c>
      <c r="AA463" s="9">
        <v>279978.52186986589</v>
      </c>
      <c r="AB463" s="9">
        <v>1271.8631250514904</v>
      </c>
      <c r="AC463" s="9">
        <v>0.45604524090778331</v>
      </c>
      <c r="AD463" s="9">
        <v>6.5630422196831377</v>
      </c>
      <c r="AE463" s="9">
        <v>9.6404822832283248</v>
      </c>
      <c r="AF463" s="9">
        <v>16.276431349429828</v>
      </c>
      <c r="AG463" s="9">
        <v>260.6745004786934</v>
      </c>
      <c r="AH463" s="9">
        <v>13958.449113631677</v>
      </c>
      <c r="AI463" s="9">
        <v>1420.9767228924093</v>
      </c>
      <c r="AJ463" s="9">
        <v>15673.03633809603</v>
      </c>
      <c r="AK463" s="9">
        <v>71656258.0925432</v>
      </c>
      <c r="AL463" s="9">
        <v>62581854.410479143</v>
      </c>
    </row>
    <row r="464" spans="1:38" x14ac:dyDescent="0.25">
      <c r="A464" s="9">
        <v>462</v>
      </c>
      <c r="B464" s="9">
        <v>83</v>
      </c>
      <c r="C464" s="9">
        <v>7.0116666666666669E-3</v>
      </c>
      <c r="D464" s="9">
        <v>8.227843770244643E-2</v>
      </c>
      <c r="E464" s="9">
        <v>1.1884928758954385</v>
      </c>
      <c r="F464" s="9">
        <v>1.7476997121051183</v>
      </c>
      <c r="G464" s="9">
        <v>3.1618875419330457</v>
      </c>
      <c r="H464" s="9">
        <v>15.928925529534599</v>
      </c>
      <c r="I464" s="9">
        <v>5012.4362709743391</v>
      </c>
      <c r="J464" s="9">
        <v>1345.0738169776321</v>
      </c>
      <c r="K464" s="9">
        <v>550.76838745323516</v>
      </c>
      <c r="L464" s="9">
        <v>1118.8072728430789</v>
      </c>
      <c r="M464" s="9">
        <v>0.80795429528014895</v>
      </c>
      <c r="N464" s="9">
        <v>1063.5808344580332</v>
      </c>
      <c r="O464" s="9">
        <v>9.6204967524596636</v>
      </c>
      <c r="P464" s="9">
        <v>0.59740197254033556</v>
      </c>
      <c r="Q464" s="9">
        <v>9.6204967524596636</v>
      </c>
      <c r="R464" s="9">
        <v>41.082610442940307</v>
      </c>
      <c r="S464" s="9">
        <v>17.706946907539997</v>
      </c>
      <c r="T464" s="9">
        <v>953.51360130713135</v>
      </c>
      <c r="U464" s="9">
        <v>1509.8340668629396</v>
      </c>
      <c r="V464" s="9">
        <v>5384.9971176682593</v>
      </c>
      <c r="W464" s="9">
        <v>146995.31724940302</v>
      </c>
      <c r="X464" s="9">
        <v>147618.08961776688</v>
      </c>
      <c r="Y464" s="9">
        <v>622.77236836382554</v>
      </c>
      <c r="Z464" s="9">
        <v>278706.65874481446</v>
      </c>
      <c r="AA464" s="9">
        <v>279978.52186986589</v>
      </c>
      <c r="AB464" s="9">
        <v>1271.8631250514904</v>
      </c>
      <c r="AC464" s="9">
        <v>0.44814322401932488</v>
      </c>
      <c r="AD464" s="9">
        <v>6.4733245307104879</v>
      </c>
      <c r="AE464" s="9">
        <v>9.519137765265878</v>
      </c>
      <c r="AF464" s="9">
        <v>16.091372682154258</v>
      </c>
      <c r="AG464" s="9">
        <v>258.20788283375589</v>
      </c>
      <c r="AH464" s="9">
        <v>13844.145398989327</v>
      </c>
      <c r="AI464" s="9">
        <v>1409.3844391056462</v>
      </c>
      <c r="AJ464" s="9">
        <v>15544.269699130879</v>
      </c>
      <c r="AK464" s="9">
        <v>71671802.362242326</v>
      </c>
      <c r="AL464" s="9">
        <v>62584131.029311307</v>
      </c>
    </row>
    <row r="465" spans="1:38" x14ac:dyDescent="0.25">
      <c r="A465" s="9">
        <v>463</v>
      </c>
      <c r="B465" s="9">
        <v>83</v>
      </c>
      <c r="C465" s="9">
        <v>7.0116666666666669E-3</v>
      </c>
      <c r="D465" s="9">
        <v>8.0852777382021818E-2</v>
      </c>
      <c r="E465" s="9">
        <v>1.1722428562465135</v>
      </c>
      <c r="F465" s="9">
        <v>1.7256918319924235</v>
      </c>
      <c r="G465" s="9">
        <v>3.1259148974656465</v>
      </c>
      <c r="H465" s="9">
        <v>15.77813662147212</v>
      </c>
      <c r="I465" s="9">
        <v>5012.4685925647318</v>
      </c>
      <c r="J465" s="9">
        <v>1335.6426077309238</v>
      </c>
      <c r="K465" s="9">
        <v>546.90658310987556</v>
      </c>
      <c r="L465" s="9">
        <v>1109.7467073162638</v>
      </c>
      <c r="M465" s="9">
        <v>0.80133855022061573</v>
      </c>
      <c r="N465" s="9">
        <v>1064.3821730082539</v>
      </c>
      <c r="O465" s="9">
        <v>9.5455229376925281</v>
      </c>
      <c r="P465" s="9">
        <v>0.5928468863074714</v>
      </c>
      <c r="Q465" s="9">
        <v>9.5455229376925281</v>
      </c>
      <c r="R465" s="9">
        <v>40.742355518358032</v>
      </c>
      <c r="S465" s="9">
        <v>17.562488369093145</v>
      </c>
      <c r="T465" s="9">
        <v>954.29622855530454</v>
      </c>
      <c r="U465" s="9">
        <v>1511.2013696926974</v>
      </c>
      <c r="V465" s="9">
        <v>5406.7695263460919</v>
      </c>
      <c r="W465" s="9">
        <v>146995.31724940302</v>
      </c>
      <c r="X465" s="9">
        <v>147618.08961776688</v>
      </c>
      <c r="Y465" s="9">
        <v>622.77236836382554</v>
      </c>
      <c r="Z465" s="9">
        <v>278706.65874481446</v>
      </c>
      <c r="AA465" s="9">
        <v>279978.52186986589</v>
      </c>
      <c r="AB465" s="9">
        <v>1271.8631250514904</v>
      </c>
      <c r="AC465" s="9">
        <v>0.44037812747407878</v>
      </c>
      <c r="AD465" s="9">
        <v>6.3848160903560096</v>
      </c>
      <c r="AE465" s="9">
        <v>9.3992681782520666</v>
      </c>
      <c r="AF465" s="9">
        <v>15.90830189901892</v>
      </c>
      <c r="AG465" s="9">
        <v>255.76359463406308</v>
      </c>
      <c r="AH465" s="9">
        <v>13730.769959901567</v>
      </c>
      <c r="AI465" s="9">
        <v>1397.8862617379689</v>
      </c>
      <c r="AJ465" s="9">
        <v>15416.552580568699</v>
      </c>
      <c r="AK465" s="9">
        <v>71687218.914822891</v>
      </c>
      <c r="AL465" s="9">
        <v>62586379.573717423</v>
      </c>
    </row>
    <row r="466" spans="1:38" x14ac:dyDescent="0.25">
      <c r="A466" s="9">
        <v>464</v>
      </c>
      <c r="B466" s="9">
        <v>83</v>
      </c>
      <c r="C466" s="9">
        <v>7.0116666666666669E-3</v>
      </c>
      <c r="D466" s="9">
        <v>7.9451819856229552E-2</v>
      </c>
      <c r="E466" s="9">
        <v>1.156211918051252</v>
      </c>
      <c r="F466" s="9">
        <v>1.7039516163292254</v>
      </c>
      <c r="G466" s="9">
        <v>3.0903290015875884</v>
      </c>
      <c r="H466" s="9">
        <v>15.628713381701136</v>
      </c>
      <c r="I466" s="9">
        <v>5012.5005464339247</v>
      </c>
      <c r="J466" s="9">
        <v>1326.2775269797171</v>
      </c>
      <c r="K466" s="9">
        <v>543.07185645130346</v>
      </c>
      <c r="L466" s="9">
        <v>1100.759518008623</v>
      </c>
      <c r="M466" s="9">
        <v>0.79477686277349324</v>
      </c>
      <c r="N466" s="9">
        <v>1065.1769498710273</v>
      </c>
      <c r="O466" s="9">
        <v>9.4707169646000864</v>
      </c>
      <c r="P466" s="9">
        <v>0.58832644139991386</v>
      </c>
      <c r="Q466" s="9">
        <v>9.4707169646000864</v>
      </c>
      <c r="R466" s="9">
        <v>40.40530829668716</v>
      </c>
      <c r="S466" s="9">
        <v>17.419202648109085</v>
      </c>
      <c r="T466" s="9">
        <v>955.07246517940257</v>
      </c>
      <c r="U466" s="9">
        <v>1512.5575258391327</v>
      </c>
      <c r="V466" s="9">
        <v>5428.3796870800725</v>
      </c>
      <c r="W466" s="9">
        <v>146995.31724940302</v>
      </c>
      <c r="X466" s="9">
        <v>147618.08961776688</v>
      </c>
      <c r="Y466" s="9">
        <v>622.77236836382554</v>
      </c>
      <c r="Z466" s="9">
        <v>278706.65874481446</v>
      </c>
      <c r="AA466" s="9">
        <v>279978.52186986589</v>
      </c>
      <c r="AB466" s="9">
        <v>1271.8631250514904</v>
      </c>
      <c r="AC466" s="9">
        <v>0.43274757881693027</v>
      </c>
      <c r="AD466" s="9">
        <v>6.2975009136524855</v>
      </c>
      <c r="AE466" s="9">
        <v>9.2808564702731804</v>
      </c>
      <c r="AF466" s="9">
        <v>15.727199343912835</v>
      </c>
      <c r="AG466" s="9">
        <v>253.34144391737541</v>
      </c>
      <c r="AH466" s="9">
        <v>13618.316190759408</v>
      </c>
      <c r="AI466" s="9">
        <v>1386.4814347762426</v>
      </c>
      <c r="AJ466" s="9">
        <v>15289.87737375968</v>
      </c>
      <c r="AK466" s="9">
        <v>71702508.792196646</v>
      </c>
      <c r="AL466" s="9">
        <v>62588600.388817959</v>
      </c>
    </row>
    <row r="467" spans="1:38" x14ac:dyDescent="0.25">
      <c r="A467" s="9">
        <v>465</v>
      </c>
      <c r="B467" s="9">
        <v>83</v>
      </c>
      <c r="C467" s="9">
        <v>7.0116666666666669E-3</v>
      </c>
      <c r="D467" s="9">
        <v>7.8075137093192803E-2</v>
      </c>
      <c r="E467" s="9">
        <v>1.1403971642229076</v>
      </c>
      <c r="F467" s="9">
        <v>1.6824759678893377</v>
      </c>
      <c r="G467" s="9">
        <v>3.0551260253447126</v>
      </c>
      <c r="H467" s="9">
        <v>15.480644064660657</v>
      </c>
      <c r="I467" s="9">
        <v>5012.5321365353575</v>
      </c>
      <c r="J467" s="9">
        <v>1316.9781110530444</v>
      </c>
      <c r="K467" s="9">
        <v>539.26401761781904</v>
      </c>
      <c r="L467" s="9">
        <v>1091.8451106890871</v>
      </c>
      <c r="M467" s="9">
        <v>0.78826879288558049</v>
      </c>
      <c r="N467" s="9">
        <v>1065.965218663913</v>
      </c>
      <c r="O467" s="9">
        <v>9.3960931264398369</v>
      </c>
      <c r="P467" s="9">
        <v>0.58384037556016266</v>
      </c>
      <c r="Q467" s="9">
        <v>9.3960931264398369</v>
      </c>
      <c r="R467" s="9">
        <v>40.071430301026439</v>
      </c>
      <c r="S467" s="9">
        <v>17.277080337984213</v>
      </c>
      <c r="T467" s="9">
        <v>955.84236317823559</v>
      </c>
      <c r="U467" s="9">
        <v>1513.9026228659409</v>
      </c>
      <c r="V467" s="9">
        <v>5449.8288156555282</v>
      </c>
      <c r="W467" s="9">
        <v>146995.31724940302</v>
      </c>
      <c r="X467" s="9">
        <v>147618.08961776688</v>
      </c>
      <c r="Y467" s="9">
        <v>622.77236836382554</v>
      </c>
      <c r="Z467" s="9">
        <v>278706.65874481446</v>
      </c>
      <c r="AA467" s="9">
        <v>279978.52186986589</v>
      </c>
      <c r="AB467" s="9">
        <v>1271.8631250514904</v>
      </c>
      <c r="AC467" s="9">
        <v>0.42524924670092346</v>
      </c>
      <c r="AD467" s="9">
        <v>6.2113632211341034</v>
      </c>
      <c r="AE467" s="9">
        <v>9.1638857717705928</v>
      </c>
      <c r="AF467" s="9">
        <v>15.548045530650132</v>
      </c>
      <c r="AG467" s="9">
        <v>250.94124028814926</v>
      </c>
      <c r="AH467" s="9">
        <v>13506.77748838015</v>
      </c>
      <c r="AI467" s="9">
        <v>1375.1692095018534</v>
      </c>
      <c r="AJ467" s="9">
        <v>15164.236481940408</v>
      </c>
      <c r="AK467" s="9">
        <v>71717673.028678581</v>
      </c>
      <c r="AL467" s="9">
        <v>62590793.815625899</v>
      </c>
    </row>
    <row r="468" spans="1:38" x14ac:dyDescent="0.25">
      <c r="A468" s="9">
        <v>466</v>
      </c>
      <c r="B468" s="9">
        <v>83</v>
      </c>
      <c r="C468" s="9">
        <v>7.0116666666666669E-3</v>
      </c>
      <c r="D468" s="9">
        <v>7.6722308477656667E-2</v>
      </c>
      <c r="E468" s="9">
        <v>1.1247957349395303</v>
      </c>
      <c r="F468" s="9">
        <v>1.6612618226154521</v>
      </c>
      <c r="G468" s="9">
        <v>3.0203021729517645</v>
      </c>
      <c r="H468" s="9">
        <v>15.333917020669938</v>
      </c>
      <c r="I468" s="9">
        <v>5012.5633667833281</v>
      </c>
      <c r="J468" s="9">
        <v>1307.743899531044</v>
      </c>
      <c r="K468" s="9">
        <v>535.4828780809554</v>
      </c>
      <c r="L468" s="9">
        <v>1083.0028959389167</v>
      </c>
      <c r="M468" s="9">
        <v>0.78181390406988127</v>
      </c>
      <c r="N468" s="9">
        <v>1066.7470325679828</v>
      </c>
      <c r="O468" s="9">
        <v>9.321665118493609</v>
      </c>
      <c r="P468" s="9">
        <v>0.57938842850639138</v>
      </c>
      <c r="Q468" s="9">
        <v>9.321665118493609</v>
      </c>
      <c r="R468" s="9">
        <v>39.7406836681116</v>
      </c>
      <c r="S468" s="9">
        <v>17.136112121153754</v>
      </c>
      <c r="T468" s="9">
        <v>956.60597414714925</v>
      </c>
      <c r="U468" s="9">
        <v>1515.236747768573</v>
      </c>
      <c r="V468" s="9">
        <v>5471.1181187191378</v>
      </c>
      <c r="W468" s="9">
        <v>146995.31724940302</v>
      </c>
      <c r="X468" s="9">
        <v>147618.08961776688</v>
      </c>
      <c r="Y468" s="9">
        <v>622.77236836382554</v>
      </c>
      <c r="Z468" s="9">
        <v>278706.65874481446</v>
      </c>
      <c r="AA468" s="9">
        <v>279978.52186986589</v>
      </c>
      <c r="AB468" s="9">
        <v>1271.8631250514904</v>
      </c>
      <c r="AC468" s="9">
        <v>0.41788084017496996</v>
      </c>
      <c r="AD468" s="9">
        <v>6.1263874363039745</v>
      </c>
      <c r="AE468" s="9">
        <v>9.0483393938454952</v>
      </c>
      <c r="AF468" s="9">
        <v>15.370821141847021</v>
      </c>
      <c r="AG468" s="9">
        <v>248.56279490505972</v>
      </c>
      <c r="AH468" s="9">
        <v>13396.147253857309</v>
      </c>
      <c r="AI468" s="9">
        <v>1363.948844283233</v>
      </c>
      <c r="AJ468" s="9">
        <v>15039.622321857772</v>
      </c>
      <c r="AK468" s="9">
        <v>71732712.65100044</v>
      </c>
      <c r="AL468" s="9">
        <v>62592960.191088557</v>
      </c>
    </row>
    <row r="469" spans="1:38" x14ac:dyDescent="0.25">
      <c r="A469" s="9">
        <v>467</v>
      </c>
      <c r="B469" s="9">
        <v>83</v>
      </c>
      <c r="C469" s="9">
        <v>7.0116666666666669E-3</v>
      </c>
      <c r="D469" s="9">
        <v>7.5392920682478354E-2</v>
      </c>
      <c r="E469" s="9">
        <v>1.1094048071843479</v>
      </c>
      <c r="F469" s="9">
        <v>1.6403061493099407</v>
      </c>
      <c r="G469" s="9">
        <v>2.9858536815722294</v>
      </c>
      <c r="H469" s="9">
        <v>15.188520695165348</v>
      </c>
      <c r="I469" s="9">
        <v>5012.5942410533335</v>
      </c>
      <c r="J469" s="9">
        <v>1298.5744352221654</v>
      </c>
      <c r="K469" s="9">
        <v>531.72825063414439</v>
      </c>
      <c r="L469" s="9">
        <v>1074.2322891127299</v>
      </c>
      <c r="M469" s="9">
        <v>0.77541176337676698</v>
      </c>
      <c r="N469" s="9">
        <v>1067.5224443313596</v>
      </c>
      <c r="O469" s="9">
        <v>9.2474460590824261</v>
      </c>
      <c r="P469" s="9">
        <v>0.57497034191757379</v>
      </c>
      <c r="Q469" s="9">
        <v>9.2474460590824261</v>
      </c>
      <c r="R469" s="9">
        <v>39.413031136338738</v>
      </c>
      <c r="S469" s="9">
        <v>16.9962887666439</v>
      </c>
      <c r="T469" s="9">
        <v>957.36334928023882</v>
      </c>
      <c r="U469" s="9">
        <v>1516.5599869743896</v>
      </c>
      <c r="V469" s="9">
        <v>5492.2487938469903</v>
      </c>
      <c r="W469" s="9">
        <v>146995.31724940302</v>
      </c>
      <c r="X469" s="9">
        <v>147618.08961776688</v>
      </c>
      <c r="Y469" s="9">
        <v>622.77236836382554</v>
      </c>
      <c r="Z469" s="9">
        <v>278706.65874481446</v>
      </c>
      <c r="AA469" s="9">
        <v>279978.52186986589</v>
      </c>
      <c r="AB469" s="9">
        <v>1271.8631250514904</v>
      </c>
      <c r="AC469" s="9">
        <v>0.41064010798389872</v>
      </c>
      <c r="AD469" s="9">
        <v>6.0425581831307476</v>
      </c>
      <c r="AE469" s="9">
        <v>8.9342008265748092</v>
      </c>
      <c r="AF469" s="9">
        <v>15.195507027801337</v>
      </c>
      <c r="AG469" s="9">
        <v>246.2059204686303</v>
      </c>
      <c r="AH469" s="9">
        <v>13286.418895028446</v>
      </c>
      <c r="AI469" s="9">
        <v>1352.8196043810212</v>
      </c>
      <c r="AJ469" s="9">
        <v>14916.027326023588</v>
      </c>
      <c r="AK469" s="9">
        <v>71747628.678326458</v>
      </c>
      <c r="AL469" s="9">
        <v>62595099.848129362</v>
      </c>
    </row>
    <row r="470" spans="1:38" x14ac:dyDescent="0.25">
      <c r="A470" s="9">
        <v>468</v>
      </c>
      <c r="B470" s="9">
        <v>84</v>
      </c>
      <c r="C470" s="9">
        <v>7.0116666666666669E-3</v>
      </c>
      <c r="D470" s="9">
        <v>7.4086567542344134E-2</v>
      </c>
      <c r="E470" s="9">
        <v>1.0942215942914326</v>
      </c>
      <c r="F470" s="9">
        <v>1.6196059493277151</v>
      </c>
      <c r="G470" s="9">
        <v>2.9517768210986852</v>
      </c>
      <c r="H470" s="9">
        <v>15.044443627943767</v>
      </c>
      <c r="I470" s="9">
        <v>5012.6247631824062</v>
      </c>
      <c r="J470" s="9">
        <v>1289.4692641405327</v>
      </c>
      <c r="K470" s="9">
        <v>527.99994938344798</v>
      </c>
      <c r="L470" s="9">
        <v>1065.5327102998458</v>
      </c>
      <c r="M470" s="9">
        <v>0.76906194136537354</v>
      </c>
      <c r="N470" s="9">
        <v>1068.291506272725</v>
      </c>
      <c r="O470" s="9">
        <v>9.1791662407767589</v>
      </c>
      <c r="P470" s="9">
        <v>0.56486812422323951</v>
      </c>
      <c r="Q470" s="9">
        <v>9.1791662407767589</v>
      </c>
      <c r="R470" s="9">
        <v>39.082718298849471</v>
      </c>
      <c r="S470" s="9">
        <v>16.857601127787838</v>
      </c>
      <c r="T470" s="9">
        <v>958.11453937259887</v>
      </c>
      <c r="U470" s="9">
        <v>1517.8724263429365</v>
      </c>
      <c r="V470" s="9">
        <v>5513.2220296121759</v>
      </c>
      <c r="W470" s="9">
        <v>147458.15813118787</v>
      </c>
      <c r="X470" s="9">
        <v>148083.03615335995</v>
      </c>
      <c r="Y470" s="9">
        <v>624.87802217205444</v>
      </c>
      <c r="Z470" s="9">
        <v>281662.11868429306</v>
      </c>
      <c r="AA470" s="9">
        <v>282947.42741391732</v>
      </c>
      <c r="AB470" s="9">
        <v>1285.3087296243468</v>
      </c>
      <c r="AC470" s="9">
        <v>0.40352483788063437</v>
      </c>
      <c r="AD470" s="9">
        <v>5.9598602835740024</v>
      </c>
      <c r="AE470" s="9">
        <v>8.8214537373382882</v>
      </c>
      <c r="AF470" s="9">
        <v>15.022084205374725</v>
      </c>
      <c r="AG470" s="9">
        <v>243.87043120896848</v>
      </c>
      <c r="AH470" s="9">
        <v>13177.585827648012</v>
      </c>
      <c r="AI470" s="9">
        <v>1341.7807617662729</v>
      </c>
      <c r="AJ470" s="9">
        <v>14793.443943687422</v>
      </c>
      <c r="AK470" s="9">
        <v>71762422.122270152</v>
      </c>
      <c r="AL470" s="9">
        <v>62597213.115689375</v>
      </c>
    </row>
    <row r="471" spans="1:38" x14ac:dyDescent="0.25">
      <c r="A471" s="9">
        <v>469</v>
      </c>
      <c r="B471" s="9">
        <v>84</v>
      </c>
      <c r="C471" s="9">
        <v>7.6466666666666662E-3</v>
      </c>
      <c r="D471" s="9">
        <v>7.2755804959285034E-2</v>
      </c>
      <c r="E471" s="9">
        <v>1.078548514784228</v>
      </c>
      <c r="F471" s="9">
        <v>1.5981298064933176</v>
      </c>
      <c r="G471" s="9">
        <v>2.9161935156522896</v>
      </c>
      <c r="H471" s="9">
        <v>14.892121230708691</v>
      </c>
      <c r="I471" s="9">
        <v>5012.6549369694485</v>
      </c>
      <c r="J471" s="9">
        <v>1279.6091225007381</v>
      </c>
      <c r="K471" s="9">
        <v>523.9625097704959</v>
      </c>
      <c r="L471" s="9">
        <v>1056.2269710149003</v>
      </c>
      <c r="M471" s="9">
        <v>0.76276401207523137</v>
      </c>
      <c r="N471" s="9">
        <v>1069.0542702848002</v>
      </c>
      <c r="O471" s="9">
        <v>9.1050791007329774</v>
      </c>
      <c r="P471" s="9">
        <v>0.56056059326702257</v>
      </c>
      <c r="Q471" s="9">
        <v>9.1050791007329774</v>
      </c>
      <c r="R471" s="9">
        <v>38.730782739298917</v>
      </c>
      <c r="S471" s="9">
        <v>16.709335563353324</v>
      </c>
      <c r="T471" s="9">
        <v>958.85959482258079</v>
      </c>
      <c r="U471" s="9">
        <v>1519.1741897719978</v>
      </c>
      <c r="V471" s="9">
        <v>5535.9242606723565</v>
      </c>
      <c r="W471" s="9">
        <v>147458.15813118787</v>
      </c>
      <c r="X471" s="9">
        <v>148083.03615335995</v>
      </c>
      <c r="Y471" s="9">
        <v>624.87802217205444</v>
      </c>
      <c r="Z471" s="9">
        <v>281662.11868429306</v>
      </c>
      <c r="AA471" s="9">
        <v>282947.42741391732</v>
      </c>
      <c r="AB471" s="9">
        <v>1285.3087296243468</v>
      </c>
      <c r="AC471" s="9">
        <v>0.39627661767823913</v>
      </c>
      <c r="AD471" s="9">
        <v>5.8744942438580949</v>
      </c>
      <c r="AE471" s="9">
        <v>8.704480346033602</v>
      </c>
      <c r="AF471" s="9">
        <v>14.840994833407109</v>
      </c>
      <c r="AG471" s="9">
        <v>241.4012851497879</v>
      </c>
      <c r="AH471" s="9">
        <v>13061.263169675109</v>
      </c>
      <c r="AI471" s="9">
        <v>1329.9795641651078</v>
      </c>
      <c r="AJ471" s="9">
        <v>14662.460265030981</v>
      </c>
      <c r="AK471" s="9">
        <v>71777084.582535177</v>
      </c>
      <c r="AL471" s="9">
        <v>62599298.980912477</v>
      </c>
    </row>
    <row r="472" spans="1:38" x14ac:dyDescent="0.25">
      <c r="A472" s="9">
        <v>470</v>
      </c>
      <c r="B472" s="9">
        <v>84</v>
      </c>
      <c r="C472" s="9">
        <v>7.6466666666666662E-3</v>
      </c>
      <c r="D472" s="9">
        <v>7.1448945886824641E-2</v>
      </c>
      <c r="E472" s="9">
        <v>1.0630971476622275</v>
      </c>
      <c r="F472" s="9">
        <v>1.5769298577671567</v>
      </c>
      <c r="G472" s="9">
        <v>2.8810184787761082</v>
      </c>
      <c r="H472" s="9">
        <v>14.741282834586393</v>
      </c>
      <c r="I472" s="9">
        <v>5012.6847470152106</v>
      </c>
      <c r="J472" s="9">
        <v>1269.8243780773491</v>
      </c>
      <c r="K472" s="9">
        <v>519.95594311245088</v>
      </c>
      <c r="L472" s="9">
        <v>1047.002502612399</v>
      </c>
      <c r="M472" s="9">
        <v>0.75603319785045842</v>
      </c>
      <c r="N472" s="9">
        <v>1069.8103034826506</v>
      </c>
      <c r="O472" s="9">
        <v>9.0310807644295501</v>
      </c>
      <c r="P472" s="9">
        <v>0.55597097957044928</v>
      </c>
      <c r="Q472" s="9">
        <v>9.0310807644295501</v>
      </c>
      <c r="R472" s="9">
        <v>38.38247449307498</v>
      </c>
      <c r="S472" s="9">
        <v>16.562368939645545</v>
      </c>
      <c r="T472" s="9">
        <v>959.59809229797747</v>
      </c>
      <c r="U472" s="9">
        <v>1520.4645335546306</v>
      </c>
      <c r="V472" s="9">
        <v>5558.4429411880083</v>
      </c>
      <c r="W472" s="9">
        <v>147458.15813118787</v>
      </c>
      <c r="X472" s="9">
        <v>148083.03615335995</v>
      </c>
      <c r="Y472" s="9">
        <v>624.87802217205444</v>
      </c>
      <c r="Z472" s="9">
        <v>281662.11868429306</v>
      </c>
      <c r="AA472" s="9">
        <v>282947.42741391732</v>
      </c>
      <c r="AB472" s="9">
        <v>1285.3087296243468</v>
      </c>
      <c r="AC472" s="9">
        <v>0.38915859193023816</v>
      </c>
      <c r="AD472" s="9">
        <v>5.7903357976002656</v>
      </c>
      <c r="AE472" s="9">
        <v>8.5890112919717794</v>
      </c>
      <c r="AF472" s="9">
        <v>14.661983208238077</v>
      </c>
      <c r="AG472" s="9">
        <v>238.95619474864543</v>
      </c>
      <c r="AH472" s="9">
        <v>12945.95517269323</v>
      </c>
      <c r="AI472" s="9">
        <v>1318.2817557510871</v>
      </c>
      <c r="AJ472" s="9">
        <v>14532.623612082702</v>
      </c>
      <c r="AK472" s="9">
        <v>71791617.206147254</v>
      </c>
      <c r="AL472" s="9">
        <v>62601357.797316641</v>
      </c>
    </row>
    <row r="473" spans="1:38" x14ac:dyDescent="0.25">
      <c r="A473" s="9">
        <v>471</v>
      </c>
      <c r="B473" s="9">
        <v>84</v>
      </c>
      <c r="C473" s="9">
        <v>7.6466666666666662E-3</v>
      </c>
      <c r="D473" s="9">
        <v>7.0165560963763432E-2</v>
      </c>
      <c r="E473" s="9">
        <v>1.0478644089551832</v>
      </c>
      <c r="F473" s="9">
        <v>1.556002699754172</v>
      </c>
      <c r="G473" s="9">
        <v>2.8462473417743022</v>
      </c>
      <c r="H473" s="9">
        <v>14.59191461136621</v>
      </c>
      <c r="I473" s="9">
        <v>5012.7141974931137</v>
      </c>
      <c r="J473" s="9">
        <v>1260.1144543329845</v>
      </c>
      <c r="K473" s="9">
        <v>515.98001333411764</v>
      </c>
      <c r="L473" s="9">
        <v>1037.8585953200036</v>
      </c>
      <c r="M473" s="9">
        <v>0.74936167532339948</v>
      </c>
      <c r="N473" s="9">
        <v>1070.559665157974</v>
      </c>
      <c r="O473" s="9">
        <v>8.9571903539531306</v>
      </c>
      <c r="P473" s="9">
        <v>0.55141886204686952</v>
      </c>
      <c r="Q473" s="9">
        <v>8.9571903539531306</v>
      </c>
      <c r="R473" s="9">
        <v>38.037746366503079</v>
      </c>
      <c r="S473" s="9">
        <v>16.416689850539189</v>
      </c>
      <c r="T473" s="9">
        <v>960.33008922636304</v>
      </c>
      <c r="U473" s="9">
        <v>1521.7435537945657</v>
      </c>
      <c r="V473" s="9">
        <v>5580.7795620311945</v>
      </c>
      <c r="W473" s="9">
        <v>147458.15813118787</v>
      </c>
      <c r="X473" s="9">
        <v>148083.03615335995</v>
      </c>
      <c r="Y473" s="9">
        <v>624.87802217205444</v>
      </c>
      <c r="Z473" s="9">
        <v>281662.11868429306</v>
      </c>
      <c r="AA473" s="9">
        <v>282947.42741391732</v>
      </c>
      <c r="AB473" s="9">
        <v>1285.3087296243468</v>
      </c>
      <c r="AC473" s="9">
        <v>0.38216842204929813</v>
      </c>
      <c r="AD473" s="9">
        <v>5.7073681474425637</v>
      </c>
      <c r="AE473" s="9">
        <v>8.4750280379943899</v>
      </c>
      <c r="AF473" s="9">
        <v>14.485027096846386</v>
      </c>
      <c r="AG473" s="9">
        <v>236.53493585024628</v>
      </c>
      <c r="AH473" s="9">
        <v>12831.654171942433</v>
      </c>
      <c r="AI473" s="9">
        <v>1306.6864286536668</v>
      </c>
      <c r="AJ473" s="9">
        <v>14403.925128150679</v>
      </c>
      <c r="AK473" s="9">
        <v>71806021.131275401</v>
      </c>
      <c r="AL473" s="9">
        <v>62603389.914034106</v>
      </c>
    </row>
    <row r="474" spans="1:38" x14ac:dyDescent="0.25">
      <c r="A474" s="9">
        <v>472</v>
      </c>
      <c r="B474" s="9">
        <v>84</v>
      </c>
      <c r="C474" s="9">
        <v>7.6466666666666662E-3</v>
      </c>
      <c r="D474" s="9">
        <v>6.8905228541201666E-2</v>
      </c>
      <c r="E474" s="9">
        <v>1.032847256590933</v>
      </c>
      <c r="F474" s="9">
        <v>1.5353449684020146</v>
      </c>
      <c r="G474" s="9">
        <v>2.8118757779516801</v>
      </c>
      <c r="H474" s="9">
        <v>14.444002855922301</v>
      </c>
      <c r="I474" s="9">
        <v>5012.7432925319208</v>
      </c>
      <c r="J474" s="9">
        <v>1250.4787791388515</v>
      </c>
      <c r="K474" s="9">
        <v>512.0344861654894</v>
      </c>
      <c r="L474" s="9">
        <v>1028.794545564112</v>
      </c>
      <c r="M474" s="9">
        <v>0.74274892380295587</v>
      </c>
      <c r="N474" s="9">
        <v>1071.302414081777</v>
      </c>
      <c r="O474" s="9">
        <v>8.8834262004840987</v>
      </c>
      <c r="P474" s="9">
        <v>0.54690393551590188</v>
      </c>
      <c r="Q474" s="9">
        <v>8.8834262004840987</v>
      </c>
      <c r="R474" s="9">
        <v>37.696551962597525</v>
      </c>
      <c r="S474" s="9">
        <v>16.272287017431879</v>
      </c>
      <c r="T474" s="9">
        <v>961.05564255839897</v>
      </c>
      <c r="U474" s="9">
        <v>1523.0113459309291</v>
      </c>
      <c r="V474" s="9">
        <v>5602.9356019388979</v>
      </c>
      <c r="W474" s="9">
        <v>147458.15813118787</v>
      </c>
      <c r="X474" s="9">
        <v>148083.03615335995</v>
      </c>
      <c r="Y474" s="9">
        <v>624.87802217205444</v>
      </c>
      <c r="Z474" s="9">
        <v>281662.11868429306</v>
      </c>
      <c r="AA474" s="9">
        <v>282947.42741391732</v>
      </c>
      <c r="AB474" s="9">
        <v>1285.3087296243468</v>
      </c>
      <c r="AC474" s="9">
        <v>0.37530381145441172</v>
      </c>
      <c r="AD474" s="9">
        <v>5.6255747242319485</v>
      </c>
      <c r="AE474" s="9">
        <v>8.3625122612296394</v>
      </c>
      <c r="AF474" s="9">
        <v>14.310104479959092</v>
      </c>
      <c r="AG474" s="9">
        <v>234.13728629450051</v>
      </c>
      <c r="AH474" s="9">
        <v>12718.352504241684</v>
      </c>
      <c r="AI474" s="9">
        <v>1295.1926851524904</v>
      </c>
      <c r="AJ474" s="9">
        <v>14276.355970965549</v>
      </c>
      <c r="AK474" s="9">
        <v>71820297.487246364</v>
      </c>
      <c r="AL474" s="9">
        <v>62605395.675856873</v>
      </c>
    </row>
    <row r="475" spans="1:38" x14ac:dyDescent="0.25">
      <c r="A475" s="9">
        <v>473</v>
      </c>
      <c r="B475" s="9">
        <v>84</v>
      </c>
      <c r="C475" s="9">
        <v>7.6466666666666662E-3</v>
      </c>
      <c r="D475" s="9">
        <v>6.766753454400902E-2</v>
      </c>
      <c r="E475" s="9">
        <v>1.0180426898455672</v>
      </c>
      <c r="F475" s="9">
        <v>1.5149533385923299</v>
      </c>
      <c r="G475" s="9">
        <v>2.7778995022800768</v>
      </c>
      <c r="H475" s="9">
        <v>14.297533985149915</v>
      </c>
      <c r="I475" s="9">
        <v>5012.7720362161681</v>
      </c>
      <c r="J475" s="9">
        <v>1240.9167847410363</v>
      </c>
      <c r="K475" s="9">
        <v>508.11912912794395</v>
      </c>
      <c r="L475" s="9">
        <v>1019.8096559157224</v>
      </c>
      <c r="M475" s="9">
        <v>0.73619442715311001</v>
      </c>
      <c r="N475" s="9">
        <v>1072.0386085089301</v>
      </c>
      <c r="O475" s="9">
        <v>8.8098058717298411</v>
      </c>
      <c r="P475" s="9">
        <v>0.54242589727015811</v>
      </c>
      <c r="Q475" s="9">
        <v>8.8098058717298411</v>
      </c>
      <c r="R475" s="9">
        <v>37.358845664933568</v>
      </c>
      <c r="S475" s="9">
        <v>16.129149285253558</v>
      </c>
      <c r="T475" s="9">
        <v>961.77480877060134</v>
      </c>
      <c r="U475" s="9">
        <v>1524.2680047387405</v>
      </c>
      <c r="V475" s="9">
        <v>5624.9125276109007</v>
      </c>
      <c r="W475" s="9">
        <v>147458.15813118787</v>
      </c>
      <c r="X475" s="9">
        <v>148083.03615335995</v>
      </c>
      <c r="Y475" s="9">
        <v>624.87802217205444</v>
      </c>
      <c r="Z475" s="9">
        <v>281662.11868429306</v>
      </c>
      <c r="AA475" s="9">
        <v>282947.42741391732</v>
      </c>
      <c r="AB475" s="9">
        <v>1285.3087296243468</v>
      </c>
      <c r="AC475" s="9">
        <v>0.3685625048163691</v>
      </c>
      <c r="AD475" s="9">
        <v>5.5449391840255222</v>
      </c>
      <c r="AE475" s="9">
        <v>8.2514458508662241</v>
      </c>
      <c r="AF475" s="9">
        <v>14.13719355035369</v>
      </c>
      <c r="AG475" s="9">
        <v>231.76302589928014</v>
      </c>
      <c r="AH475" s="9">
        <v>12606.042511075701</v>
      </c>
      <c r="AI475" s="9">
        <v>1283.7996373597568</v>
      </c>
      <c r="AJ475" s="9">
        <v>14149.9073154248</v>
      </c>
      <c r="AK475" s="9">
        <v>71834447.394561782</v>
      </c>
      <c r="AL475" s="9">
        <v>62607375.423282199</v>
      </c>
    </row>
    <row r="476" spans="1:38" x14ac:dyDescent="0.25">
      <c r="A476" s="9">
        <v>474</v>
      </c>
      <c r="B476" s="9">
        <v>84</v>
      </c>
      <c r="C476" s="9">
        <v>7.6466666666666662E-3</v>
      </c>
      <c r="D476" s="9">
        <v>6.6452072334782522E-2</v>
      </c>
      <c r="E476" s="9">
        <v>1.0034477488004263</v>
      </c>
      <c r="F476" s="9">
        <v>1.4948245237354436</v>
      </c>
      <c r="G476" s="9">
        <v>2.7443142710663633</v>
      </c>
      <c r="H476" s="9">
        <v>14.152494536911147</v>
      </c>
      <c r="I476" s="9">
        <v>5012.8004325865877</v>
      </c>
      <c r="J476" s="9">
        <v>1231.4279077270498</v>
      </c>
      <c r="K476" s="9">
        <v>504.23371152054563</v>
      </c>
      <c r="L476" s="9">
        <v>1010.9032350367695</v>
      </c>
      <c r="M476" s="9">
        <v>0.72969767375318018</v>
      </c>
      <c r="N476" s="9">
        <v>1072.7683061826833</v>
      </c>
      <c r="O476" s="9">
        <v>8.7363461919447598</v>
      </c>
      <c r="P476" s="9">
        <v>0.53798444705523996</v>
      </c>
      <c r="Q476" s="9">
        <v>8.7363461919447598</v>
      </c>
      <c r="R476" s="9">
        <v>37.024582621876</v>
      </c>
      <c r="S476" s="9">
        <v>15.987265618729644</v>
      </c>
      <c r="T476" s="9">
        <v>962.48764386815037</v>
      </c>
      <c r="U476" s="9">
        <v>1525.5136243295294</v>
      </c>
      <c r="V476" s="9">
        <v>5646.7117938069186</v>
      </c>
      <c r="W476" s="9">
        <v>147458.15813118787</v>
      </c>
      <c r="X476" s="9">
        <v>148083.03615335995</v>
      </c>
      <c r="Y476" s="9">
        <v>624.87802217205444</v>
      </c>
      <c r="Z476" s="9">
        <v>281662.11868429306</v>
      </c>
      <c r="AA476" s="9">
        <v>282947.42741391732</v>
      </c>
      <c r="AB476" s="9">
        <v>1285.3087296243468</v>
      </c>
      <c r="AC476" s="9">
        <v>0.36194228731678213</v>
      </c>
      <c r="AD476" s="9">
        <v>5.4654454051329884</v>
      </c>
      <c r="AE476" s="9">
        <v>8.1418109059457162</v>
      </c>
      <c r="AF476" s="9">
        <v>13.966272711168566</v>
      </c>
      <c r="AG476" s="9">
        <v>229.41193644332972</v>
      </c>
      <c r="AH476" s="9">
        <v>12494.716539755</v>
      </c>
      <c r="AI476" s="9">
        <v>1272.506406922786</v>
      </c>
      <c r="AJ476" s="9">
        <v>14024.57035443068</v>
      </c>
      <c r="AK476" s="9">
        <v>71848471.964916214</v>
      </c>
      <c r="AL476" s="9">
        <v>62609329.492557779</v>
      </c>
    </row>
    <row r="477" spans="1:38" x14ac:dyDescent="0.25">
      <c r="A477" s="9">
        <v>475</v>
      </c>
      <c r="B477" s="9">
        <v>84</v>
      </c>
      <c r="C477" s="9">
        <v>7.6466666666666662E-3</v>
      </c>
      <c r="D477" s="9">
        <v>6.5258442580248113E-2</v>
      </c>
      <c r="E477" s="9">
        <v>0.98905951380585089</v>
      </c>
      <c r="F477" s="9">
        <v>1.4749552753684358</v>
      </c>
      <c r="G477" s="9">
        <v>2.711115881622093</v>
      </c>
      <c r="H477" s="9">
        <v>14.008871168990092</v>
      </c>
      <c r="I477" s="9">
        <v>5012.8284856405317</v>
      </c>
      <c r="J477" s="9">
        <v>1222.0115889926303</v>
      </c>
      <c r="K477" s="9">
        <v>500.37800440645185</v>
      </c>
      <c r="L477" s="9">
        <v>1002.0745976269307</v>
      </c>
      <c r="M477" s="9">
        <v>0.72325815645842517</v>
      </c>
      <c r="N477" s="9">
        <v>1073.4915643391416</v>
      </c>
      <c r="O477" s="9">
        <v>8.6630632729501009</v>
      </c>
      <c r="P477" s="9">
        <v>0.53357928704989921</v>
      </c>
      <c r="Q477" s="9">
        <v>8.6630632729501009</v>
      </c>
      <c r="R477" s="9">
        <v>36.693718731156125</v>
      </c>
      <c r="S477" s="9">
        <v>15.846625098843425</v>
      </c>
      <c r="T477" s="9">
        <v>963.19420338770078</v>
      </c>
      <c r="U477" s="9">
        <v>1526.748298151957</v>
      </c>
      <c r="V477" s="9">
        <v>5668.3348434429499</v>
      </c>
      <c r="W477" s="9">
        <v>147458.15813118787</v>
      </c>
      <c r="X477" s="9">
        <v>148083.03615335995</v>
      </c>
      <c r="Y477" s="9">
        <v>624.87802217205444</v>
      </c>
      <c r="Z477" s="9">
        <v>281662.11868429306</v>
      </c>
      <c r="AA477" s="9">
        <v>282947.42741391732</v>
      </c>
      <c r="AB477" s="9">
        <v>1285.3087296243468</v>
      </c>
      <c r="AC477" s="9">
        <v>0.35544098392041801</v>
      </c>
      <c r="AD477" s="9">
        <v>5.3870774851958672</v>
      </c>
      <c r="AE477" s="9">
        <v>8.0335897331734127</v>
      </c>
      <c r="AF477" s="9">
        <v>13.797320574221768</v>
      </c>
      <c r="AG477" s="9">
        <v>227.08380164932942</v>
      </c>
      <c r="AH477" s="9">
        <v>12384.366947674511</v>
      </c>
      <c r="AI477" s="9">
        <v>1261.3121247424424</v>
      </c>
      <c r="AJ477" s="9">
        <v>13900.336302842794</v>
      </c>
      <c r="AK477" s="9">
        <v>71862372.301219061</v>
      </c>
      <c r="AL477" s="9">
        <v>62611258.215727091</v>
      </c>
    </row>
    <row r="478" spans="1:38" x14ac:dyDescent="0.25">
      <c r="A478" s="9">
        <v>476</v>
      </c>
      <c r="B478" s="9">
        <v>84</v>
      </c>
      <c r="C478" s="9">
        <v>7.6466666666666662E-3</v>
      </c>
      <c r="D478" s="9">
        <v>6.408625312006197E-2</v>
      </c>
      <c r="E478" s="9">
        <v>0.97487510495161056</v>
      </c>
      <c r="F478" s="9">
        <v>1.4553423827565934</v>
      </c>
      <c r="G478" s="9">
        <v>2.6783001719347945</v>
      </c>
      <c r="H478" s="9">
        <v>13.86665065805729</v>
      </c>
      <c r="I478" s="9">
        <v>5012.856199332392</v>
      </c>
      <c r="J478" s="9">
        <v>1212.6672737087999</v>
      </c>
      <c r="K478" s="9">
        <v>496.55178059942386</v>
      </c>
      <c r="L478" s="9">
        <v>993.32306437089494</v>
      </c>
      <c r="M478" s="9">
        <v>0.71687537256099176</v>
      </c>
      <c r="N478" s="9">
        <v>1074.2084397117026</v>
      </c>
      <c r="O478" s="9">
        <v>8.5899725321536415</v>
      </c>
      <c r="P478" s="9">
        <v>0.52921012184635818</v>
      </c>
      <c r="Q478" s="9">
        <v>8.5899725321536415</v>
      </c>
      <c r="R478" s="9">
        <v>36.366210624789176</v>
      </c>
      <c r="S478" s="9">
        <v>15.707216919553735</v>
      </c>
      <c r="T478" s="9">
        <v>963.89454240026043</v>
      </c>
      <c r="U478" s="9">
        <v>1527.9721189926418</v>
      </c>
      <c r="V478" s="9">
        <v>5689.7831076869352</v>
      </c>
      <c r="W478" s="9">
        <v>147458.15813118787</v>
      </c>
      <c r="X478" s="9">
        <v>148083.03615335995</v>
      </c>
      <c r="Y478" s="9">
        <v>624.87802217205444</v>
      </c>
      <c r="Z478" s="9">
        <v>281662.11868429306</v>
      </c>
      <c r="AA478" s="9">
        <v>282947.42741391732</v>
      </c>
      <c r="AB478" s="9">
        <v>1285.3087296243468</v>
      </c>
      <c r="AC478" s="9">
        <v>0.3490564586606042</v>
      </c>
      <c r="AD478" s="9">
        <v>5.3098197383031049</v>
      </c>
      <c r="AE478" s="9">
        <v>7.926764844747578</v>
      </c>
      <c r="AF478" s="9">
        <v>13.630315958338159</v>
      </c>
      <c r="AG478" s="9">
        <v>224.7784071671087</v>
      </c>
      <c r="AH478" s="9">
        <v>12274.986103115523</v>
      </c>
      <c r="AI478" s="9">
        <v>1250.2159307118795</v>
      </c>
      <c r="AJ478" s="9">
        <v>13777.196397994561</v>
      </c>
      <c r="AK478" s="9">
        <v>71876149.497617051</v>
      </c>
      <c r="AL478" s="9">
        <v>62613161.920674369</v>
      </c>
    </row>
    <row r="479" spans="1:38" x14ac:dyDescent="0.25">
      <c r="A479" s="9">
        <v>477</v>
      </c>
      <c r="B479" s="9">
        <v>84</v>
      </c>
      <c r="C479" s="9">
        <v>7.6466666666666662E-3</v>
      </c>
      <c r="D479" s="9">
        <v>6.2935118837968401E-2</v>
      </c>
      <c r="E479" s="9">
        <v>0.96089168154393334</v>
      </c>
      <c r="F479" s="9">
        <v>1.4359826724982265</v>
      </c>
      <c r="G479" s="9">
        <v>2.6458630203409119</v>
      </c>
      <c r="H479" s="9">
        <v>13.725819898643381</v>
      </c>
      <c r="I479" s="9">
        <v>5012.8835775740145</v>
      </c>
      <c r="J479" s="9">
        <v>1203.3944112891734</v>
      </c>
      <c r="K479" s="9">
        <v>492.75481465044027</v>
      </c>
      <c r="L479" s="9">
        <v>984.64796188609409</v>
      </c>
      <c r="M479" s="9">
        <v>0.71054882375120454</v>
      </c>
      <c r="N479" s="9">
        <v>1074.9189885354538</v>
      </c>
      <c r="O479" s="9">
        <v>8.517088718569207</v>
      </c>
      <c r="P479" s="9">
        <v>0.52487665843079268</v>
      </c>
      <c r="Q479" s="9">
        <v>8.517088718569207</v>
      </c>
      <c r="R479" s="9">
        <v>36.042015654324324</v>
      </c>
      <c r="S479" s="9">
        <v>15.569030384680513</v>
      </c>
      <c r="T479" s="9">
        <v>964.58871551406264</v>
      </c>
      <c r="U479" s="9">
        <v>1529.1851789769864</v>
      </c>
      <c r="V479" s="9">
        <v>5711.0580060536377</v>
      </c>
      <c r="W479" s="9">
        <v>147458.15813118787</v>
      </c>
      <c r="X479" s="9">
        <v>148083.03615335995</v>
      </c>
      <c r="Y479" s="9">
        <v>624.87802217205444</v>
      </c>
      <c r="Z479" s="9">
        <v>281662.11868429306</v>
      </c>
      <c r="AA479" s="9">
        <v>282947.42741391732</v>
      </c>
      <c r="AB479" s="9">
        <v>1285.3087296243468</v>
      </c>
      <c r="AC479" s="9">
        <v>0.34278661393746784</v>
      </c>
      <c r="AD479" s="9">
        <v>5.2336566921426231</v>
      </c>
      <c r="AE479" s="9">
        <v>7.8213189562070067</v>
      </c>
      <c r="AF479" s="9">
        <v>13.465237887684957</v>
      </c>
      <c r="AG479" s="9">
        <v>222.49554055700924</v>
      </c>
      <c r="AH479" s="9">
        <v>12166.566388322761</v>
      </c>
      <c r="AI479" s="9">
        <v>1239.2169734686454</v>
      </c>
      <c r="AJ479" s="9">
        <v>13655.141902498388</v>
      </c>
      <c r="AK479" s="9">
        <v>71889804.639519542</v>
      </c>
      <c r="AL479" s="9">
        <v>62615040.931169569</v>
      </c>
    </row>
    <row r="480" spans="1:38" x14ac:dyDescent="0.25">
      <c r="A480" s="9">
        <v>478</v>
      </c>
      <c r="B480" s="9">
        <v>84</v>
      </c>
      <c r="C480" s="9">
        <v>7.6466666666666662E-3</v>
      </c>
      <c r="D480" s="9">
        <v>6.1804661535272094E-2</v>
      </c>
      <c r="E480" s="9">
        <v>0.94710644158906254</v>
      </c>
      <c r="F480" s="9">
        <v>1.4168730081328376</v>
      </c>
      <c r="G480" s="9">
        <v>2.6138003452004037</v>
      </c>
      <c r="H480" s="9">
        <v>13.586365902121864</v>
      </c>
      <c r="I480" s="9">
        <v>5012.9106242351127</v>
      </c>
      <c r="J480" s="9">
        <v>1194.1924553575154</v>
      </c>
      <c r="K480" s="9">
        <v>488.98688283441322</v>
      </c>
      <c r="L480" s="9">
        <v>976.04862267088924</v>
      </c>
      <c r="M480" s="9">
        <v>0.70427801607919449</v>
      </c>
      <c r="N480" s="9">
        <v>1075.6232665515329</v>
      </c>
      <c r="O480" s="9">
        <v>8.4444259338360297</v>
      </c>
      <c r="P480" s="9">
        <v>0.52057860616397111</v>
      </c>
      <c r="Q480" s="9">
        <v>8.4444259338360297</v>
      </c>
      <c r="R480" s="9">
        <v>35.721091876419734</v>
      </c>
      <c r="S480" s="9">
        <v>15.432054904998321</v>
      </c>
      <c r="T480" s="9">
        <v>965.27677687748132</v>
      </c>
      <c r="U480" s="9">
        <v>1530.3875695701504</v>
      </c>
      <c r="V480" s="9">
        <v>5732.1609464988142</v>
      </c>
      <c r="W480" s="9">
        <v>147458.15813118787</v>
      </c>
      <c r="X480" s="9">
        <v>148083.03615335995</v>
      </c>
      <c r="Y480" s="9">
        <v>624.87802217205444</v>
      </c>
      <c r="Z480" s="9">
        <v>281662.11868429306</v>
      </c>
      <c r="AA480" s="9">
        <v>282947.42741391732</v>
      </c>
      <c r="AB480" s="9">
        <v>1285.3087296243468</v>
      </c>
      <c r="AC480" s="9">
        <v>0.33662938982878199</v>
      </c>
      <c r="AD480" s="9">
        <v>5.1585730851884266</v>
      </c>
      <c r="AE480" s="9">
        <v>7.7172349842968551</v>
      </c>
      <c r="AF480" s="9">
        <v>13.302065590115721</v>
      </c>
      <c r="AG480" s="9">
        <v>220.23499127339542</v>
      </c>
      <c r="AH480" s="9">
        <v>12059.100201304936</v>
      </c>
      <c r="AI480" s="9">
        <v>1228.3144101633413</v>
      </c>
      <c r="AJ480" s="9">
        <v>13534.164105791104</v>
      </c>
      <c r="AK480" s="9">
        <v>71903338.80362533</v>
      </c>
      <c r="AL480" s="9">
        <v>62616895.566913135</v>
      </c>
    </row>
    <row r="481" spans="1:38" x14ac:dyDescent="0.25">
      <c r="A481" s="9">
        <v>479</v>
      </c>
      <c r="B481" s="9">
        <v>84</v>
      </c>
      <c r="C481" s="9">
        <v>7.6466666666666662E-3</v>
      </c>
      <c r="D481" s="9">
        <v>6.0694509806583037E-2</v>
      </c>
      <c r="E481" s="9">
        <v>0.93351662128326685</v>
      </c>
      <c r="F481" s="9">
        <v>1.3980102897526294</v>
      </c>
      <c r="G481" s="9">
        <v>2.5821081045730039</v>
      </c>
      <c r="H481" s="9">
        <v>13.448275795700866</v>
      </c>
      <c r="I481" s="9">
        <v>5012.9373431436779</v>
      </c>
      <c r="J481" s="9">
        <v>1185.0608637155483</v>
      </c>
      <c r="K481" s="9">
        <v>485.24776313700607</v>
      </c>
      <c r="L481" s="9">
        <v>967.52438505321015</v>
      </c>
      <c r="M481" s="9">
        <v>0.69806245991686322</v>
      </c>
      <c r="N481" s="9">
        <v>1076.3213290114497</v>
      </c>
      <c r="O481" s="9">
        <v>8.3719976542379477</v>
      </c>
      <c r="P481" s="9">
        <v>0.51631567676205403</v>
      </c>
      <c r="Q481" s="9">
        <v>8.3719976542379477</v>
      </c>
      <c r="R481" s="9">
        <v>35.403398038735205</v>
      </c>
      <c r="S481" s="9">
        <v>15.296279995499622</v>
      </c>
      <c r="T481" s="9">
        <v>965.95878018196231</v>
      </c>
      <c r="U481" s="9">
        <v>1531.5793815780974</v>
      </c>
      <c r="V481" s="9">
        <v>5753.0933255126502</v>
      </c>
      <c r="W481" s="9">
        <v>147458.15813118787</v>
      </c>
      <c r="X481" s="9">
        <v>148083.03615335995</v>
      </c>
      <c r="Y481" s="9">
        <v>624.87802217205444</v>
      </c>
      <c r="Z481" s="9">
        <v>281662.11868429306</v>
      </c>
      <c r="AA481" s="9">
        <v>282947.42741391732</v>
      </c>
      <c r="AB481" s="9">
        <v>1285.3087296243468</v>
      </c>
      <c r="AC481" s="9">
        <v>0.33058276341318893</v>
      </c>
      <c r="AD481" s="9">
        <v>5.08455386392286</v>
      </c>
      <c r="AE481" s="9">
        <v>7.6144960448526549</v>
      </c>
      <c r="AF481" s="9">
        <v>13.140778495522778</v>
      </c>
      <c r="AG481" s="9">
        <v>217.99655064831106</v>
      </c>
      <c r="AH481" s="9">
        <v>11952.579957995033</v>
      </c>
      <c r="AI481" s="9">
        <v>1217.5074062417925</v>
      </c>
      <c r="AJ481" s="9">
        <v>13414.254326052847</v>
      </c>
      <c r="AK481" s="9">
        <v>71916753.057951376</v>
      </c>
      <c r="AL481" s="9">
        <v>62618726.143580578</v>
      </c>
    </row>
    <row r="482" spans="1:38" x14ac:dyDescent="0.25">
      <c r="A482" s="9">
        <v>480</v>
      </c>
      <c r="B482" s="9">
        <v>85</v>
      </c>
      <c r="C482" s="9">
        <v>7.6466666666666662E-3</v>
      </c>
      <c r="D482" s="9">
        <v>5.9604298917793376E-2</v>
      </c>
      <c r="E482" s="9">
        <v>0.92011949450922859</v>
      </c>
      <c r="F482" s="9">
        <v>1.3793914536173402</v>
      </c>
      <c r="G482" s="9">
        <v>2.5507822958961515</v>
      </c>
      <c r="H482" s="9">
        <v>13.311536821423832</v>
      </c>
      <c r="I482" s="9">
        <v>5012.9637380863815</v>
      </c>
      <c r="J482" s="9">
        <v>1175.9990983110033</v>
      </c>
      <c r="K482" s="9">
        <v>481.53723524155174</v>
      </c>
      <c r="L482" s="9">
        <v>959.07459313964341</v>
      </c>
      <c r="M482" s="9">
        <v>0.69190166992017865</v>
      </c>
      <c r="N482" s="9">
        <v>1077.0132306813698</v>
      </c>
      <c r="O482" s="9">
        <v>8.3056770017156563</v>
      </c>
      <c r="P482" s="9">
        <v>0.50622733228434347</v>
      </c>
      <c r="Q482" s="9">
        <v>8.3056770017156563</v>
      </c>
      <c r="R482" s="9">
        <v>35.083033314141915</v>
      </c>
      <c r="S482" s="9">
        <v>15.161695272826762</v>
      </c>
      <c r="T482" s="9">
        <v>966.63477866497783</v>
      </c>
      <c r="U482" s="9">
        <v>1532.760705148745</v>
      </c>
      <c r="V482" s="9">
        <v>5773.8565282124755</v>
      </c>
      <c r="W482" s="9">
        <v>147858.0675306902</v>
      </c>
      <c r="X482" s="9">
        <v>148484.74871578309</v>
      </c>
      <c r="Y482" s="9">
        <v>626.68118509285205</v>
      </c>
      <c r="Z482" s="9">
        <v>284343.4116922635</v>
      </c>
      <c r="AA482" s="9">
        <v>285640.81018056255</v>
      </c>
      <c r="AB482" s="9">
        <v>1297.3984882991435</v>
      </c>
      <c r="AC482" s="9">
        <v>0.32464474810558125</v>
      </c>
      <c r="AD482" s="9">
        <v>5.0115841800935979</v>
      </c>
      <c r="AE482" s="9">
        <v>7.5130854507024454</v>
      </c>
      <c r="AF482" s="9">
        <v>12.981356234198163</v>
      </c>
      <c r="AG482" s="9">
        <v>215.78001187528034</v>
      </c>
      <c r="AH482" s="9">
        <v>11846.998093676139</v>
      </c>
      <c r="AI482" s="9">
        <v>1206.795135240646</v>
      </c>
      <c r="AJ482" s="9">
        <v>13295.403911405165</v>
      </c>
      <c r="AK482" s="9">
        <v>71930048.461862788</v>
      </c>
      <c r="AL482" s="9">
        <v>62620532.972866833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D21"/>
  <sheetViews>
    <sheetView workbookViewId="0">
      <selection activeCell="E38" sqref="E38"/>
    </sheetView>
  </sheetViews>
  <sheetFormatPr baseColWidth="10" defaultRowHeight="13.2" x14ac:dyDescent="0.25"/>
  <sheetData>
    <row r="1" spans="1:4" x14ac:dyDescent="0.25">
      <c r="A1" s="110" t="s">
        <v>29</v>
      </c>
      <c r="B1" s="110"/>
      <c r="C1" s="110"/>
      <c r="D1" s="110"/>
    </row>
    <row r="2" spans="1:4" s="45" customFormat="1" x14ac:dyDescent="0.25">
      <c r="A2" s="46"/>
      <c r="B2" s="46" t="s">
        <v>49</v>
      </c>
      <c r="C2" s="46" t="s">
        <v>35</v>
      </c>
      <c r="D2" s="57" t="s">
        <v>83</v>
      </c>
    </row>
    <row r="3" spans="1:4" x14ac:dyDescent="0.25">
      <c r="A3" s="18" t="s">
        <v>2</v>
      </c>
      <c r="B3" s="11">
        <v>14</v>
      </c>
      <c r="C3" s="11">
        <v>24</v>
      </c>
      <c r="D3">
        <v>13.15</v>
      </c>
    </row>
    <row r="4" spans="1:4" x14ac:dyDescent="0.25">
      <c r="A4" s="18" t="s">
        <v>3</v>
      </c>
      <c r="B4" s="11">
        <v>30</v>
      </c>
      <c r="C4" s="11">
        <v>32</v>
      </c>
      <c r="D4">
        <v>13.65</v>
      </c>
    </row>
    <row r="5" spans="1:4" x14ac:dyDescent="0.25">
      <c r="A5" s="18" t="s">
        <v>4</v>
      </c>
      <c r="B5" s="11">
        <v>19</v>
      </c>
      <c r="C5" s="11">
        <v>16</v>
      </c>
      <c r="D5">
        <v>9.1</v>
      </c>
    </row>
    <row r="6" spans="1:4" x14ac:dyDescent="0.25">
      <c r="A6" s="18" t="s">
        <v>5</v>
      </c>
      <c r="B6" s="11">
        <v>22</v>
      </c>
      <c r="C6" s="11">
        <v>16</v>
      </c>
      <c r="D6">
        <v>14.7</v>
      </c>
    </row>
    <row r="7" spans="1:4" x14ac:dyDescent="0.25">
      <c r="A7" s="18" t="s">
        <v>6</v>
      </c>
      <c r="B7" s="11">
        <v>15</v>
      </c>
      <c r="C7" s="11">
        <v>12</v>
      </c>
      <c r="D7" s="92">
        <v>49.4</v>
      </c>
    </row>
    <row r="8" spans="1:4" x14ac:dyDescent="0.25">
      <c r="A8" s="18" t="s">
        <v>15</v>
      </c>
      <c r="B8" s="11">
        <v>65</v>
      </c>
      <c r="C8" s="11">
        <v>89</v>
      </c>
      <c r="D8" s="11">
        <v>65</v>
      </c>
    </row>
    <row r="9" spans="1:4" x14ac:dyDescent="0.25">
      <c r="A9" s="18" t="s">
        <v>16</v>
      </c>
      <c r="B9" s="11">
        <v>5</v>
      </c>
      <c r="C9" s="11">
        <v>5</v>
      </c>
      <c r="D9" s="11">
        <v>5</v>
      </c>
    </row>
    <row r="10" spans="1:4" x14ac:dyDescent="0.25">
      <c r="A10" s="18" t="s">
        <v>17</v>
      </c>
      <c r="B10" s="11">
        <v>30</v>
      </c>
      <c r="C10" s="11">
        <v>2</v>
      </c>
      <c r="D10" s="11">
        <v>30</v>
      </c>
    </row>
    <row r="11" spans="1:4" x14ac:dyDescent="0.25">
      <c r="A11" s="18" t="s">
        <v>18</v>
      </c>
      <c r="B11" s="11">
        <v>0</v>
      </c>
      <c r="C11" s="11">
        <v>4</v>
      </c>
      <c r="D11" s="11">
        <v>0</v>
      </c>
    </row>
    <row r="12" spans="1:4" x14ac:dyDescent="0.25">
      <c r="A12" s="110" t="s">
        <v>7</v>
      </c>
      <c r="B12" s="110"/>
      <c r="C12" s="110"/>
      <c r="D12" s="110"/>
    </row>
    <row r="13" spans="1:4" x14ac:dyDescent="0.25">
      <c r="A13" s="18" t="s">
        <v>8</v>
      </c>
      <c r="B13" s="11">
        <v>100</v>
      </c>
      <c r="C13" s="30">
        <v>100</v>
      </c>
      <c r="D13" s="92">
        <v>1744.88</v>
      </c>
    </row>
    <row r="14" spans="1:4" x14ac:dyDescent="0.25">
      <c r="A14" s="18" t="s">
        <v>9</v>
      </c>
      <c r="B14" s="11">
        <v>140</v>
      </c>
      <c r="C14" s="30">
        <v>131</v>
      </c>
      <c r="D14">
        <v>326.41000000000003</v>
      </c>
    </row>
    <row r="15" spans="1:4" x14ac:dyDescent="0.25">
      <c r="A15" s="18" t="s">
        <v>10</v>
      </c>
      <c r="B15" s="11">
        <v>26</v>
      </c>
      <c r="C15" s="30">
        <v>24</v>
      </c>
      <c r="D15">
        <v>311.60000000000002</v>
      </c>
    </row>
    <row r="16" spans="1:4" x14ac:dyDescent="0.25">
      <c r="A16" s="18"/>
      <c r="B16" s="11"/>
      <c r="C16" s="30"/>
    </row>
    <row r="17" spans="1:4" x14ac:dyDescent="0.25">
      <c r="A17" s="18" t="s">
        <v>11</v>
      </c>
      <c r="B17" s="11">
        <v>204</v>
      </c>
      <c r="C17" s="30">
        <v>191</v>
      </c>
      <c r="D17">
        <v>65.36</v>
      </c>
    </row>
    <row r="18" spans="1:4" x14ac:dyDescent="0.25">
      <c r="A18" s="18" t="s">
        <v>12</v>
      </c>
      <c r="B18" s="11">
        <v>420</v>
      </c>
      <c r="C18" s="30">
        <v>393</v>
      </c>
      <c r="D18" s="93">
        <v>61.07</v>
      </c>
    </row>
    <row r="19" spans="1:4" x14ac:dyDescent="0.25">
      <c r="A19" s="18" t="s">
        <v>6</v>
      </c>
      <c r="B19" s="11">
        <v>489</v>
      </c>
      <c r="C19" s="30">
        <v>458</v>
      </c>
      <c r="D19">
        <v>194.52</v>
      </c>
    </row>
    <row r="20" spans="1:4" x14ac:dyDescent="0.25">
      <c r="A20" s="18" t="s">
        <v>13</v>
      </c>
      <c r="B20" s="11">
        <v>5437</v>
      </c>
      <c r="C20" s="30">
        <v>5088</v>
      </c>
      <c r="D20">
        <v>3276.52</v>
      </c>
    </row>
    <row r="21" spans="1:4" x14ac:dyDescent="0.25">
      <c r="A21" s="18" t="s">
        <v>14</v>
      </c>
      <c r="B21" s="11">
        <v>9998</v>
      </c>
      <c r="C21" s="30">
        <v>9357</v>
      </c>
      <c r="D21">
        <v>955.14</v>
      </c>
    </row>
  </sheetData>
  <mergeCells count="2">
    <mergeCell ref="A12:D12"/>
    <mergeCell ref="A1:D1"/>
  </mergeCells>
  <pageMargins left="0.7" right="0.7" top="0.75" bottom="0.75" header="0.3" footer="0.3"/>
  <pageSetup paperSize="0" orientation="portrait" horizontalDpi="0" verticalDpi="0" copie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8"/>
  <dimension ref="A1:K25"/>
  <sheetViews>
    <sheetView workbookViewId="0">
      <selection activeCell="E21" sqref="E21"/>
    </sheetView>
  </sheetViews>
  <sheetFormatPr baseColWidth="10" defaultColWidth="11.44140625" defaultRowHeight="13.2" x14ac:dyDescent="0.25"/>
  <cols>
    <col min="1" max="16384" width="11.44140625" style="45"/>
  </cols>
  <sheetData>
    <row r="1" spans="1:8" x14ac:dyDescent="0.25">
      <c r="A1" s="59"/>
      <c r="B1" s="60" t="s">
        <v>36</v>
      </c>
      <c r="C1" s="28"/>
      <c r="D1" s="28"/>
      <c r="E1" s="28"/>
      <c r="F1" s="17"/>
      <c r="G1" s="28"/>
      <c r="H1" s="28"/>
    </row>
    <row r="2" spans="1:8" x14ac:dyDescent="0.25">
      <c r="A2" s="32" t="s">
        <v>2</v>
      </c>
      <c r="B2" s="25">
        <v>1</v>
      </c>
      <c r="C2" s="28"/>
      <c r="D2" s="28"/>
      <c r="E2" s="28"/>
      <c r="F2" s="28"/>
      <c r="G2" s="28"/>
      <c r="H2" s="28"/>
    </row>
    <row r="3" spans="1:8" x14ac:dyDescent="0.25">
      <c r="A3" s="32" t="s">
        <v>3</v>
      </c>
      <c r="B3" s="25">
        <v>1</v>
      </c>
      <c r="C3" s="28"/>
      <c r="D3" s="28"/>
      <c r="E3" s="28"/>
      <c r="F3" s="28"/>
      <c r="G3" s="28"/>
      <c r="H3" s="28"/>
    </row>
    <row r="4" spans="1:8" x14ac:dyDescent="0.25">
      <c r="A4" s="32" t="s">
        <v>4</v>
      </c>
      <c r="B4" s="25">
        <v>1</v>
      </c>
      <c r="C4" s="28"/>
      <c r="D4" s="28"/>
      <c r="E4" s="28"/>
      <c r="F4" s="28"/>
      <c r="G4" s="28"/>
      <c r="H4" s="28"/>
    </row>
    <row r="5" spans="1:8" x14ac:dyDescent="0.25">
      <c r="A5" s="32" t="s">
        <v>5</v>
      </c>
      <c r="B5" s="25">
        <v>1</v>
      </c>
      <c r="C5" s="28"/>
      <c r="D5" s="28"/>
      <c r="E5" s="28"/>
      <c r="F5" s="28"/>
      <c r="G5" s="28"/>
      <c r="H5" s="28"/>
    </row>
    <row r="6" spans="1:8" x14ac:dyDescent="0.25">
      <c r="A6" s="32" t="s">
        <v>19</v>
      </c>
      <c r="B6" s="25">
        <v>1</v>
      </c>
      <c r="C6" s="28"/>
      <c r="D6" s="28"/>
      <c r="E6" s="28"/>
      <c r="F6" s="28"/>
      <c r="G6" s="28"/>
      <c r="H6" s="28"/>
    </row>
    <row r="7" spans="1:8" x14ac:dyDescent="0.25">
      <c r="A7" s="32" t="s">
        <v>13</v>
      </c>
      <c r="B7" s="25">
        <v>0.82199999999999995</v>
      </c>
      <c r="C7" s="28"/>
      <c r="D7" s="28"/>
      <c r="E7" s="28"/>
      <c r="F7" s="28"/>
      <c r="G7" s="28"/>
      <c r="H7" s="28"/>
    </row>
    <row r="8" spans="1:8" x14ac:dyDescent="0.25">
      <c r="A8" s="32" t="s">
        <v>21</v>
      </c>
      <c r="B8" s="25">
        <v>0.71199999999999997</v>
      </c>
      <c r="C8" s="28"/>
      <c r="D8" s="28"/>
      <c r="E8" s="28"/>
      <c r="F8" s="28"/>
      <c r="G8" s="28"/>
      <c r="H8" s="28"/>
    </row>
    <row r="9" spans="1:8" x14ac:dyDescent="0.25">
      <c r="A9" s="32" t="s">
        <v>37</v>
      </c>
      <c r="B9" s="25">
        <v>1</v>
      </c>
      <c r="C9" s="28"/>
      <c r="D9" s="28"/>
      <c r="E9" s="28"/>
      <c r="F9" s="28"/>
      <c r="G9" s="28"/>
      <c r="H9" s="28"/>
    </row>
    <row r="10" spans="1:8" x14ac:dyDescent="0.25">
      <c r="A10" s="32" t="s">
        <v>38</v>
      </c>
      <c r="B10" s="25">
        <v>1</v>
      </c>
      <c r="C10" s="28"/>
      <c r="D10" s="28"/>
      <c r="E10" s="28"/>
      <c r="F10" s="28"/>
      <c r="G10" s="28"/>
      <c r="H10" s="28"/>
    </row>
    <row r="11" spans="1:8" x14ac:dyDescent="0.25">
      <c r="A11" s="32" t="s">
        <v>39</v>
      </c>
      <c r="B11" s="25">
        <v>1</v>
      </c>
      <c r="C11" s="28"/>
      <c r="D11" s="28"/>
      <c r="E11" s="28"/>
      <c r="F11" s="28"/>
      <c r="G11" s="28"/>
      <c r="H11" s="28"/>
    </row>
    <row r="12" spans="1:8" x14ac:dyDescent="0.25">
      <c r="A12" s="32" t="s">
        <v>40</v>
      </c>
      <c r="B12" s="25">
        <v>1</v>
      </c>
      <c r="C12" s="28"/>
      <c r="D12" s="28"/>
      <c r="E12" s="28"/>
      <c r="F12" s="28"/>
      <c r="G12" s="28"/>
      <c r="H12" s="28"/>
    </row>
    <row r="13" spans="1:8" ht="13.8" thickBot="1" x14ac:dyDescent="0.3">
      <c r="A13" s="61" t="s">
        <v>41</v>
      </c>
      <c r="B13" s="26">
        <v>1</v>
      </c>
      <c r="C13" s="28"/>
      <c r="D13" s="28"/>
      <c r="E13" s="28"/>
      <c r="F13" s="28"/>
      <c r="G13" s="28"/>
      <c r="H13" s="28"/>
    </row>
    <row r="14" spans="1:8" x14ac:dyDescent="0.25">
      <c r="C14" s="28"/>
      <c r="D14" s="28"/>
      <c r="E14" s="28"/>
      <c r="F14" s="28"/>
      <c r="G14" s="28"/>
      <c r="H14" s="28"/>
    </row>
    <row r="15" spans="1:8" x14ac:dyDescent="0.25">
      <c r="C15" s="28"/>
      <c r="D15" s="28"/>
      <c r="E15" s="28"/>
      <c r="F15" s="28"/>
      <c r="G15" s="28"/>
      <c r="H15" s="28"/>
    </row>
    <row r="16" spans="1:8" x14ac:dyDescent="0.25">
      <c r="C16" s="28"/>
      <c r="D16" s="28"/>
      <c r="E16" s="28"/>
      <c r="F16" s="28"/>
      <c r="G16" s="28"/>
      <c r="H16" s="28"/>
    </row>
    <row r="17" spans="3:11" x14ac:dyDescent="0.25">
      <c r="C17" s="28"/>
      <c r="D17" s="28"/>
      <c r="E17" s="28"/>
      <c r="F17" s="28"/>
      <c r="G17" s="28"/>
      <c r="H17" s="28"/>
    </row>
    <row r="18" spans="3:11" x14ac:dyDescent="0.25">
      <c r="C18" s="28"/>
      <c r="D18" s="28"/>
      <c r="E18" s="28"/>
      <c r="F18" s="28"/>
      <c r="G18" s="28"/>
      <c r="H18" s="28"/>
      <c r="K18" s="9"/>
    </row>
    <row r="19" spans="3:11" x14ac:dyDescent="0.25">
      <c r="C19" s="28"/>
      <c r="D19" s="28"/>
      <c r="E19" s="28"/>
      <c r="F19" s="28"/>
      <c r="G19" s="28"/>
      <c r="H19" s="28"/>
      <c r="K19" s="9"/>
    </row>
    <row r="20" spans="3:11" x14ac:dyDescent="0.25">
      <c r="C20" s="28"/>
      <c r="D20" s="28"/>
      <c r="E20" s="28"/>
      <c r="F20" s="28"/>
      <c r="G20" s="28"/>
      <c r="H20" s="28"/>
      <c r="K20" s="9"/>
    </row>
    <row r="21" spans="3:11" x14ac:dyDescent="0.25">
      <c r="K21" s="9"/>
    </row>
    <row r="22" spans="3:11" x14ac:dyDescent="0.25">
      <c r="K22" s="9"/>
    </row>
    <row r="23" spans="3:11" x14ac:dyDescent="0.25">
      <c r="K23" s="9"/>
    </row>
    <row r="24" spans="3:11" x14ac:dyDescent="0.25">
      <c r="K24" s="9"/>
    </row>
    <row r="25" spans="3:11" x14ac:dyDescent="0.25">
      <c r="K25" s="9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7</vt:i4>
      </vt:variant>
      <vt:variant>
        <vt:lpstr>Rangos con nombre</vt:lpstr>
      </vt:variant>
      <vt:variant>
        <vt:i4>22</vt:i4>
      </vt:variant>
    </vt:vector>
  </HeadingPairs>
  <TitlesOfParts>
    <vt:vector size="29" baseType="lpstr">
      <vt:lpstr>MODELO</vt:lpstr>
      <vt:lpstr>PROBABILIDADES</vt:lpstr>
      <vt:lpstr>Hoja1</vt:lpstr>
      <vt:lpstr>Hoja3</vt:lpstr>
      <vt:lpstr>Hoja2</vt:lpstr>
      <vt:lpstr>INPUTS_PAIS</vt:lpstr>
      <vt:lpstr>UTILIDADES</vt:lpstr>
      <vt:lpstr>PROBABILIDADES!iQalyDC</vt:lpstr>
      <vt:lpstr>PROBABILIDADES!iQalyF0</vt:lpstr>
      <vt:lpstr>PROBABILIDADES!iQalyF1</vt:lpstr>
      <vt:lpstr>PROBABILIDADES!iQalyF2</vt:lpstr>
      <vt:lpstr>PROBABILIDADES!iQalyF3</vt:lpstr>
      <vt:lpstr>PROBABILIDADES!iQalyF4</vt:lpstr>
      <vt:lpstr>PROBABILIDADES!iQalyHCC</vt:lpstr>
      <vt:lpstr>PROBABILIDADES!iQalySVR</vt:lpstr>
      <vt:lpstr>PROBABILIDADES!iQalySVRF4</vt:lpstr>
      <vt:lpstr>PROBABILIDADES!p_DC_HCC</vt:lpstr>
      <vt:lpstr>PROBABILIDADES!p_DC_LDR</vt:lpstr>
      <vt:lpstr>PROBABILIDADES!p_DC1_HCC</vt:lpstr>
      <vt:lpstr>PROBABILIDADES!p_DC1_LDR</vt:lpstr>
      <vt:lpstr>PROBABILIDADES!p_F0_F1</vt:lpstr>
      <vt:lpstr>PROBABILIDADES!p_F1_F2</vt:lpstr>
      <vt:lpstr>PROBABILIDADES!p_F2_F3</vt:lpstr>
      <vt:lpstr>PROBABILIDADES!p_F3_F4</vt:lpstr>
      <vt:lpstr>PROBABILIDADES!p_F4_DC</vt:lpstr>
      <vt:lpstr>PROBABILIDADES!p_F4_HCC</vt:lpstr>
      <vt:lpstr>PROBABILIDADES!p_HCC_LDR</vt:lpstr>
      <vt:lpstr>PROBABILIDADES!p_SVRF4_DC</vt:lpstr>
      <vt:lpstr>PROBABILIDADES!p_SVRF4_HCC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Lean</dc:creator>
  <cp:lastModifiedBy>Adrian Santoro</cp:lastModifiedBy>
  <dcterms:created xsi:type="dcterms:W3CDTF">2023-07-23T19:31:00Z</dcterms:created>
  <dcterms:modified xsi:type="dcterms:W3CDTF">2024-02-27T18:40:23Z</dcterms:modified>
</cp:coreProperties>
</file>